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work\Mat\data\"/>
    </mc:Choice>
  </mc:AlternateContent>
  <xr:revisionPtr revIDLastSave="0" documentId="13_ncr:1_{90965DAA-CF48-4F94-9A49-ABE08C18F040}" xr6:coauthVersionLast="47" xr6:coauthVersionMax="47" xr10:uidLastSave="{00000000-0000-0000-0000-000000000000}"/>
  <bookViews>
    <workbookView xWindow="-93" yWindow="-93" windowWidth="25786" windowHeight="13866" xr2:uid="{FA6AEBBB-4C96-4E99-86C0-E68CFD369B5A}"/>
  </bookViews>
  <sheets>
    <sheet name="Combined" sheetId="4" r:id="rId1"/>
    <sheet name="Xue" sheetId="1" r:id="rId2"/>
    <sheet name="Bio_Ti_clean" sheetId="2" r:id="rId3"/>
    <sheet name="dax-ti-static" sheetId="3" r:id="rId4"/>
  </sheets>
  <definedNames>
    <definedName name="_xlnm._FilterDatabase" localSheetId="2" hidden="1">Bio_Ti_clean!$A$1:$BC$240</definedName>
    <definedName name="_xlnm._FilterDatabase" localSheetId="0" hidden="1">Combined!$A$1:$BF$1727</definedName>
    <definedName name="_xlnm._FilterDatabase" localSheetId="3" hidden="1">'dax-ti-static'!$A$1:$BC$284</definedName>
    <definedName name="_xlnm._FilterDatabase" localSheetId="1" hidden="1">Xue!$A$1:$BC$1205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3" l="1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" i="3"/>
  <c r="AK781" i="4"/>
  <c r="AK780" i="4"/>
  <c r="AK779" i="4"/>
  <c r="AK778" i="4"/>
  <c r="AK373" i="4"/>
  <c r="AK371" i="4"/>
  <c r="AK293" i="4"/>
  <c r="AK290" i="4"/>
  <c r="AK287" i="4"/>
  <c r="AE115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882" i="4"/>
  <c r="AE881" i="4"/>
  <c r="AE880" i="4"/>
  <c r="AE879" i="4"/>
  <c r="AE878" i="4"/>
  <c r="AE752" i="4"/>
  <c r="AE720" i="4"/>
  <c r="AE705" i="4"/>
  <c r="AE634" i="4"/>
  <c r="AE546" i="4"/>
  <c r="AE545" i="4"/>
  <c r="AE544" i="4"/>
  <c r="AE543" i="4"/>
  <c r="AE542" i="4"/>
  <c r="AE427" i="4"/>
  <c r="AE426" i="4"/>
  <c r="AE370" i="4"/>
  <c r="AE331" i="4"/>
  <c r="AE940" i="4"/>
  <c r="AE939" i="4"/>
  <c r="AE937" i="4"/>
  <c r="AE754" i="4"/>
  <c r="AE753" i="4"/>
  <c r="AE721" i="4"/>
  <c r="AE712" i="4"/>
  <c r="AE711" i="4"/>
  <c r="AE710" i="4"/>
  <c r="AE708" i="4"/>
  <c r="AE707" i="4"/>
  <c r="AE706" i="4"/>
  <c r="AE704" i="4"/>
  <c r="AE703" i="4"/>
  <c r="AE702" i="4"/>
  <c r="AE701" i="4"/>
  <c r="AE700" i="4"/>
  <c r="AE699" i="4"/>
  <c r="AE698" i="4"/>
  <c r="AE697" i="4"/>
  <c r="AE638" i="4"/>
  <c r="AE637" i="4"/>
  <c r="AE636" i="4"/>
  <c r="AE635" i="4"/>
  <c r="AE613" i="4"/>
  <c r="AE599" i="4"/>
  <c r="AE598" i="4"/>
  <c r="AE597" i="4"/>
  <c r="AE577" i="4"/>
  <c r="AE576" i="4"/>
  <c r="AE575" i="4"/>
  <c r="AE574" i="4"/>
  <c r="AE573" i="4"/>
  <c r="AE547" i="4"/>
  <c r="AE541" i="4"/>
  <c r="AE540" i="4"/>
  <c r="AE429" i="4"/>
  <c r="AE428" i="4"/>
  <c r="AE425" i="4"/>
  <c r="AE424" i="4"/>
  <c r="AE423" i="4"/>
  <c r="AE422" i="4"/>
  <c r="AE421" i="4"/>
  <c r="AE420" i="4"/>
  <c r="AE405" i="4"/>
  <c r="AE402" i="4"/>
  <c r="AE401" i="4"/>
  <c r="AE400" i="4"/>
  <c r="AE399" i="4"/>
  <c r="AE398" i="4"/>
  <c r="AE397" i="4"/>
  <c r="AE396" i="4"/>
  <c r="AE395" i="4"/>
  <c r="AE394" i="4"/>
  <c r="AE393" i="4"/>
  <c r="AE392" i="4"/>
  <c r="AE391" i="4"/>
  <c r="AE384" i="4"/>
  <c r="AE383" i="4"/>
  <c r="AE380" i="4"/>
  <c r="AE379" i="4"/>
  <c r="AE378" i="4"/>
  <c r="AE341" i="4"/>
  <c r="AE340" i="4"/>
  <c r="AE339" i="4"/>
  <c r="AE309" i="4"/>
  <c r="AE308" i="4"/>
  <c r="AE307" i="4"/>
  <c r="AE306" i="4"/>
  <c r="AE305" i="4"/>
  <c r="AE304" i="4"/>
  <c r="AE303" i="4"/>
  <c r="AE284" i="4"/>
  <c r="AE275" i="4"/>
  <c r="AE274" i="4"/>
  <c r="AE273" i="4"/>
  <c r="AE272" i="4"/>
  <c r="AE271" i="4"/>
  <c r="AE270" i="4"/>
  <c r="AE269" i="4"/>
  <c r="AE268" i="4"/>
  <c r="AE267" i="4"/>
  <c r="AE266" i="4"/>
  <c r="AE259" i="4"/>
  <c r="AE258" i="4"/>
  <c r="AE257" i="4"/>
  <c r="AE256" i="4"/>
  <c r="AE235" i="4"/>
  <c r="AE234" i="4"/>
  <c r="AE231" i="4"/>
  <c r="AE191" i="4"/>
  <c r="AE190" i="4"/>
  <c r="AE189" i="4"/>
  <c r="AE188" i="4"/>
  <c r="AE116" i="4"/>
  <c r="AE114" i="4"/>
  <c r="AE113" i="4"/>
  <c r="AE112" i="4"/>
  <c r="AE91" i="4"/>
  <c r="AE90" i="4"/>
  <c r="AE89" i="4"/>
  <c r="AE88" i="4"/>
  <c r="AE47" i="4"/>
  <c r="AE46" i="4"/>
  <c r="AE45" i="4"/>
  <c r="AE44" i="4"/>
  <c r="AE43" i="4"/>
  <c r="AE42" i="4"/>
  <c r="AE41" i="4"/>
  <c r="AE28" i="4"/>
  <c r="AE27" i="4"/>
  <c r="AE26" i="4"/>
  <c r="AE25" i="4"/>
  <c r="AE24" i="4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" i="2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2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V3" i="3"/>
  <c r="AC3" i="3" s="1"/>
  <c r="AV4" i="3"/>
  <c r="AC4" i="3" s="1"/>
  <c r="AV5" i="3"/>
  <c r="AC5" i="3" s="1"/>
  <c r="AV6" i="3"/>
  <c r="AC6" i="3" s="1"/>
  <c r="AV7" i="3"/>
  <c r="AC7" i="3" s="1"/>
  <c r="AV8" i="3"/>
  <c r="AC8" i="3" s="1"/>
  <c r="AV9" i="3"/>
  <c r="AC9" i="3" s="1"/>
  <c r="AV10" i="3"/>
  <c r="AC10" i="3" s="1"/>
  <c r="AV11" i="3"/>
  <c r="AC11" i="3" s="1"/>
  <c r="AV12" i="3"/>
  <c r="AC12" i="3" s="1"/>
  <c r="AV13" i="3"/>
  <c r="AC13" i="3" s="1"/>
  <c r="AV14" i="3"/>
  <c r="AC14" i="3" s="1"/>
  <c r="AV15" i="3"/>
  <c r="AC15" i="3" s="1"/>
  <c r="AV16" i="3"/>
  <c r="AC16" i="3" s="1"/>
  <c r="AV17" i="3"/>
  <c r="AC17" i="3" s="1"/>
  <c r="AV18" i="3"/>
  <c r="AC18" i="3" s="1"/>
  <c r="AV19" i="3"/>
  <c r="AC19" i="3" s="1"/>
  <c r="AV20" i="3"/>
  <c r="AC20" i="3" s="1"/>
  <c r="AV21" i="3"/>
  <c r="AC21" i="3" s="1"/>
  <c r="AV22" i="3"/>
  <c r="AC22" i="3" s="1"/>
  <c r="AV23" i="3"/>
  <c r="AC23" i="3" s="1"/>
  <c r="AV24" i="3"/>
  <c r="AC24" i="3" s="1"/>
  <c r="AV25" i="3"/>
  <c r="AV26" i="3"/>
  <c r="AV27" i="3"/>
  <c r="AV28" i="3"/>
  <c r="AV29" i="3"/>
  <c r="AC29" i="3" s="1"/>
  <c r="AV30" i="3"/>
  <c r="AC30" i="3" s="1"/>
  <c r="AV31" i="3"/>
  <c r="AC31" i="3" s="1"/>
  <c r="AV32" i="3"/>
  <c r="AC32" i="3" s="1"/>
  <c r="AV33" i="3"/>
  <c r="AC33" i="3" s="1"/>
  <c r="AV34" i="3"/>
  <c r="AC34" i="3" s="1"/>
  <c r="AV35" i="3"/>
  <c r="AC35" i="3" s="1"/>
  <c r="AV36" i="3"/>
  <c r="AC36" i="3" s="1"/>
  <c r="AV37" i="3"/>
  <c r="AC37" i="3" s="1"/>
  <c r="AV38" i="3"/>
  <c r="AC38" i="3" s="1"/>
  <c r="AV39" i="3"/>
  <c r="AC39" i="3" s="1"/>
  <c r="AV40" i="3"/>
  <c r="AC40" i="3" s="1"/>
  <c r="AV41" i="3"/>
  <c r="AV42" i="3"/>
  <c r="AV43" i="3"/>
  <c r="AV44" i="3"/>
  <c r="AC44" i="3" s="1"/>
  <c r="AV45" i="3"/>
  <c r="AC45" i="3" s="1"/>
  <c r="AV46" i="3"/>
  <c r="AC46" i="3" s="1"/>
  <c r="AV47" i="3"/>
  <c r="AC47" i="3" s="1"/>
  <c r="AV48" i="3"/>
  <c r="AC48" i="3" s="1"/>
  <c r="AV49" i="3"/>
  <c r="AC49" i="3" s="1"/>
  <c r="AV50" i="3"/>
  <c r="AC50" i="3" s="1"/>
  <c r="AV51" i="3"/>
  <c r="AC51" i="3" s="1"/>
  <c r="AV52" i="3"/>
  <c r="AC52" i="3" s="1"/>
  <c r="AV53" i="3"/>
  <c r="AC53" i="3" s="1"/>
  <c r="AV54" i="3"/>
  <c r="AC54" i="3" s="1"/>
  <c r="AV55" i="3"/>
  <c r="AC55" i="3" s="1"/>
  <c r="AV56" i="3"/>
  <c r="AC56" i="3" s="1"/>
  <c r="AV57" i="3"/>
  <c r="AC57" i="3" s="1"/>
  <c r="AV58" i="3"/>
  <c r="AC58" i="3" s="1"/>
  <c r="AV59" i="3"/>
  <c r="AC59" i="3" s="1"/>
  <c r="AV60" i="3"/>
  <c r="AC60" i="3" s="1"/>
  <c r="AV61" i="3"/>
  <c r="AC61" i="3" s="1"/>
  <c r="AV62" i="3"/>
  <c r="AV63" i="3"/>
  <c r="AV64" i="3"/>
  <c r="AC64" i="3" s="1"/>
  <c r="AV65" i="3"/>
  <c r="AC65" i="3" s="1"/>
  <c r="AV66" i="3"/>
  <c r="AC66" i="3" s="1"/>
  <c r="AV67" i="3"/>
  <c r="AV68" i="3"/>
  <c r="AV69" i="3"/>
  <c r="AV70" i="3"/>
  <c r="AV71" i="3"/>
  <c r="AC71" i="3" s="1"/>
  <c r="AV72" i="3"/>
  <c r="AC72" i="3" s="1"/>
  <c r="AV73" i="3"/>
  <c r="AC73" i="3" s="1"/>
  <c r="AV74" i="3"/>
  <c r="AC74" i="3" s="1"/>
  <c r="AV75" i="3"/>
  <c r="AC75" i="3" s="1"/>
  <c r="AV76" i="3"/>
  <c r="AC76" i="3" s="1"/>
  <c r="AV77" i="3"/>
  <c r="AC77" i="3" s="1"/>
  <c r="AV78" i="3"/>
  <c r="AC78" i="3" s="1"/>
  <c r="AV79" i="3"/>
  <c r="AC79" i="3" s="1"/>
  <c r="AV80" i="3"/>
  <c r="AC80" i="3" s="1"/>
  <c r="AV81" i="3"/>
  <c r="AC81" i="3" s="1"/>
  <c r="AV82" i="3"/>
  <c r="AC82" i="3" s="1"/>
  <c r="AV83" i="3"/>
  <c r="AC83" i="3" s="1"/>
  <c r="AV84" i="3"/>
  <c r="AC84" i="3" s="1"/>
  <c r="AV85" i="3"/>
  <c r="AC85" i="3" s="1"/>
  <c r="AV86" i="3"/>
  <c r="AC86" i="3" s="1"/>
  <c r="AV87" i="3"/>
  <c r="AC87" i="3" s="1"/>
  <c r="AV88" i="3"/>
  <c r="AV89" i="3"/>
  <c r="AV90" i="3"/>
  <c r="AV91" i="3"/>
  <c r="AV92" i="3"/>
  <c r="AV93" i="3"/>
  <c r="AV94" i="3"/>
  <c r="AV95" i="3"/>
  <c r="AC95" i="3" s="1"/>
  <c r="AV96" i="3"/>
  <c r="AC96" i="3" s="1"/>
  <c r="AV97" i="3"/>
  <c r="AC97" i="3" s="1"/>
  <c r="AV98" i="3"/>
  <c r="AC98" i="3" s="1"/>
  <c r="AV99" i="3"/>
  <c r="AC99" i="3" s="1"/>
  <c r="AV100" i="3"/>
  <c r="AC100" i="3" s="1"/>
  <c r="AV101" i="3"/>
  <c r="AC101" i="3" s="1"/>
  <c r="AV102" i="3"/>
  <c r="AC102" i="3" s="1"/>
  <c r="AV103" i="3"/>
  <c r="AC103" i="3" s="1"/>
  <c r="AV104" i="3"/>
  <c r="AC104" i="3" s="1"/>
  <c r="AV105" i="3"/>
  <c r="AC105" i="3" s="1"/>
  <c r="AV106" i="3"/>
  <c r="AC106" i="3" s="1"/>
  <c r="AV107" i="3"/>
  <c r="AC107" i="3" s="1"/>
  <c r="AV108" i="3"/>
  <c r="AC108" i="3" s="1"/>
  <c r="AV109" i="3"/>
  <c r="AC109" i="3" s="1"/>
  <c r="AV110" i="3"/>
  <c r="AC110" i="3" s="1"/>
  <c r="AV111" i="3"/>
  <c r="AC111" i="3" s="1"/>
  <c r="AV112" i="3"/>
  <c r="AC112" i="3" s="1"/>
  <c r="AV113" i="3"/>
  <c r="AC113" i="3" s="1"/>
  <c r="AV114" i="3"/>
  <c r="AC114" i="3" s="1"/>
  <c r="AV115" i="3"/>
  <c r="AC115" i="3" s="1"/>
  <c r="AV116" i="3"/>
  <c r="AC116" i="3" s="1"/>
  <c r="AV117" i="3"/>
  <c r="AC117" i="3" s="1"/>
  <c r="AV118" i="3"/>
  <c r="AC118" i="3" s="1"/>
  <c r="AV119" i="3"/>
  <c r="AC119" i="3" s="1"/>
  <c r="AV120" i="3"/>
  <c r="AC120" i="3" s="1"/>
  <c r="AV121" i="3"/>
  <c r="AC121" i="3" s="1"/>
  <c r="AV122" i="3"/>
  <c r="AC122" i="3" s="1"/>
  <c r="AV123" i="3"/>
  <c r="AC123" i="3" s="1"/>
  <c r="AV124" i="3"/>
  <c r="AC124" i="3" s="1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C142" i="3" s="1"/>
  <c r="AV143" i="3"/>
  <c r="AC143" i="3" s="1"/>
  <c r="AV144" i="3"/>
  <c r="AV145" i="3"/>
  <c r="AV146" i="3"/>
  <c r="AV147" i="3"/>
  <c r="AV148" i="3"/>
  <c r="AC148" i="3" s="1"/>
  <c r="AV149" i="3"/>
  <c r="AC149" i="3" s="1"/>
  <c r="AV150" i="3"/>
  <c r="AC150" i="3" s="1"/>
  <c r="AV151" i="3"/>
  <c r="AC151" i="3" s="1"/>
  <c r="AV152" i="3"/>
  <c r="AC152" i="3" s="1"/>
  <c r="AV153" i="3"/>
  <c r="AC153" i="3" s="1"/>
  <c r="AV154" i="3"/>
  <c r="AC154" i="3" s="1"/>
  <c r="AV155" i="3"/>
  <c r="AC155" i="3" s="1"/>
  <c r="AV156" i="3"/>
  <c r="AC156" i="3" s="1"/>
  <c r="AV157" i="3"/>
  <c r="AC157" i="3" s="1"/>
  <c r="AV158" i="3"/>
  <c r="AC158" i="3" s="1"/>
  <c r="AV159" i="3"/>
  <c r="AC159" i="3" s="1"/>
  <c r="AV160" i="3"/>
  <c r="AC160" i="3" s="1"/>
  <c r="AV161" i="3"/>
  <c r="AC161" i="3" s="1"/>
  <c r="AV162" i="3"/>
  <c r="AC162" i="3" s="1"/>
  <c r="AV163" i="3"/>
  <c r="AC163" i="3" s="1"/>
  <c r="AV164" i="3"/>
  <c r="AC164" i="3" s="1"/>
  <c r="AV165" i="3"/>
  <c r="AC165" i="3" s="1"/>
  <c r="AV166" i="3"/>
  <c r="AC166" i="3" s="1"/>
  <c r="AV167" i="3"/>
  <c r="AC167" i="3" s="1"/>
  <c r="AV168" i="3"/>
  <c r="AC168" i="3" s="1"/>
  <c r="AV169" i="3"/>
  <c r="AC169" i="3" s="1"/>
  <c r="AV170" i="3"/>
  <c r="AC170" i="3" s="1"/>
  <c r="AV171" i="3"/>
  <c r="AC171" i="3" s="1"/>
  <c r="AV172" i="3"/>
  <c r="AC172" i="3" s="1"/>
  <c r="AV173" i="3"/>
  <c r="AC173" i="3" s="1"/>
  <c r="AV174" i="3"/>
  <c r="AC174" i="3" s="1"/>
  <c r="AV175" i="3"/>
  <c r="AC175" i="3" s="1"/>
  <c r="AV176" i="3"/>
  <c r="AC176" i="3" s="1"/>
  <c r="AV177" i="3"/>
  <c r="AC177" i="3" s="1"/>
  <c r="AV178" i="3"/>
  <c r="AC178" i="3" s="1"/>
  <c r="AV179" i="3"/>
  <c r="AC179" i="3" s="1"/>
  <c r="AV180" i="3"/>
  <c r="AC180" i="3" s="1"/>
  <c r="AV181" i="3"/>
  <c r="AC181" i="3" s="1"/>
  <c r="AV182" i="3"/>
  <c r="AC182" i="3" s="1"/>
  <c r="AV183" i="3"/>
  <c r="AC183" i="3" s="1"/>
  <c r="AV184" i="3"/>
  <c r="AC184" i="3" s="1"/>
  <c r="AV185" i="3"/>
  <c r="AC185" i="3" s="1"/>
  <c r="AV186" i="3"/>
  <c r="AC186" i="3" s="1"/>
  <c r="AV187" i="3"/>
  <c r="AC187" i="3" s="1"/>
  <c r="AV188" i="3"/>
  <c r="AC188" i="3" s="1"/>
  <c r="AV189" i="3"/>
  <c r="AC189" i="3" s="1"/>
  <c r="AV190" i="3"/>
  <c r="AC190" i="3" s="1"/>
  <c r="AV191" i="3"/>
  <c r="AC191" i="3" s="1"/>
  <c r="AV192" i="3"/>
  <c r="AC192" i="3" s="1"/>
  <c r="AV193" i="3"/>
  <c r="AC193" i="3" s="1"/>
  <c r="AV194" i="3"/>
  <c r="AC194" i="3" s="1"/>
  <c r="AV195" i="3"/>
  <c r="AC195" i="3" s="1"/>
  <c r="AV196" i="3"/>
  <c r="AC196" i="3" s="1"/>
  <c r="AV197" i="3"/>
  <c r="AC197" i="3" s="1"/>
  <c r="AV198" i="3"/>
  <c r="AC198" i="3" s="1"/>
  <c r="AV199" i="3"/>
  <c r="AC199" i="3" s="1"/>
  <c r="AV200" i="3"/>
  <c r="AV201" i="3"/>
  <c r="AC201" i="3" s="1"/>
  <c r="AV202" i="3"/>
  <c r="AC202" i="3" s="1"/>
  <c r="AV203" i="3"/>
  <c r="AC203" i="3" s="1"/>
  <c r="AV204" i="3"/>
  <c r="AC204" i="3" s="1"/>
  <c r="AV205" i="3"/>
  <c r="AC205" i="3" s="1"/>
  <c r="AV206" i="3"/>
  <c r="AC206" i="3" s="1"/>
  <c r="AV207" i="3"/>
  <c r="AC207" i="3" s="1"/>
  <c r="AV208" i="3"/>
  <c r="AC208" i="3" s="1"/>
  <c r="AV209" i="3"/>
  <c r="AC209" i="3" s="1"/>
  <c r="AV210" i="3"/>
  <c r="AC210" i="3" s="1"/>
  <c r="AV211" i="3"/>
  <c r="AC211" i="3" s="1"/>
  <c r="AV212" i="3"/>
  <c r="AC212" i="3" s="1"/>
  <c r="AV213" i="3"/>
  <c r="AC213" i="3" s="1"/>
  <c r="AV214" i="3"/>
  <c r="AC214" i="3" s="1"/>
  <c r="AV215" i="3"/>
  <c r="AC215" i="3" s="1"/>
  <c r="AV216" i="3"/>
  <c r="AC216" i="3" s="1"/>
  <c r="AV217" i="3"/>
  <c r="AC217" i="3" s="1"/>
  <c r="AV218" i="3"/>
  <c r="AC218" i="3" s="1"/>
  <c r="AV219" i="3"/>
  <c r="AC219" i="3" s="1"/>
  <c r="AV220" i="3"/>
  <c r="AC220" i="3" s="1"/>
  <c r="AV221" i="3"/>
  <c r="AC221" i="3" s="1"/>
  <c r="AV222" i="3"/>
  <c r="AC222" i="3" s="1"/>
  <c r="AV223" i="3"/>
  <c r="AC223" i="3" s="1"/>
  <c r="AV224" i="3"/>
  <c r="AC224" i="3" s="1"/>
  <c r="AV225" i="3"/>
  <c r="AC225" i="3" s="1"/>
  <c r="AV226" i="3"/>
  <c r="AC226" i="3" s="1"/>
  <c r="AV227" i="3"/>
  <c r="AC227" i="3" s="1"/>
  <c r="AV228" i="3"/>
  <c r="AV229" i="3"/>
  <c r="AV230" i="3"/>
  <c r="AV231" i="3"/>
  <c r="AC231" i="3" s="1"/>
  <c r="AV232" i="3"/>
  <c r="AC232" i="3" s="1"/>
  <c r="AV233" i="3"/>
  <c r="AC233" i="3" s="1"/>
  <c r="AV234" i="3"/>
  <c r="AV235" i="3"/>
  <c r="AC235" i="3" s="1"/>
  <c r="AV236" i="3"/>
  <c r="AV237" i="3"/>
  <c r="AC237" i="3" s="1"/>
  <c r="AV238" i="3"/>
  <c r="AV239" i="3"/>
  <c r="AC239" i="3" s="1"/>
  <c r="AV240" i="3"/>
  <c r="AC240" i="3" s="1"/>
  <c r="AV241" i="3"/>
  <c r="AC241" i="3" s="1"/>
  <c r="AV242" i="3"/>
  <c r="AC242" i="3" s="1"/>
  <c r="AV243" i="3"/>
  <c r="AC243" i="3" s="1"/>
  <c r="AV244" i="3"/>
  <c r="AC244" i="3" s="1"/>
  <c r="AV245" i="3"/>
  <c r="AC245" i="3" s="1"/>
  <c r="AV246" i="3"/>
  <c r="AC246" i="3" s="1"/>
  <c r="AV247" i="3"/>
  <c r="AV248" i="3"/>
  <c r="AV249" i="3"/>
  <c r="AV250" i="3"/>
  <c r="AV251" i="3"/>
  <c r="AV252" i="3"/>
  <c r="AV253" i="3"/>
  <c r="AV254" i="3"/>
  <c r="AV255" i="3"/>
  <c r="AC255" i="3" s="1"/>
  <c r="AV256" i="3"/>
  <c r="AC256" i="3" s="1"/>
  <c r="AV257" i="3"/>
  <c r="AC257" i="3" s="1"/>
  <c r="AV258" i="3"/>
  <c r="AV259" i="3"/>
  <c r="AV260" i="3"/>
  <c r="AV261" i="3"/>
  <c r="AC261" i="3" s="1"/>
  <c r="AV262" i="3"/>
  <c r="AC262" i="3" s="1"/>
  <c r="AV263" i="3"/>
  <c r="AC263" i="3" s="1"/>
  <c r="AV264" i="3"/>
  <c r="AC264" i="3" s="1"/>
  <c r="AV265" i="3"/>
  <c r="AC265" i="3" s="1"/>
  <c r="AV266" i="3"/>
  <c r="AC266" i="3" s="1"/>
  <c r="AV267" i="3"/>
  <c r="AC267" i="3" s="1"/>
  <c r="AV268" i="3"/>
  <c r="AC268" i="3" s="1"/>
  <c r="AV269" i="3"/>
  <c r="AC269" i="3" s="1"/>
  <c r="AV270" i="3"/>
  <c r="AV271" i="3"/>
  <c r="AV272" i="3"/>
  <c r="AV273" i="3"/>
  <c r="AV274" i="3"/>
  <c r="AV275" i="3"/>
  <c r="AC275" i="3" s="1"/>
  <c r="AV276" i="3"/>
  <c r="AC276" i="3" s="1"/>
  <c r="AV277" i="3"/>
  <c r="AC277" i="3" s="1"/>
  <c r="AV278" i="3"/>
  <c r="AV279" i="3"/>
  <c r="AV280" i="3"/>
  <c r="AV281" i="3"/>
  <c r="AV282" i="3"/>
  <c r="AV283" i="3"/>
  <c r="AV284" i="3"/>
  <c r="AV2" i="3"/>
  <c r="AC2" i="3" s="1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" i="2"/>
  <c r="AV3" i="1"/>
  <c r="AV1058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1059" i="1"/>
  <c r="AV1060" i="1"/>
  <c r="AV1061" i="1"/>
  <c r="AV1062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063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064" i="1"/>
  <c r="AV144" i="1"/>
  <c r="AV145" i="1"/>
  <c r="AV106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066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1067" i="1"/>
  <c r="AV1068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1069" i="1"/>
  <c r="AV370" i="1"/>
  <c r="AV371" i="1"/>
  <c r="AV372" i="1"/>
  <c r="AV373" i="1"/>
  <c r="AV374" i="1"/>
  <c r="AV1070" i="1"/>
  <c r="AV375" i="1"/>
  <c r="AV376" i="1"/>
  <c r="AV377" i="1"/>
  <c r="AV1071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1072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1095" i="1"/>
  <c r="AV1096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1097" i="1"/>
  <c r="AV1098" i="1"/>
  <c r="AV1099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1100" i="1"/>
  <c r="AV1101" i="1"/>
  <c r="AV1102" i="1"/>
  <c r="AV1103" i="1"/>
  <c r="AV1104" i="1"/>
  <c r="AV1105" i="1"/>
  <c r="AV1106" i="1"/>
  <c r="AV1107" i="1"/>
  <c r="AV1108" i="1"/>
  <c r="AV1109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1141" i="1"/>
  <c r="AV1142" i="1"/>
  <c r="AV1143" i="1"/>
  <c r="AV1144" i="1"/>
  <c r="AV1145" i="1"/>
  <c r="AV1146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114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1148" i="1"/>
  <c r="AV1149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940" i="1"/>
  <c r="AV941" i="1"/>
  <c r="AV942" i="1"/>
  <c r="AV943" i="1"/>
  <c r="AV1182" i="1"/>
  <c r="AV1183" i="1"/>
  <c r="AV1184" i="1"/>
  <c r="AV1185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1186" i="1"/>
  <c r="AV1187" i="1"/>
  <c r="AV1188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1189" i="1"/>
  <c r="AV1190" i="1"/>
  <c r="AV1191" i="1"/>
  <c r="AV1192" i="1"/>
  <c r="AV1193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194" i="1"/>
  <c r="AV1195" i="1"/>
  <c r="AV1196" i="1"/>
  <c r="AV1197" i="1"/>
  <c r="AV1198" i="1"/>
  <c r="AV11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200" i="1"/>
  <c r="AV1201" i="1"/>
  <c r="AV1202" i="1"/>
  <c r="AV1043" i="1"/>
  <c r="AV1044" i="1"/>
  <c r="AV1045" i="1"/>
  <c r="AV1203" i="1"/>
  <c r="AV1204" i="1"/>
  <c r="AV120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066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065" i="1"/>
  <c r="AU145" i="1"/>
  <c r="AU144" i="1"/>
  <c r="AU106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063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1062" i="1"/>
  <c r="AU1061" i="1"/>
  <c r="AU1060" i="1"/>
  <c r="AU1059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1058" i="1"/>
  <c r="AU3" i="1"/>
  <c r="AU2" i="1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" i="2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wagon196-PC</author>
  </authors>
  <commentList>
    <comment ref="V1" authorId="0" shapeId="0" xr:uid="{22F9E08E-1644-494E-85CF-4097F1B89EBF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(1=铸态/粉末冶金/3D打印)</t>
        </r>
      </text>
    </comment>
    <comment ref="W1" authorId="0" shapeId="0" xr:uid="{0DBD3979-C215-447B-BC21-DE78579FEAED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(1=压力加工态)</t>
        </r>
      </text>
    </comment>
    <comment ref="X1" authorId="0" shapeId="0" xr:uid="{122E9792-245C-4857-95FF-58D411C34B53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Def_Temp: 变形温度 (℃) -&gt; 缺失填 0</t>
        </r>
      </text>
    </comment>
    <comment ref="Y1" authorId="0" shapeId="0" xr:uid="{88970078-61B7-41B5-9EE2-DED7E6E637F8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变形量 (%) -&gt; 缺失填 0</t>
        </r>
      </text>
    </comment>
    <comment ref="Z1" authorId="0" shapeId="0" xr:uid="{DE09604B-7BB2-4467-8A5C-DAC51790B866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(1=铸态/粉末冶金/3D打印)</t>
        </r>
      </text>
    </comment>
    <comment ref="AA1" authorId="0" shapeId="0" xr:uid="{627AC2E7-DD6A-4697-B0CA-D42B7EAB4F5D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(1=轧制)</t>
        </r>
      </text>
    </comment>
    <comment ref="AB1" authorId="0" shapeId="0" xr:uid="{8D1FD706-88B4-4543-B657-8C29A5100AC4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(1=锻造)</t>
        </r>
      </text>
    </comment>
    <comment ref="AC1" authorId="0" shapeId="0" xr:uid="{38227DE1-9F2A-4EDD-8A0E-2EA8D2ED45EB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(1=挤压)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wagon196-PC</author>
  </authors>
  <commentList>
    <comment ref="V1" authorId="0" shapeId="0" xr:uid="{890F04EA-3919-4769-8721-AF20B10FD6E2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(0=铸态/粉末冶金/3D打印, 1=压力加工态)</t>
        </r>
      </text>
    </comment>
    <comment ref="W1" authorId="0" shapeId="0" xr:uid="{EADFDCE0-0A23-41AD-96AE-F9D794365215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Def_Temp: 变形温度 (℃) -&gt; 缺失填 0</t>
        </r>
      </text>
    </comment>
    <comment ref="X1" authorId="0" shapeId="0" xr:uid="{66E43AA2-99D8-457A-A3CE-BD09689244BC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变形量 (%) -&gt; 缺失填 0</t>
        </r>
      </text>
    </comment>
    <comment ref="Y1" authorId="0" shapeId="0" xr:uid="{2F1AEDDD-C972-4949-9361-D45CC9DA9CCD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(1=铸态/粉末冶金/3D打印)</t>
        </r>
      </text>
    </comment>
    <comment ref="Z1" authorId="0" shapeId="0" xr:uid="{05645026-4172-40F5-BA45-7288868438CB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(1=轧制)</t>
        </r>
      </text>
    </comment>
    <comment ref="AA1" authorId="0" shapeId="0" xr:uid="{40588B07-3351-44BC-9565-B7DBCADD4587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(1=锻造)</t>
        </r>
      </text>
    </comment>
    <comment ref="AB1" authorId="0" shapeId="0" xr:uid="{C60D7F4E-7CBA-4B83-9B86-9207C13A6BBF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(1=挤压)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wagon196-PC</author>
  </authors>
  <commentList>
    <comment ref="V1" authorId="0" shapeId="0" xr:uid="{5A8BC300-07E8-4A35-A0D5-96765E333076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(0=铸态/粉末冶金/3D打印, 1=压力加工态)</t>
        </r>
      </text>
    </comment>
    <comment ref="W1" authorId="0" shapeId="0" xr:uid="{BC59589D-BF86-4795-8293-0CDD3F8B8284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Def_Temp: 变形温度 (℃) -&gt; 缺失填 0</t>
        </r>
      </text>
    </comment>
    <comment ref="X1" authorId="0" shapeId="0" xr:uid="{5A4E2BE5-B14C-4489-8C93-6C0B73EACAE2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变形量 (%) -&gt; 缺失填 0</t>
        </r>
      </text>
    </comment>
    <comment ref="Y1" authorId="0" shapeId="0" xr:uid="{D8D5FDF8-5C27-489E-8711-BF7E382D5484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(0=铸态/粉末冶金/3D打印, 1=压力加工态)</t>
        </r>
      </text>
    </comment>
    <comment ref="Z1" authorId="0" shapeId="0" xr:uid="{02DBACA1-B8E4-41B8-83C7-795CA8977C06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(1=轧制)</t>
        </r>
      </text>
    </comment>
    <comment ref="AA1" authorId="0" shapeId="0" xr:uid="{C6208919-5C8A-418F-A92F-E3831322920C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(1=锻造)</t>
        </r>
      </text>
    </comment>
    <comment ref="AB1" authorId="0" shapeId="0" xr:uid="{3016D3FC-25FD-45E8-BB85-7AE376CADEB2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(1=挤压)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wagon196-PC</author>
  </authors>
  <commentList>
    <comment ref="V1" authorId="0" shapeId="0" xr:uid="{DB64802E-535C-454F-9F5F-769C268B6089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(0=铸态/粉末冶金/3D打印, 1=压力加工态)</t>
        </r>
      </text>
    </comment>
    <comment ref="W1" authorId="0" shapeId="0" xr:uid="{DCD1395F-2864-4378-9CC6-82E8FFBBA912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Def_Temp: 变形温度 (℃) -&gt; 缺失填 0</t>
        </r>
      </text>
    </comment>
    <comment ref="X1" authorId="0" shapeId="0" xr:uid="{E5591D4A-31C4-46D0-A0B3-17AD74358B7D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变形量 (%) -&gt; 缺失填 0</t>
        </r>
      </text>
    </comment>
    <comment ref="Y1" authorId="0" shapeId="0" xr:uid="{03AA8E41-DA1B-4AD3-B900-C1CCE97549D5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Z1" authorId="0" shapeId="0" xr:uid="{68271D77-C4CA-4207-BE53-9A92E4804513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(1=轧制)</t>
        </r>
      </text>
    </comment>
    <comment ref="AA1" authorId="0" shapeId="0" xr:uid="{E6CB52CD-2BEC-4260-9A18-D5EF55C1EA28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(1=锻造)</t>
        </r>
      </text>
    </comment>
    <comment ref="AB1" authorId="0" shapeId="0" xr:uid="{F4084F3D-36EA-464C-BC2E-5FB5C7D20BF3}">
      <text>
        <r>
          <rPr>
            <b/>
            <sz val="9"/>
            <color indexed="81"/>
            <rFont val="宋体"/>
            <family val="3"/>
            <charset val="134"/>
          </rPr>
          <t>wagon196-PC:</t>
        </r>
        <r>
          <rPr>
            <sz val="9"/>
            <color indexed="81"/>
            <rFont val="宋体"/>
            <family val="3"/>
            <charset val="134"/>
          </rPr>
          <t xml:space="preserve">
One-Hot (1=挤压)</t>
        </r>
      </text>
    </comment>
  </commentList>
</comments>
</file>

<file path=xl/sharedStrings.xml><?xml version="1.0" encoding="utf-8"?>
<sst xmlns="http://schemas.openxmlformats.org/spreadsheetml/2006/main" count="4372" uniqueCount="646">
  <si>
    <t>id</t>
    <phoneticPr fontId="1" type="noConversion"/>
  </si>
  <si>
    <t>Ti</t>
  </si>
  <si>
    <t>Al</t>
  </si>
  <si>
    <t>V</t>
  </si>
  <si>
    <t>Cr</t>
  </si>
  <si>
    <t>Mn</t>
  </si>
  <si>
    <t>Fe</t>
  </si>
  <si>
    <t>Cu</t>
  </si>
  <si>
    <t>Zr</t>
  </si>
  <si>
    <t>Nb</t>
  </si>
  <si>
    <t>Mo</t>
  </si>
  <si>
    <t>Sn</t>
  </si>
  <si>
    <t>Hf</t>
  </si>
  <si>
    <t>Ta</t>
  </si>
  <si>
    <t>W</t>
  </si>
  <si>
    <t>Si</t>
  </si>
  <si>
    <t>C</t>
  </si>
  <si>
    <t>N</t>
  </si>
  <si>
    <t>O</t>
  </si>
  <si>
    <t>Sc</t>
  </si>
  <si>
    <t>Def_Temp</t>
  </si>
  <si>
    <t>Def_Strain</t>
  </si>
  <si>
    <t>Def_Type_Rolling</t>
  </si>
  <si>
    <t>Def_Type_Forging</t>
  </si>
  <si>
    <t>Def_Type_Extrusion</t>
  </si>
  <si>
    <t>HT1_Temp</t>
  </si>
  <si>
    <t>HT1_Time</t>
  </si>
  <si>
    <t>HT2_Temp</t>
  </si>
  <si>
    <t>HT2_Time</t>
  </si>
  <si>
    <t>HT1_Quench</t>
    <phoneticPr fontId="1" type="noConversion"/>
  </si>
  <si>
    <t>HT1_Air</t>
    <phoneticPr fontId="1" type="noConversion"/>
  </si>
  <si>
    <t>HT1_Furnace</t>
    <phoneticPr fontId="1" type="noConversion"/>
  </si>
  <si>
    <t>HT2_Quench</t>
    <phoneticPr fontId="1" type="noConversion"/>
  </si>
  <si>
    <t>HT2_Air</t>
    <phoneticPr fontId="1" type="noConversion"/>
  </si>
  <si>
    <t>HT2_Furnace</t>
    <phoneticPr fontId="1" type="noConversion"/>
  </si>
  <si>
    <t>Phase_Alpha</t>
  </si>
  <si>
    <t>Phase_Beta</t>
  </si>
  <si>
    <t>Phase_Alpha_Prime</t>
  </si>
  <si>
    <t>Phase_Alpha_Double_Prime</t>
  </si>
  <si>
    <t>Phase_Omega</t>
  </si>
  <si>
    <t>Phase_Intermetallic</t>
  </si>
  <si>
    <t>YM</t>
  </si>
  <si>
    <t>YS</t>
  </si>
  <si>
    <t>YS</t>
    <phoneticPr fontId="1" type="noConversion"/>
  </si>
  <si>
    <t>UTS</t>
  </si>
  <si>
    <t>UTS</t>
    <phoneticPr fontId="1" type="noConversion"/>
  </si>
  <si>
    <t>El</t>
    <phoneticPr fontId="1" type="noConversion"/>
  </si>
  <si>
    <t>Activated</t>
    <phoneticPr fontId="1" type="noConversion"/>
  </si>
  <si>
    <t>Reference</t>
    <phoneticPr fontId="1" type="noConversion"/>
  </si>
  <si>
    <t>Effects of oxygen content on Charpy impact properties and crack resistance of α titanium alloys</t>
  </si>
  <si>
    <t>Strengthening effects of Al element on strength and impact toughness in titanium alloy</t>
  </si>
  <si>
    <t>Influence of Zr content on phase transformation, microstructure and mechanical properties of Ti75−xNb25Zrx (x = 0–6) alloys</t>
  </si>
  <si>
    <t>Martensitic transformation, shape memory effect and superelasticity of Ti–Nb binary alloys</t>
  </si>
  <si>
    <t>Microstructure, Mechanical Properties, and Cytotoxicity of β-Type Ti-Nb-Cr Alloys Designed by Electron Paramete</t>
  </si>
  <si>
    <t>In-situ investigation of stress-induced martensitic transformation in Ti–Nb binary alloys with low Young's modulus</t>
  </si>
  <si>
    <t>Effect of Nb content on the microstructure and mechanical properties of binary Ti-Nb alloys</t>
  </si>
  <si>
    <t>The roles of oxygen content on microstructural transformation, mechanical properties and corrosion resistance of Ti-Nb-based biomedical alloys with different &lt;a6&gt;&lt;c2&gt; stabilities</t>
  </si>
  <si>
    <t>The roles of oxygen content on microstructural transformation, mechanical properties and corrosion resistance of Ti-Nb-based biomedical alloys with different &lt;a6&gt;&lt;c3&gt; stabilities</t>
  </si>
  <si>
    <t>The roles of oxygen content on microstructural transformation, mechanical properties and corrosion resistance of Ti-Nb-based biomedical alloys with different &lt;a6&gt;&lt;c4&gt; stabilities</t>
  </si>
  <si>
    <t>Partition of Nb element on microstructure, tensile and impact properties of a near α Ti–4Nb alloy</t>
  </si>
  <si>
    <t>A compilation of experimental dataon the mechanical properties and microstructural features of Ti-alloys</t>
  </si>
  <si>
    <t>Effect of Solution Treatment Time on Structure and Mechanical Properties of Fast-Cooled Ti–7.5Mo Alloy</t>
  </si>
  <si>
    <t>A comparison of tensile properties and corrosion behavior of cast Ti&lt;a8&gt;C7.5Mo with c.p. Ti, Ti&lt;a8&gt;C15Mo and Ti&lt;a8&gt;C6Al&lt;a8&gt;C4V alloys</t>
  </si>
  <si>
    <t>A comparison of tensile properties and corrosion behavior of cast Ti&lt;a8&gt;C7.5Mo with c.p. Ti, Ti&lt;a8&gt;C15Mo and Ti&lt;a8&gt;C6Al&lt;a8&gt;C5V alloys</t>
  </si>
  <si>
    <t>Superelastic metastable Ti-Mo-Sn alloys with high elastic admissible strain for potential bio-implant applications</t>
  </si>
  <si>
    <t>The effect of molybdenum content on the microstructural evolution and tensile properties of as-cast Ti-Mo alloys</t>
  </si>
  <si>
    <t>Beta type Ti&lt;a8&gt;CMo alloys with changeable Young&lt;a1&gt;&lt;af&gt;s modulus for spinal fixation applications</t>
  </si>
  <si>
    <t>Beta type Ti&lt;a8&gt;CMo alloys with changeable Young&lt;a2&gt;&lt;af&gt;s modulus for spinal fixation applications</t>
  </si>
  <si>
    <t>Beta type Ti&lt;a8&gt;CMo alloys with changeable Young&lt;a3&gt;&lt;af&gt;s modulus for spinal fixation applications</t>
  </si>
  <si>
    <t>Beta type Ti&lt;a8&gt;CMo alloys with changeable Young&lt;a4&gt;&lt;af&gt;s modulus for spinal fixation applications</t>
  </si>
  <si>
    <t>Enhancement of impact toughness of β-type Ti–Mo alloy by {332}&lt;113&gt; twinning</t>
  </si>
  <si>
    <t>Optimization of Cr content of metastable β-type Ti–Cr alloys with changeable Young’s modulus for spinal fixation applications</t>
  </si>
  <si>
    <t>Self-adjustment of Young's modulus in biomedical titanium alloys during orthopaedic operation</t>
  </si>
  <si>
    <t>Optimization of Cr content of metastable &lt;a6&gt;&lt;c2&gt;-type Ti&lt;a8&gt;CCr alloys with changeable Young&lt;a1&gt;&lt;af&gt;s modulus for spinal fixation applications</t>
  </si>
  <si>
    <t>Optimization of Cr content of metastable &lt;a6&gt;&lt;c2&gt;-type Ti&lt;a8&gt;CCr alloys with changeable Young&lt;a2&gt;&lt;af&gt;s modulus for spinal fixation applications</t>
  </si>
  <si>
    <t>Optimization of Cr content of metastable &lt;a6&gt;&lt;c2&gt;-type Ti&lt;a8&gt;CCr alloys with changeable Young&lt;a3&gt;&lt;af&gt;s modulus for spinal fixation applications</t>
  </si>
  <si>
    <t>Optimization of Cr content of metastable &lt;a6&gt;&lt;c2&gt;-type Ti&lt;a8&gt;CCr alloys with changeable Young&lt;a4&gt;&lt;af&gt;s modulus for spinal fixation applications</t>
  </si>
  <si>
    <t>Optimization of Cr content of metastable &lt;a6&gt;&lt;c2&gt;-type Ti&lt;a8&gt;CCr alloys with changeable Young&lt;a5&gt;&lt;af&gt;s modulus for spinal fixation applications</t>
  </si>
  <si>
    <t>Toughening effects of Mo and Nb addition on impact toughness and crack resistance of titanium alloys</t>
  </si>
  <si>
    <t>Shape memory characteristics of Ti–22Nb–(2–9)Zr(at.%) biomedical alloys</t>
  </si>
  <si>
    <t>Shape memory characteristics of Ti–22Nb–(2–10)Zr(at.%) biomedical alloys</t>
  </si>
  <si>
    <t>Shape memory characteristics of Ti–22Nb–(2–11)Zr(at.%) biomedical alloys</t>
  </si>
  <si>
    <t>The role of heat treatment on microstructure and mechanical properties of Ti–13Zr–13Nb alloy for biomedical load bearing applications</t>
  </si>
  <si>
    <t>Design and mechanical properties of new β type titanium alloys for implant materials</t>
  </si>
  <si>
    <t>Microstructural and mechanical characterization of biomedical Ti–Nb–Zr(–Ta) alloys</t>
  </si>
  <si>
    <t>Cold rolling deformation and annealing behavior of a &lt;a6&gt;&lt;c2&gt;-type Ti&lt;a8&gt;C34Nb&lt;a8&gt;C25Zr titanium alloy for biomedical applications</t>
  </si>
  <si>
    <t>Cold rolling deformation and annealing behavior of a &lt;a6&gt;&lt;c2&gt;-type Ti&lt;a8&gt;C34Nb&lt;a8&gt;C26Zr titanium alloy for biomedical applications</t>
  </si>
  <si>
    <t>Cold rolling deformation and annealing behavior of a &lt;a6&gt;&lt;c2&gt;-type Ti&lt;a8&gt;C34Nb&lt;a8&gt;C27Zr titanium alloy for biomedical applications</t>
  </si>
  <si>
    <t>Cold rolling deformation and annealing behavior of a &lt;a6&gt;&lt;c2&gt;-type Ti&lt;a8&gt;C34Nb&lt;a8&gt;C28Zr titanium alloy for biomedical applications</t>
  </si>
  <si>
    <t>Cold rolling deformation and annealing behavior of a &lt;a6&gt;&lt;c2&gt;-type Ti&lt;a8&gt;C34Nb&lt;a8&gt;C29Zr titanium alloy for biomedical applications</t>
  </si>
  <si>
    <t>Cold rolling deformation and annealing behavior of a &lt;a6&gt;&lt;c2&gt;-type Ti&lt;a8&gt;C34Nb&lt;a8&gt;C30Zr titanium alloy for biomedical applications</t>
  </si>
  <si>
    <t>Charpy impact behaviors of metastable β-Ti alloys: Transformation induce plasticity versus twining induce plasticity</t>
  </si>
  <si>
    <t>Coupling effect of loading mode and temperature on the deformation behaviors of TWIP β Ti alloy: From superior tensile strength-ductility synergy to low Charpy impact toughness</t>
  </si>
  <si>
    <t>ω phase strengthened 1.2GPa metastable β titanium alloy with high ductility</t>
  </si>
  <si>
    <t>Microstructure and Mechanical Properties of Ti-12Mo-8Nb Alloy Hot Swaged and Treated for Orthopedic Applications</t>
  </si>
  <si>
    <t>Relationship between various deformation-induced products and mechanical properties in metastable Ti–30Zr–Mo alloys for biomedical applications</t>
  </si>
  <si>
    <t>Microstructure, mechanical properties, and cytotoxicity of low Young’s modulus Ti–Nb–Fe–Sn alloys</t>
  </si>
  <si>
    <t>Relationship between various deformation-induced products and mechanical properties in metastable Ti&lt;a8&gt;C30Zr&lt;a11&gt;CMo alloys for biomedical applications</t>
  </si>
  <si>
    <t>Mechanical properties and corrosion resistance improvement of TiAlSnMo alloys via Mo addition - ScienceDirect</t>
  </si>
  <si>
    <t>Beta TiNbSn Alloys with Low Young&lt;a1&gt;&lt;af&gt;s Modulus and High Strength</t>
  </si>
  <si>
    <t>Beta TiNbSn Alloys with Low Young&lt;a2&gt;&lt;af&gt;s Modulus and High Strength</t>
  </si>
  <si>
    <t>Beta TiNbSn Alloys with Low Young&lt;a3&gt;&lt;af&gt;s Modulus and High Strength</t>
  </si>
  <si>
    <t>Beta TiNbSn Alloys with Low Young&lt;a4&gt;&lt;af&gt;s Modulus and High Strength</t>
  </si>
  <si>
    <t>Beta TiNbSn Alloys with Low Young&lt;a5&gt;&lt;af&gt;s Modulus and High Strength</t>
  </si>
  <si>
    <t>Beta TiNbSn Alloys with Low Young&lt;a6&gt;&lt;af&gt;s Modulus and High Strength</t>
  </si>
  <si>
    <t>Controlled nanoscale precipitation to enhance the mechanical and biological performances of a metastable &lt;a6&gt;&lt;c2&gt; Ti-Nb-Sn alloy for orthopedic applications</t>
  </si>
  <si>
    <t>Controlled nanoscale precipitation to enhance the mechanical and biological performances of a metastable &lt;a6&gt;&lt;c3&gt; Ti-Nb-Sn alloy for orthopedic applications</t>
  </si>
  <si>
    <t>Controlled nanoscale precipitation to enhance the mechanical and biological performances of a metastable &lt;a6&gt;&lt;c4&gt; Ti-Nb-Sn alloy for orthopedic applications</t>
  </si>
  <si>
    <t>收集于西工大硕博论文，未公开</t>
  </si>
  <si>
    <t>Decomposition of martensite α″ during aging treatments and resulting mechanical properties of Ti−Ta alloys</t>
  </si>
  <si>
    <t>Beta type Ti–Mo alloys with changeable Young’s modulus for spinal fixation applications</t>
  </si>
  <si>
    <t>Shape memory characteristics of Ti–22Nb–(2–8)Zr(at.%) biomedical alloys</t>
  </si>
  <si>
    <t>A β-titanium alloy with extra high strain-hardening rate: Design and mechanical properties</t>
  </si>
  <si>
    <t>Mechanical Characterization of Ti–12mo–13nb Alloy for Biomedical Application Hot Swaged and Aged</t>
  </si>
  <si>
    <t>Mechanical properties and corrosion resistance improvement of TiAlSnMo alloys via Mo addition</t>
  </si>
  <si>
    <t>A comparison of tensile properties and corrosion behavior of cast Ti&lt;a8&gt;C7.5Mo with c.p. Ti, Ti&lt;a8&gt;C15Mo and Ti&lt;a8&gt;C6Al&lt;a8&gt;C6V alloys</t>
  </si>
  <si>
    <t>Study of low-temperature impact deformation behavior of Ti–6Al–4V alloy</t>
  </si>
  <si>
    <t>Effect of Nb on microstructure and mechanical properties of Ti-xNb-4Zr&lt;a8&gt;C8Sn alloys</t>
  </si>
  <si>
    <t>Mechanical properties of biomedical titanium alloys</t>
  </si>
  <si>
    <t>Effect of annealing temperature on the notch impact toughness of a laser melting deposited titanium alloy Ti–4Al–1.5Mn</t>
  </si>
  <si>
    <t>α′ Martensite Ti–V–Sn alloys with low Young's modulus and high strength</t>
  </si>
  <si>
    <t>Tailoring the microstructure and mechanical properties of metastable Ti–29Nb–13Ta-4.6Zr alloy for self-expansible stent applications</t>
  </si>
  <si>
    <t>时效温度对Ti-35Nb-5Ta-7Zr合金α相特征及力学性能和腐蚀行为的影响</t>
  </si>
  <si>
    <t>Effect of Various Annealing Temperature on Microstructure and Properties of Metastable β-Type Ti-35Nb-2Ta-3Zr Alloy for Biomedical Applications</t>
  </si>
  <si>
    <t>固溶温度对Ti-6Al-4V-4Mo合金组织与力学性能的影响</t>
  </si>
  <si>
    <t>热处理工艺对TB6钛合金棒材微观组织和力学性能的影响</t>
  </si>
  <si>
    <t>Study on the Hot Processing Parameters-Impact Toughness Correlation of Ti-6Al-4V Alloy</t>
  </si>
  <si>
    <t xml:space="preserve">Impact toughness and deformation modes of Ti–6Al–4V alloy with different microstructures </t>
  </si>
  <si>
    <t>Effect of microstructure on impact fracture mechanism of a high-strength Ti-5Al-7.5V-0.5Si-0.25Fe-0.2O alloy</t>
  </si>
  <si>
    <t>Microstructural evolution and mechanical properties of powder metallurgy Ti–6Al–4V alloy based on heat response</t>
  </si>
  <si>
    <t>Effect of heat treatment on microstructures and properties of vacuum laser welding Ti–6Al–4V titanium alloy</t>
  </si>
  <si>
    <t>Microstructure, texture evolution and mechanical properties of cold rolled Ti-32.5Nb-6.8Zr-2.7Sn biomedical beta titanium alloy</t>
  </si>
  <si>
    <t>Characterization of the martensitic transformation in the superelastic Ti–24Nb–4Zr–8Sn alloy by in situ synchrotron X-ray diffraction and dynamic mechanical analysis</t>
  </si>
  <si>
    <t>Effect of Nb on microstructure and mechanical properties of Ti-xNb-4Zr&lt;a8&gt;C9Sn alloys</t>
  </si>
  <si>
    <t>Effect of Nb on microstructure and mechanical properties of Ti-xNb-4Zr&lt;a8&gt;C10Sn alloys</t>
  </si>
  <si>
    <t>Effect of Nb on microstructure and mechanical properties of Ti-xNb-4Zr&lt;a8&gt;C11Sn alloys</t>
  </si>
  <si>
    <t>Effect of Nb on microstructure and mechanical properties of Ti-xNb-4Zr&lt;a8&gt;C12Sn alloys</t>
  </si>
  <si>
    <t>Effect of Nb on microstructure and mechanical properties of Ti-xNb-4Zr&lt;a8&gt;C13Sn alloys</t>
  </si>
  <si>
    <t>Microstructure, texture evolution and mechanical properties of cold rolled Ti-32.5Nb-6.8Zr-2.8Sn biomedical beta titanium alloy</t>
  </si>
  <si>
    <t>Microstructure, texture evolution and mechanical properties of cold rolled Ti-32.5Nb-6.8Zr-2.9Sn biomedical beta titanium alloy</t>
  </si>
  <si>
    <t>Development of a new β Ti alloy with low modulus and favorable plasticity for implant material</t>
  </si>
  <si>
    <t>Development of a new &lt;a6&gt;&lt;c2&gt; Ti alloy with low modulus and favorable plasticity for implant material</t>
  </si>
  <si>
    <t>Development of a new &lt;a6&gt;&lt;c3&gt; Ti alloy with low modulus and favorable plasticity for implant material</t>
  </si>
  <si>
    <t>A Novel Metastable Ti-25Nb-2Mo-4Sn Alloy with High Strength and Low Young’s Modulus</t>
  </si>
  <si>
    <t>Relationship between various deformation-induced products and mechanical properties in metastable Ti&lt;a8&gt;C30Zr&lt;a12&gt;CMo alloys for biomedical applications</t>
  </si>
  <si>
    <t>Relationship between various deformation-induced products and mechanical properties in metastable Ti&lt;a8&gt;C30Zr&lt;a13&gt;CMo alloys for biomedical applications</t>
  </si>
  <si>
    <t>Relationship between various deformation-induced products and mechanical properties in metastable Ti&lt;a8&gt;C30Zr&lt;a14&gt;CMo alloys for biomedical applications</t>
  </si>
  <si>
    <t>Relationship between various deformation-induced products and mechanical properties in metastable Ti&lt;a8&gt;C30Zr&lt;a15&gt;CMo alloys for biomedical applications</t>
  </si>
  <si>
    <t>High-strength Ti-Al-V-Zr cast alloys designed using α and β cluster formulas</t>
  </si>
  <si>
    <t>High-strength Ti-Al-V-Zr cast alloys designed using α and β cluster formulas | China Foundry (springer.com)</t>
  </si>
  <si>
    <t>Relationship between various deformation-induced products and mechanical properties in metastable Ti&lt;a8&gt;C30Zr&lt;a8&gt;CMo alloys for biomedical applications</t>
  </si>
  <si>
    <t>Relationship between various deformation-induced products and mechanical properties in metastable Ti&lt;a8&gt;C30Zr&lt;a9&gt;CMo alloys for biomedical applications</t>
  </si>
  <si>
    <t>Relationship between various deformation-induced products and mechanical properties in metastable Ti&lt;a8&gt;C30Zr&lt;a10&gt;CMo alloys for biomedical applications</t>
  </si>
  <si>
    <t>High impact toughness of CT20 alloy induced by multi-factor coupling</t>
  </si>
  <si>
    <t>Microstructure and mechanical properties of friction welds of an α+β titanium alloy</t>
  </si>
  <si>
    <t>Effect of annealing temperature on the microstructures and impact toughness of Ti-6Al-4V-0.5Ni-0.5Nb titanium alloy plates</t>
  </si>
  <si>
    <t>Effect of annealing temperature on microstructures and mechanical properties of a hot-rolled Ti-6Al-4V-0.5Ni-0.5Nb alloy for offshore applications</t>
  </si>
  <si>
    <t>Comparative research on Charpy impact behaviors of a novel TRIP Ti alloy with single β and α + β dual phase</t>
  </si>
  <si>
    <t>Design of new biomedical titanium alloy based on d-electron alloy design theory and JMatPro software</t>
  </si>
  <si>
    <t>Effects of Nb and Zr on structural stabilities of Ti-Mo-Sn-based alloys with low modulus</t>
  </si>
  <si>
    <t>Effects of cold deformation on microstructure and mechanical properties of Ti-35Nb-9Zr-6Mo-4Sn alloy for biomedical applications</t>
  </si>
  <si>
    <t>Effects of cold deformation on microstructure and mechanical properties of Ti-35Nb-9Zr-6Mo-5Sn alloy for biomedical applications</t>
  </si>
  <si>
    <t>Effects of cold deformation on microstructure and mechanical properties of Ti-35Nb-9Zr-6Mo-6Sn alloy for biomedical applications</t>
  </si>
  <si>
    <t>Effects of cold deformation on microstructure and mechanical properties of Ti-35Nb-9Zr-6Mo-7Sn alloy for biomedical applications</t>
  </si>
  <si>
    <t>Effects of cold deformation on microstructure and mechanical properties of Ti-35Nb-9Zr-6Mo-8Sn alloy for biomedical applications</t>
  </si>
  <si>
    <t>Effect of solution temperature on microstructures and tensile properties of high strength Ti&lt;a8&gt;C6Cr&lt;a8&gt;C5Mo&lt;a8&gt;C5V&lt;a8&gt;C4Al alloy</t>
  </si>
  <si>
    <t>Effect of solution temperature on microstructures and tensile properties of high strength Ti&lt;a8&gt;C6Cr&lt;a8&gt;C5Mo&lt;a8&gt;C5V&lt;a8&gt;C5Al alloy</t>
  </si>
  <si>
    <t>Effect of solution temperature on microstructures and tensile properties of high strength Ti&lt;a8&gt;C6Cr&lt;a8&gt;C5Mo&lt;a8&gt;C5V&lt;a8&gt;C6Al alloy</t>
  </si>
  <si>
    <t>Effect of solution temperature on microstructures and tensile properties of high strength Ti&lt;a8&gt;C6Cr&lt;a8&gt;C5Mo&lt;a8&gt;C5V&lt;a8&gt;C7Al alloy</t>
  </si>
  <si>
    <t>Effect of solution temperature on microstructures and tensile properties of high strength Ti&lt;a8&gt;C6Cr&lt;a8&gt;C5Mo&lt;a8&gt;C5V&lt;a8&gt;C8Al alloy</t>
  </si>
  <si>
    <t>Effect of solution temperature on microstructures and tensile properties of high strength Ti&lt;a8&gt;C6Cr&lt;a8&gt;C5Mo&lt;a8&gt;C5V&lt;a8&gt;C9Al alloy</t>
  </si>
  <si>
    <t>Effect of solution temperature on microstructures and tensile properties of high strength Ti&lt;a8&gt;C6Cr&lt;a8&gt;C5Mo&lt;a8&gt;C5V&lt;a8&gt;C10Al alloy</t>
  </si>
  <si>
    <t>Effect of solution temperature on microstructures and tensile properties of high strength Ti&lt;a8&gt;C6Cr&lt;a8&gt;C5Mo&lt;a8&gt;C5V&lt;a8&gt;C11Al alloy</t>
  </si>
  <si>
    <t>Effect of solution temperature on microstructures and tensile properties of high strength Ti&lt;a8&gt;C6Cr&lt;a8&gt;C5Mo&lt;a8&gt;C5V&lt;a8&gt;C12Al alloy</t>
  </si>
  <si>
    <t>Effect of solution temperature on microstructures and tensile properties of high strength Ti&lt;a8&gt;C6Cr&lt;a8&gt;C5Mo&lt;a8&gt;C5V&lt;a8&gt;C13Al alloy</t>
  </si>
  <si>
    <t>Effect of solution temperature on microstructures and tensile properties of high strength Ti&lt;a8&gt;C6Cr&lt;a8&gt;C5Mo&lt;a8&gt;C5V&lt;a8&gt;C14Al alloy</t>
  </si>
  <si>
    <t>Effect of solution temperature on microstructures and tensile properties of high strength Ti&lt;a8&gt;C6Cr&lt;a8&gt;C5Mo&lt;a8&gt;C5V&lt;a8&gt;C15Al alloy</t>
  </si>
  <si>
    <t>Effect of solution temperature on microstructures and tensile properties of high strength Ti&lt;a8&gt;C6Cr&lt;a8&gt;C5Mo&lt;a8&gt;C5V&lt;a8&gt;C16Al alloy</t>
  </si>
  <si>
    <t>Effect of solution temperature on microstructures and tensile properties of high strength Ti&lt;a8&gt;C6Cr&lt;a8&gt;C5Mo&lt;a8&gt;C5V&lt;a8&gt;C17Al alloy</t>
  </si>
  <si>
    <t>Effect of solution temperature on microstructures and tensile properties of high strength Ti&lt;a8&gt;C6Cr&lt;a8&gt;C5Mo&lt;a8&gt;C5V&lt;a8&gt;C18Al alloy</t>
  </si>
  <si>
    <t>Effect of solution temperature on microstructures and tensile properties of high strength Ti&lt;a8&gt;C6Cr&lt;a8&gt;C5Mo&lt;a8&gt;C5V&lt;a8&gt;C19Al alloy</t>
  </si>
  <si>
    <t>Effect of solution temperature on microstructures and tensile properties of high strength Ti&lt;a8&gt;C6Cr&lt;a8&gt;C5Mo&lt;a8&gt;C5V&lt;a8&gt;C20Al alloy</t>
  </si>
  <si>
    <t>Effect of solution temperature on microstructures and tensile properties of high strength Ti&lt;a8&gt;C6Cr&lt;a8&gt;C5Mo&lt;a8&gt;C5V&lt;a8&gt;C21Al alloy</t>
  </si>
  <si>
    <t>Effect of solution temperature on microstructures and tensile properties of high strength Ti&lt;a8&gt;C6Cr&lt;a8&gt;C5Mo&lt;a8&gt;C5V&lt;a8&gt;C22Al alloy</t>
  </si>
  <si>
    <t>Effect of solution temperature on microstructures and tensile properties of high strength Ti&lt;a8&gt;C6Cr&lt;a8&gt;C5Mo&lt;a8&gt;C5V&lt;a8&gt;C23Al alloy</t>
  </si>
  <si>
    <t>Crack propagation during Charpy impact toughness testing of Ti−Al−V−Mo−Zr alloy tubes containing equiaxed and lamellar microstructures</t>
  </si>
  <si>
    <t>Drastic improvement in elongation and impact toughness of Ti–Al–V–Mo–Zr alloy tube via three-step heat treatment</t>
  </si>
  <si>
    <t>Grain misorientation induced low-temperature impact toughness deterioration and its deformation mechanism of Ti6321 titanium alloy</t>
  </si>
  <si>
    <t>Low-temperature impact toughness and deformation mechanism of CT20 titanium alloy</t>
  </si>
  <si>
    <t>Dot-dash grain boundary α: A new strategy for improving impact toughness of dual-phase Ti-652 alloy</t>
  </si>
  <si>
    <t>Effect of germanium and silicon additions on the mechanical properties of a near-α titanium alloy</t>
  </si>
  <si>
    <t>Mechanical behavior and impact toughness of the ultrafine-grained VT8M-1 alloy</t>
  </si>
  <si>
    <t>Study on the microstructure and impact toughness of TC11 titanium alloy by a novel electromagnetic shocking treatment</t>
  </si>
  <si>
    <t>Mechanical behavior and impact toughness of the ultrafine-grained Grade 5 Ti alloy processed by ECAP</t>
  </si>
  <si>
    <t>热处理对TC18钛合金组织定量分析及性能影响规律研究</t>
  </si>
  <si>
    <t>不同尺寸的α相对亚稳β钛合金Ti-5.5Cr-5Al-4Mo-3Nb-2Zr拉伸性能的影响</t>
  </si>
  <si>
    <t>Effect of microstructure on the tensile properties and impact toughness of TC21G titanium alloy</t>
  </si>
  <si>
    <t>冷轧及热处理对一种亚稳β型钛合金组织及性能的影响</t>
  </si>
  <si>
    <t>Impact Toughness of As-Built and Heat-Treated Near-β Ti–5Al–5Mo–5V–3Cr–1Zr Alloys Fabricated by Selective Laser Melting and Electron Beam Melting</t>
  </si>
  <si>
    <t>Tensile performance and impact toughness of Ti-55531 alloy with multilevel lamellar microstructure</t>
  </si>
  <si>
    <t>Influence of annealing on the microstructure and Charpy impact toughness of wire arc additive manufactured Ti5111 alloy</t>
  </si>
  <si>
    <t>Research on the related between microstructures and impact toughness of Ti80 alloy</t>
  </si>
  <si>
    <t>Twinning-induced high impact toughness of titanium alloy at cryogenic temperature</t>
  </si>
  <si>
    <t>固溶温度对TC21钛合金微观组织与力学性能的影响</t>
  </si>
  <si>
    <t>固溶时效对铸造Ti-6Al-2Sn-2Zr-2Cr-2Mo-2Nb钛合金组织和性能的影响</t>
  </si>
  <si>
    <t>Study on the intrinsic factors determining impact toughness of TC21 alloy</t>
  </si>
  <si>
    <t>Microstructures and mechanical properties of a titanium alloy thick plate joint after electron beam welding plus solution-aging</t>
  </si>
  <si>
    <t>Relationships between microstructure and mechanical properties of Ti-5Al-5Mo-5V-3Cr-1Zr alloy</t>
  </si>
  <si>
    <t>Effect of Annealing Temperature on the Strength and Toughness of Ti-55531 Titanium Alloy After Multiple Heat Treatment</t>
  </si>
  <si>
    <t>Influence of Heat Treatment on Microstructure and Mechanical Characteristics of the Titanium Alloy Ti-5Al-5 V-2Mo-Cr with Metastable β-Phase</t>
  </si>
  <si>
    <t>Microstructure Evolution and Mechanical Properties of Linear Friction Welded Ti-5Al-2Sn-2Zr-4Mo-4Cr (Ti17)Titanium Alloy Joints</t>
  </si>
  <si>
    <t>Effect of microstructure evolution of the lamellar alpha on impact toughness in a two-phase titanium alloy</t>
  </si>
  <si>
    <t>Research on the microstructural evolution mechanism and impact toughness of Ti-17 alloy with an initial basket-weave microstructure</t>
  </si>
  <si>
    <t>Microstructure and mechanical properties of a newly developed Ti-6Al-2Mo-2Sn-2Zr-2Cr-2V alloy fabricated by laser directed energy deposition</t>
  </si>
  <si>
    <t>Microstructure tailoring and impact toughness of a newly developed high strength Ti-5Al-3Mo-3V-2Cr-2Zr-1Nb-1Fe alloy</t>
  </si>
  <si>
    <t>Effect of annealing temperature on microstructures and mechanical properties of a hot-rolled Ti-6Al-4V-0.5Ni-0.5Nb alloy for offshore applications</t>
    <phoneticPr fontId="1" type="noConversion"/>
  </si>
  <si>
    <t xml:space="preserve"> </t>
  </si>
  <si>
    <t>HV</t>
  </si>
  <si>
    <t>HV</t>
    <phoneticPr fontId="1" type="noConversion"/>
  </si>
  <si>
    <t>doi</t>
    <phoneticPr fontId="1" type="noConversion"/>
  </si>
  <si>
    <t>10.1016/j.matpr.2020.05.315</t>
  </si>
  <si>
    <t>10.1016/j.matpr.2020.05.316</t>
  </si>
  <si>
    <t>10.1016/j.matchar.2021.111122</t>
  </si>
  <si>
    <t>10.1016/j.matchar.2021.111123</t>
  </si>
  <si>
    <t>10.1016/j.matchar.2021.111124</t>
  </si>
  <si>
    <t>10.1016/j.jallcom.2007.10.054</t>
  </si>
  <si>
    <t>10.1016/j.jallcom.2007.10.055</t>
  </si>
  <si>
    <t>10.1016/j.jmst.2023.01.061</t>
  </si>
  <si>
    <t>10.1016/j.mtcomm.2021.102347</t>
  </si>
  <si>
    <t>10.1016/j.mtcomm.2021.102348</t>
  </si>
  <si>
    <t>10.1016/j.mtcomm.2021.102349</t>
  </si>
  <si>
    <t>10.1016/j.mtcomm.2021.102350</t>
  </si>
  <si>
    <t>10.1016/j.actbio.2012.02.004</t>
  </si>
  <si>
    <t>10.1016/j.actbio.2012.02.005</t>
  </si>
  <si>
    <t>10.1016/j.actbio.2012.02.006</t>
  </si>
  <si>
    <t>10.1016/j.actbio.2012.02.007</t>
  </si>
  <si>
    <t>10.1016/j.matlet.2010.11.006</t>
  </si>
  <si>
    <t>10.1016/j.actbio.2012.02.010</t>
  </si>
  <si>
    <t>10.1016/j.actbio.2012.02.011</t>
  </si>
  <si>
    <t>10.1016/j.actbio.2012.02.012</t>
  </si>
  <si>
    <t>10.1016/j.actbio.2012.02.013</t>
  </si>
  <si>
    <t>10.1016/j.actbio.2012.02.014</t>
  </si>
  <si>
    <t>10.1016/S0921-5093(97)00808-3</t>
  </si>
  <si>
    <t>10.1016/j.msea.2006.06.013</t>
  </si>
  <si>
    <t>10.1016/j.jmrt.2019.12.062</t>
  </si>
  <si>
    <t>10.1016/j.jmrt.2019.12.063</t>
  </si>
  <si>
    <t>10.1016/j.jmrt.2019.12.064</t>
  </si>
  <si>
    <t>10.1016/j.jmrt.2019.12.065</t>
  </si>
  <si>
    <t>10.1016/j.jmrt.2019.12.066</t>
  </si>
  <si>
    <t>10.1016/j.jmrt.2019.12.067</t>
  </si>
  <si>
    <t>10.1016/j.scriptamat.2018.10.043</t>
  </si>
  <si>
    <t>10.1007/s10853-022-06984-5</t>
  </si>
  <si>
    <t>10.1016/j.jallcom.2024.175752</t>
  </si>
  <si>
    <t>10.2320/matertrans.46.1070</t>
  </si>
  <si>
    <t>10.2320/matertrans.46.1071</t>
  </si>
  <si>
    <t>10.2320/matertrans.46.1072</t>
  </si>
  <si>
    <t>10.2320/matertrans.46.1073</t>
  </si>
  <si>
    <t>10.2320/matertrans.46.1074</t>
  </si>
  <si>
    <t>10.2320/matertrans.46.1075</t>
  </si>
  <si>
    <t>10.1016/j.matdes.2017.04.014</t>
  </si>
  <si>
    <t>10.1016/j.matdes.2017.04.015</t>
  </si>
  <si>
    <t>10.1016/j.matdes.2017.04.016</t>
  </si>
  <si>
    <t>10.1016/j.jallcom.2007.10.056</t>
  </si>
  <si>
    <t>10.1016/j.jmst.2023.01.062</t>
  </si>
  <si>
    <t>10.1016/j.jmst.2023.01.063</t>
  </si>
  <si>
    <t>10.1016/j.jmst.2023.01.064</t>
  </si>
  <si>
    <t>10.1016/j.jmst.2023.01.065</t>
  </si>
  <si>
    <t>10.1016/j.jmst.2023.01.066</t>
  </si>
  <si>
    <t>10.1016/j.jmst.2023.01.067</t>
  </si>
  <si>
    <t>10.1016/j.msea.2021.141741</t>
  </si>
  <si>
    <t>10.1016/S0921-5093(97)00806-X</t>
  </si>
  <si>
    <t>10.1016/S0921-5093(97)00807-X</t>
  </si>
  <si>
    <t>10.1016/j.msea.2006.11.022</t>
  </si>
  <si>
    <t>10.1016/j.msea.2006.11.023</t>
  </si>
  <si>
    <t>10.1016/j.msea.2006.11.024</t>
  </si>
  <si>
    <t>10.1016/j.msea.2006.11.025</t>
  </si>
  <si>
    <t>10.3389/fmats.2020.00077</t>
  </si>
  <si>
    <t>10.1016/j.msea.2021.141742</t>
  </si>
  <si>
    <t>10.1016/j.msea.2021.141743</t>
  </si>
  <si>
    <t>10.1016/j.msea.2021.141744</t>
  </si>
  <si>
    <t>10.1016/j.msea.2021.141745</t>
  </si>
  <si>
    <t>10.1016/j.msea.2021.141746</t>
  </si>
  <si>
    <t>10.1016/j.jmst.2017.04.017</t>
  </si>
  <si>
    <t>10.1016/j.jmst.2017.04.018</t>
  </si>
  <si>
    <t>10.1016/j.jmst.2017.04.019</t>
  </si>
  <si>
    <t>10.1016/j.msec.2015.12.076</t>
  </si>
  <si>
    <t>10.1016/j.msec.2015.12.077</t>
  </si>
  <si>
    <t>10.1007/s10853-022-06984-6</t>
  </si>
  <si>
    <t>10.1007/s10853-022-06984-7</t>
  </si>
  <si>
    <t>10.1007/s10853-022-06984-8</t>
  </si>
  <si>
    <t>10.1007/s10853-022-06984-9</t>
  </si>
  <si>
    <t>10.1016/j.jallcom.2024.175753</t>
  </si>
  <si>
    <t>10.1016/j.jallcom.2024.175754</t>
  </si>
  <si>
    <t>10.1016/j.jallcom.2024.175755</t>
  </si>
  <si>
    <t>10.1007/s41230-023-2071-0</t>
  </si>
  <si>
    <t>10.1007/s41230-023-2071-1</t>
  </si>
  <si>
    <t>10.1007/s41230-023-2071-2</t>
  </si>
  <si>
    <t>10.1007/s41230-023-2071-3</t>
  </si>
  <si>
    <t>10.1007/s41230-023-2071-4</t>
  </si>
  <si>
    <t>10.1007/s41230-023-2071-5</t>
  </si>
  <si>
    <t>10.1007/s41230-023-2071-6</t>
  </si>
  <si>
    <t>10.1016/j.jmbbm.2011.06.020</t>
  </si>
  <si>
    <t>10.1016/j.jmbbm.2011.06.021</t>
  </si>
  <si>
    <t>10.1016/j.jmbbm.2011.06.022</t>
  </si>
  <si>
    <t>10.1016/j.msea.2017.01.047</t>
  </si>
  <si>
    <t>10.1016/j.msea.2017.01.048</t>
  </si>
  <si>
    <t>10.1016/j.msea.2017.01.049</t>
  </si>
  <si>
    <t>10.1016/j.msea.2017.01.050</t>
  </si>
  <si>
    <t>10.1016/j.msea.2017.01.051</t>
  </si>
  <si>
    <t>10.1016/j.msea.2017.01.052</t>
  </si>
  <si>
    <t>10.1016/j.msea.2013.03.032</t>
  </si>
  <si>
    <t>10.1016/j.msea.2013.03.033</t>
  </si>
  <si>
    <t>10.1016/j.msea.2013.03.034</t>
  </si>
  <si>
    <t>10.1016/j.msea.2013.03.035</t>
  </si>
  <si>
    <t>10.1016/j.msea.2013.03.036</t>
  </si>
  <si>
    <t>10.1016/j.jallcom.2007.10.057</t>
  </si>
  <si>
    <t>10.1016/j.jallcom.2007.10.058</t>
  </si>
  <si>
    <t>10.1016/j.jallcom.2007.10.059</t>
  </si>
  <si>
    <t>10.1016/j.jallcom.2007.10.060</t>
  </si>
  <si>
    <t>10.1016/j.jallcom.2007.10.061</t>
  </si>
  <si>
    <t>10.1016/j.jallcom.2007.10.062</t>
  </si>
  <si>
    <t>10.1016/j.jallcom.2007.10.063</t>
  </si>
  <si>
    <t>10.1016/j.jallcom.2007.10.064</t>
  </si>
  <si>
    <t>10.1016/j.jallcom.2007.10.065</t>
  </si>
  <si>
    <t>10.1016/j.jallcom.2007.10.066</t>
  </si>
  <si>
    <t>10.1016/j.jallcom.2007.10.067</t>
  </si>
  <si>
    <t>10.1016/j.jallcom.2007.10.068</t>
  </si>
  <si>
    <t>10.1016/j.jallcom.2007.10.069</t>
  </si>
  <si>
    <t>10.1016/j.jallcom.2007.10.070</t>
  </si>
  <si>
    <t>10.1016/j.jallcom.2007.10.071</t>
  </si>
  <si>
    <t>10.1016/j.jallcom.2007.10.072</t>
  </si>
  <si>
    <t>10.1016/j.jallcom.2007.10.073</t>
  </si>
  <si>
    <t>10.1016/j.jallcom.2007.10.074</t>
  </si>
  <si>
    <t>10.1016/j.jallcom.2007.10.075</t>
  </si>
  <si>
    <t>10.1016/j.jallcom.2007.10.076</t>
  </si>
  <si>
    <t>10.1016/j.jallcom.2009.07.006</t>
  </si>
  <si>
    <t>10.1016/j.actamat.2006.01.019</t>
  </si>
  <si>
    <t>10.1007/s11665-022-06586-x</t>
  </si>
  <si>
    <t>10.1016/j.msea.2015.11.005</t>
  </si>
  <si>
    <t>10.1016/j.msea.2004.05.084</t>
  </si>
  <si>
    <t>10.1002/adem.201300281</t>
  </si>
  <si>
    <t>10.1016/j.msea.2005.05.050</t>
  </si>
  <si>
    <t>10.1016/j.jmbbm.2011.03.023</t>
  </si>
  <si>
    <t>10.1016/j.scriptamat.2015.11.020</t>
  </si>
  <si>
    <t xml:space="preserve">10.1590/1516-1439.329614 </t>
  </si>
  <si>
    <t>10.1590/1980-5373-MR-2017-0637</t>
  </si>
  <si>
    <t>10.1016/j.jallcom.2019.06.049</t>
  </si>
  <si>
    <t>10.13289/j.issn.1009-6264.2023-0603</t>
  </si>
  <si>
    <t>10.14158/j.cnki.1001-3814.20211806</t>
  </si>
  <si>
    <t>10.14158/j.cnki.1001-3814.20220293</t>
  </si>
  <si>
    <t>10.1016/j.actamat.2015.01.039</t>
  </si>
  <si>
    <t>10.1007/s11661-012-1324-0</t>
  </si>
  <si>
    <t>10.1016/S1003-6326(13)62829-0</t>
  </si>
  <si>
    <t>10.14024/j.cnki.1004-244x.20240905.001</t>
  </si>
  <si>
    <t>10.12442/j.issn.1002-185X.20230791</t>
  </si>
  <si>
    <t>1002-185X(2023)01-0238-07</t>
  </si>
  <si>
    <t>10.15980/j.tzzz.2024.11.017</t>
  </si>
  <si>
    <t>Mo_eq</t>
  </si>
  <si>
    <t>Mo_eq</t>
    <phoneticPr fontId="1" type="noConversion"/>
  </si>
  <si>
    <t>Ehtemam-Haghighi et al., 2016</t>
  </si>
  <si>
    <t xml:space="preserve">Ehtemam-Haghighi, 2016 </t>
  </si>
  <si>
    <t xml:space="preserve">Fernandes Santos et al., 2016 </t>
  </si>
  <si>
    <t>Pedro Fernandes Santos et al., 2016</t>
  </si>
  <si>
    <t>Fernandes Santos et al., 2016</t>
  </si>
  <si>
    <t>Pedro Fernandes Santos et al., 2015</t>
  </si>
  <si>
    <t>Nthabiseng Abigail Moshokoa et al., 2021</t>
  </si>
  <si>
    <t>M L Raganya et al., 2019</t>
  </si>
  <si>
    <t>Wei-dong Zhang  et al., 2015</t>
  </si>
  <si>
    <t>Wen-Fu Ho, 2008</t>
  </si>
  <si>
    <t>Yu-Po Peng et al, 2015</t>
  </si>
  <si>
    <t>Lerato Raganya et al., 2021</t>
  </si>
  <si>
    <t>Aline Raquel Vieira Nunes et al., 2017</t>
  </si>
  <si>
    <t>C. Sutowo et al, 2019</t>
  </si>
  <si>
    <t>Kai-Yang Liu et al., 2022</t>
  </si>
  <si>
    <t>C Sutowo et al., 2019</t>
  </si>
  <si>
    <t>Paul S Nnamchi et al., 2015</t>
  </si>
  <si>
    <t>D. M. Gordin et al., 2004+Ravikant Sharma et al., 2019</t>
  </si>
  <si>
    <t>D. M. Gordin et al., 2004</t>
  </si>
  <si>
    <t>Changli Zhao et al., 2011</t>
  </si>
  <si>
    <t>Shuji Hanada et al., 1982</t>
  </si>
  <si>
    <t>Yongzhong Zhan et al., 2012</t>
  </si>
  <si>
    <t>Ranxi Duan et al., 2021</t>
  </si>
  <si>
    <t>R. Boyer et al., 1994</t>
  </si>
  <si>
    <t>Qiang Li et al., 2019</t>
  </si>
  <si>
    <t>https://www.sciencedirect.com/science/article/pii/S1751616116301151</t>
  </si>
  <si>
    <t>https://www.sciencedirect.com/science/article/pii/S1751616116301152</t>
  </si>
  <si>
    <t>Ajit Panigrahi et al., 2016</t>
  </si>
  <si>
    <t>Shima Ehtemam-Haghighi et al., 2016</t>
  </si>
  <si>
    <t>Camilo A.F. Salvador et al., 2017</t>
  </si>
  <si>
    <t>Qiang Li et al., 2022</t>
  </si>
  <si>
    <t>Peiyou Li et al., 2020</t>
  </si>
  <si>
    <t>Yu, Z et al., 2012</t>
  </si>
  <si>
    <t>Fangxia Xie et al., 2022</t>
  </si>
  <si>
    <t>Peiyou Li et al., 2019</t>
  </si>
  <si>
    <t>Y.P. Hou et al., 2016</t>
  </si>
  <si>
    <t>Mohsin Talib Mohammed et al.,2014</t>
  </si>
  <si>
    <t>Hiroaki Matsumoto et alj., 20045</t>
  </si>
  <si>
    <t>Athos H. Plaine et alk., 2019</t>
  </si>
  <si>
    <t>Beibei Jiang et al., 2017</t>
  </si>
  <si>
    <t>Beibei Jiang  et al., 2017</t>
  </si>
  <si>
    <t>Yuanyao Cheng et al., 2022</t>
  </si>
  <si>
    <t>Chun-Te Wu et al., 2022</t>
  </si>
  <si>
    <t>Chun-Te Wu et al., 2023</t>
  </si>
  <si>
    <t>Y.L. Hao et al., 2007</t>
  </si>
  <si>
    <t>Xia Li et al., 2019</t>
  </si>
  <si>
    <t>Chun-Te Wu et al., 2020</t>
  </si>
  <si>
    <t xml:space="preserve">E. Bertrand et al., 2010 </t>
  </si>
  <si>
    <t>Daisuke Kuroda et al., 1998</t>
  </si>
  <si>
    <t>Vitor Eduardo Pinotti  et al., 2021</t>
  </si>
  <si>
    <t>Fei Yang et al. 2020</t>
  </si>
  <si>
    <t>Mohsin Talib Mohammed et al., 2014</t>
  </si>
  <si>
    <t>P. Laheurte et al., 2010</t>
  </si>
  <si>
    <t>G.L.G.S.B. Srinivas Kumar et al., 2019</t>
  </si>
  <si>
    <t>Chuanyuan Mao et al., 2022</t>
  </si>
  <si>
    <t>Chen, Juan et al., 2019</t>
  </si>
  <si>
    <t>Xingjun Liu et al., 2022</t>
  </si>
  <si>
    <t>Schneider, S.G et al., 2020</t>
  </si>
  <si>
    <t>Magdalen H.C. Tan et al., 2019</t>
  </si>
  <si>
    <t>L.M. Elias et al., 2006</t>
  </si>
  <si>
    <t>Camilo A F Salvador et al., 2021</t>
  </si>
  <si>
    <t>WenFang Cui et al., 2010</t>
  </si>
  <si>
    <t>Salikh Omarov, et al., 2021</t>
  </si>
  <si>
    <t>Aline Raquel Vieira Nunes
 et al., 2019</t>
  </si>
  <si>
    <t>Josef Stráský  et al., 2022</t>
  </si>
  <si>
    <t>Chun Bo Lan et al., 2017</t>
  </si>
  <si>
    <t>Shunxing Liang et al., 2020</t>
  </si>
  <si>
    <t>Ambreen Azmat et al., 2021</t>
  </si>
  <si>
    <t>Josef Stráský et al., 2017</t>
  </si>
  <si>
    <t>Jithin Vishnu  et al., 2020</t>
  </si>
  <si>
    <t>Jithin Vishnu et al., 2020</t>
  </si>
  <si>
    <t>T.L.M. Morgado et al., 2019</t>
  </si>
  <si>
    <t>Ying-Long Zhou et al., 2004</t>
  </si>
  <si>
    <t>Lamei Yan et al., 2016</t>
  </si>
  <si>
    <t>Xiaoli Zhao et al., 2011</t>
  </si>
  <si>
    <t>Davidson, J.et al., 2011</t>
  </si>
  <si>
    <t>Mohammed et al., 2014</t>
  </si>
  <si>
    <t>10.1007/s10853-021-06002-0</t>
  </si>
  <si>
    <t>10.1016/j.matdes.2018.10.040</t>
  </si>
  <si>
    <t>10.1016/j.jmbbm.2016.09.024</t>
  </si>
  <si>
    <t>10.1007/s11661-016-3411-0</t>
  </si>
  <si>
    <t>10.1016/j.actbio.2015.12.010</t>
  </si>
  <si>
    <t>10.1016/j.msea.2019.138190</t>
  </si>
  <si>
    <t>10.1016/j.matchar.2015.10.005</t>
  </si>
  <si>
    <t>10.1016/j.actbio.2015.03.023</t>
  </si>
  <si>
    <t>10.1016/j.msea.2009.08.057</t>
  </si>
  <si>
    <t>10.1016/j.msec.2015.02.004</t>
  </si>
  <si>
    <t>10.1007/s12613-017-1477-3</t>
  </si>
  <si>
    <t>10.1016/j.jmbbm.2017.07.011</t>
  </si>
  <si>
    <t>10.1016/j.matdes.2016.02.110</t>
  </si>
  <si>
    <t>10.1179/1743284712Y.0000000128</t>
  </si>
  <si>
    <t>10.1016/j.pnsc.2015.09.008</t>
  </si>
  <si>
    <t>10.1016/S0142-9612(03)00069-3</t>
  </si>
  <si>
    <t>10.1016/j.msea.2017.02.045</t>
  </si>
  <si>
    <t>10.1520/F1813-13.2</t>
  </si>
  <si>
    <t>10.1520/F0136-12A.2</t>
  </si>
  <si>
    <t>10.1520/F0562-13.2</t>
  </si>
  <si>
    <t>10.1016/j.msea.2003.12.011</t>
  </si>
  <si>
    <t>10.1016/j.matdes.2016.02.094</t>
  </si>
  <si>
    <t>10.1016/j.matdes.2014.04.015</t>
  </si>
  <si>
    <t>10.1016/j.matchar.2011.07.010</t>
  </si>
  <si>
    <t>10.1016/j.bioactmat.2020.04.012</t>
  </si>
  <si>
    <t>10.1016/j.jmst.2019.03.044</t>
  </si>
  <si>
    <t>10.1016/j.msea.2017.03.027</t>
  </si>
  <si>
    <t>10.1016/j.msea.2009.11.059</t>
  </si>
  <si>
    <t>10.2320/matertrans.45.1549</t>
  </si>
  <si>
    <t>10.1016/j.msea.2018.09.002</t>
  </si>
  <si>
    <t>10.1016/j.matdes.2015.03.028</t>
  </si>
  <si>
    <t>10.1016/j.matdes.2017.02.043</t>
  </si>
  <si>
    <t>10.1016/j.scriptamat.2017.10.017</t>
  </si>
  <si>
    <t>10.1016/j.jallcom.2015.12.199</t>
  </si>
  <si>
    <t>10.2320/matertrans.M2018021</t>
  </si>
  <si>
    <t>10.1016/j.jallcom.2011.05.090</t>
  </si>
  <si>
    <t>10.1016/j.jmbbm.2010.06.007</t>
  </si>
  <si>
    <t>10.1016/j.msea.2021.141750</t>
  </si>
  <si>
    <t>10.1520/F0067-13R17</t>
  </si>
  <si>
    <t>10.1016/j.msec.2015.11.072</t>
  </si>
  <si>
    <t>10.1016/j.matdes.2018.05.035</t>
  </si>
  <si>
    <t>10.1016/j.msea.2018.07.031</t>
  </si>
  <si>
    <t>10.1016/j.actbio.2015.08.015</t>
  </si>
  <si>
    <t>10.2320/matertrans.M2016286</t>
  </si>
  <si>
    <t>10.1016/j.msec.2016.11.101</t>
  </si>
  <si>
    <t>10.1016/j.scriptamat.2008.05.022</t>
  </si>
  <si>
    <t>10.1016/j.matchar.2018.03.031</t>
  </si>
  <si>
    <t>10.1016/j.matdes.2013.10.067</t>
  </si>
  <si>
    <t>10.1016/j.scriptamat.2014.09.005</t>
  </si>
  <si>
    <t>10.1016/j.actamat.2013.07.019</t>
  </si>
  <si>
    <t>10.1016/j.actbio.2006.11.002</t>
  </si>
  <si>
    <t>10.1016/j.scriptamat.2009.02.044</t>
  </si>
  <si>
    <t>10.1016/j.actamat.2010.09.015</t>
  </si>
  <si>
    <t>10.1016/j.jallcom.2010.05.134</t>
  </si>
  <si>
    <t>10.1016/j.actbio.2021.07.061</t>
  </si>
  <si>
    <t>10.1007/s11661-013-2134-8</t>
  </si>
  <si>
    <t>10.1016/j.msec.2015.11.043</t>
  </si>
  <si>
    <t>10.1016/j.jmbbm.2015.06.035</t>
  </si>
  <si>
    <t>10.1007/BF01106518</t>
  </si>
  <si>
    <t>10.1016/j.msea.2010.03.044</t>
  </si>
  <si>
    <t>10.1016/j.actamat.2010.02.010</t>
  </si>
  <si>
    <t>10.1016/j.jallcom.2020.155391</t>
  </si>
  <si>
    <t>10.1016/j.msec.2016.12.057</t>
  </si>
  <si>
    <t>10.1016/j.jmbbm.2015.12.023</t>
  </si>
  <si>
    <t>10.1016/j.msea.2012.09.012</t>
  </si>
  <si>
    <t>10.1016/j.msea.2011.12.103</t>
  </si>
  <si>
    <t>10.1016/j.actamat.2011.06.006</t>
  </si>
  <si>
    <t>10.1126/science.1081957</t>
  </si>
  <si>
    <t>10.1016/j.msea.2015.08.028</t>
  </si>
  <si>
    <t>10.2320/matertrans.M2011153</t>
  </si>
  <si>
    <t>10.3390/ma14133467</t>
  </si>
  <si>
    <t>10.1080/21663831.2017.1350211</t>
  </si>
  <si>
    <t>10.1038/srep37901</t>
  </si>
  <si>
    <t>10.1179/174328408X385773</t>
  </si>
  <si>
    <t>10.1038/s41598-018-25899-3</t>
  </si>
  <si>
    <t>10.1038/s41598-018-37865-0</t>
  </si>
  <si>
    <t>10.1016/j.matdes.2013.10.050</t>
  </si>
  <si>
    <t>10.1016/j.msea.2009.12.050</t>
  </si>
  <si>
    <t>10.1016/j.jallcom.2012.09.140</t>
  </si>
  <si>
    <t>10.1016/j.jmbbm.2012.01.011</t>
  </si>
  <si>
    <t>10.1016/j.jmbbm.2013.07.007</t>
  </si>
  <si>
    <t>10.1016/j.jmbbm.2015.02.030</t>
  </si>
  <si>
    <t>10.1016/S0142-9612(01)00233-2</t>
  </si>
  <si>
    <t>10.1016/j.msec.2005.04.004</t>
  </si>
  <si>
    <t>10.1002/adem.201901229</t>
  </si>
  <si>
    <t>10.1088/2053-1591/abcb3e</t>
  </si>
  <si>
    <t>10.1016/j.jallcom.2019.153078</t>
  </si>
  <si>
    <t>10.1016/j.jallcom.2011.11.035</t>
  </si>
  <si>
    <t>10.1007/s11837-004-0253-9</t>
  </si>
  <si>
    <t>10.1016/j.jallcom.2019.152412</t>
  </si>
  <si>
    <t>10.1016/j.matlet.2014.11.162</t>
  </si>
  <si>
    <t>10.1016/j.matlet.2014.05.134</t>
  </si>
  <si>
    <t>10.1016/j.jallcom.2011.02.171</t>
  </si>
  <si>
    <t>10.1016/j.jallcom.2019.01.346</t>
  </si>
  <si>
    <t>10.1016/j.msea.2017.08.060</t>
  </si>
  <si>
    <t>salvador2021</t>
  </si>
  <si>
    <t>dalbo2018</t>
  </si>
  <si>
    <t>salvador2017</t>
  </si>
  <si>
    <t>lopes2016</t>
  </si>
  <si>
    <t>biesiekierski2016</t>
  </si>
  <si>
    <t>mello2019</t>
  </si>
  <si>
    <t>mello2015</t>
  </si>
  <si>
    <t>ozan2015</t>
  </si>
  <si>
    <t>majumdar2011</t>
  </si>
  <si>
    <t>cui2009</t>
  </si>
  <si>
    <t>xue2015</t>
  </si>
  <si>
    <t>nocivin2017</t>
  </si>
  <si>
    <t>bahl2017</t>
  </si>
  <si>
    <t>ozan2017</t>
  </si>
  <si>
    <t>abd-elrhman2016</t>
  </si>
  <si>
    <t>golosova2013</t>
  </si>
  <si>
    <t>guo2015</t>
  </si>
  <si>
    <t>niinomi2003</t>
  </si>
  <si>
    <t>jiang2017</t>
  </si>
  <si>
    <t>lan2017</t>
  </si>
  <si>
    <t>guo2012</t>
  </si>
  <si>
    <t>astmF1813</t>
  </si>
  <si>
    <t>astmF0136</t>
  </si>
  <si>
    <t>astmF0562</t>
  </si>
  <si>
    <t>zhou2004</t>
  </si>
  <si>
    <t>matsumoto2005</t>
  </si>
  <si>
    <t>kuroda1998</t>
  </si>
  <si>
    <t>haghighi2016</t>
  </si>
  <si>
    <t>shekhar2014</t>
  </si>
  <si>
    <t>zhou2011</t>
  </si>
  <si>
    <t>xu2020</t>
  </si>
  <si>
    <t>wang2019</t>
  </si>
  <si>
    <t>li2017</t>
  </si>
  <si>
    <t>kent2010</t>
  </si>
  <si>
    <t>zhou2004b</t>
  </si>
  <si>
    <t>vajpai2018</t>
  </si>
  <si>
    <t>haghighi2015</t>
  </si>
  <si>
    <t>sadeghpour2017</t>
  </si>
  <si>
    <t>sadeghpour2018</t>
  </si>
  <si>
    <t>liang2016</t>
  </si>
  <si>
    <t>li2018</t>
  </si>
  <si>
    <t>zhao2011</t>
  </si>
  <si>
    <t>bertrand2010</t>
  </si>
  <si>
    <t>santos2021</t>
  </si>
  <si>
    <t>astmF0067</t>
  </si>
  <si>
    <t>rabadia2018</t>
  </si>
  <si>
    <t>rabadia2018b</t>
  </si>
  <si>
    <t>santos2015</t>
  </si>
  <si>
    <t>santos2017</t>
  </si>
  <si>
    <t>wang2017</t>
  </si>
  <si>
    <t>talling2008</t>
  </si>
  <si>
    <t>lan2018</t>
  </si>
  <si>
    <t>zhang2018</t>
  </si>
  <si>
    <t>griza2014</t>
  </si>
  <si>
    <t>brozek2016</t>
  </si>
  <si>
    <t>sun2015</t>
  </si>
  <si>
    <t>sun2013</t>
  </si>
  <si>
    <t>hao2007</t>
  </si>
  <si>
    <t>talling2009</t>
  </si>
  <si>
    <t>obbard2011</t>
  </si>
  <si>
    <t>souza2010</t>
  </si>
  <si>
    <t>tong2021</t>
  </si>
  <si>
    <t>hu2014</t>
  </si>
  <si>
    <t>kopova2016</t>
  </si>
  <si>
    <t>tavares2015</t>
  </si>
  <si>
    <t>hanada1986</t>
  </si>
  <si>
    <t>sun2010</t>
  </si>
  <si>
    <t>obbard2010</t>
  </si>
  <si>
    <t>xu2020b</t>
  </si>
  <si>
    <t>wang2017b</t>
  </si>
  <si>
    <t>nnamchi2016</t>
  </si>
  <si>
    <t>zhang2013</t>
  </si>
  <si>
    <t>li2012</t>
  </si>
  <si>
    <t>besse2011</t>
  </si>
  <si>
    <t>saito2003</t>
  </si>
  <si>
    <t>li2015</t>
  </si>
  <si>
    <t>wadood2011</t>
  </si>
  <si>
    <t>gao2018</t>
  </si>
  <si>
    <t>nocivin2021</t>
  </si>
  <si>
    <t>sun2017</t>
  </si>
  <si>
    <t>lin2016</t>
  </si>
  <si>
    <t>neelakantan2009</t>
  </si>
  <si>
    <t>gao2018b</t>
  </si>
  <si>
    <t>mantri2019</t>
  </si>
  <si>
    <t>hayama2014</t>
  </si>
  <si>
    <t>min2010</t>
  </si>
  <si>
    <t>li2013</t>
  </si>
  <si>
    <t>narita2012</t>
  </si>
  <si>
    <t>kent2013</t>
  </si>
  <si>
    <t>chaves2015</t>
  </si>
  <si>
    <t>lin2002</t>
  </si>
  <si>
    <t>kuroda2005</t>
  </si>
  <si>
    <t>manshadi2020</t>
  </si>
  <si>
    <t>nunes2020</t>
  </si>
  <si>
    <t>gabriel2012</t>
  </si>
  <si>
    <t>qazi2004</t>
  </si>
  <si>
    <t>zhao2011b</t>
  </si>
  <si>
    <t>li2020</t>
  </si>
  <si>
    <t>stepanov2015</t>
  </si>
  <si>
    <t>wu2014</t>
  </si>
  <si>
    <t>senkov2011</t>
  </si>
  <si>
    <t>li2019</t>
  </si>
  <si>
    <t>zhao2017</t>
  </si>
  <si>
    <t>Al_eq</t>
    <phoneticPr fontId="1" type="noConversion"/>
  </si>
  <si>
    <t>Phase_Intermetallic</t>
    <phoneticPr fontId="1" type="noConversion"/>
  </si>
  <si>
    <t>Def_Type_Rolling</t>
    <phoneticPr fontId="1" type="noConversion"/>
  </si>
  <si>
    <t>Def_Type_Casting</t>
    <phoneticPr fontId="1" type="noConversion"/>
  </si>
  <si>
    <t>beta_transform_T</t>
    <phoneticPr fontId="1" type="noConversion"/>
  </si>
  <si>
    <t>Def_Type_Casting</t>
  </si>
  <si>
    <t>Is_Wrought</t>
    <phoneticPr fontId="1" type="noConversion"/>
  </si>
  <si>
    <t>Phase_Info</t>
    <phoneticPr fontId="1" type="noConversion"/>
  </si>
  <si>
    <t>Phase_Info</t>
    <phoneticPr fontId="1" type="noConversion"/>
  </si>
  <si>
    <t>Is_Not_Wrought</t>
    <phoneticPr fontId="1" type="noConversion"/>
  </si>
  <si>
    <t>HT1</t>
    <phoneticPr fontId="1" type="noConversion"/>
  </si>
  <si>
    <t>HT2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</si>
</sst>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1345-9CE2-4256-9977-84D8B4ABA20F}">
  <dimension ref="A1:BF1727"/>
  <sheetViews>
    <sheetView tabSelected="1" zoomScaleNormal="100" workbookViewId="0">
      <pane ySplit="1" topLeftCell="A2" activePane="bottomLeft" state="frozen"/>
      <selection activeCell="AU1" sqref="AU1"/>
      <selection pane="bottomLeft"/>
    </sheetView>
  </sheetViews>
  <sheetFormatPr defaultRowHeight="14" x14ac:dyDescent="0.45"/>
  <cols>
    <col min="1" max="1" width="6.46875" bestFit="1" customWidth="1"/>
    <col min="2" max="2" width="9.234375" bestFit="1" customWidth="1"/>
    <col min="3" max="5" width="8.46875" bestFit="1" customWidth="1"/>
    <col min="6" max="6" width="5.46875" bestFit="1" customWidth="1"/>
    <col min="7" max="7" width="6.46875" bestFit="1" customWidth="1"/>
    <col min="8" max="8" width="8.46875" bestFit="1" customWidth="1"/>
    <col min="9" max="9" width="5.5859375" bestFit="1" customWidth="1"/>
    <col min="10" max="15" width="8.46875" bestFit="1" customWidth="1"/>
    <col min="16" max="16" width="5.234375" bestFit="1" customWidth="1"/>
    <col min="17" max="20" width="7.46875" bestFit="1" customWidth="1"/>
    <col min="21" max="21" width="5.3515625" bestFit="1" customWidth="1"/>
    <col min="22" max="22" width="17.05859375" bestFit="1" customWidth="1"/>
    <col min="23" max="23" width="12.87890625" bestFit="1" customWidth="1"/>
    <col min="24" max="24" width="11.703125" bestFit="1" customWidth="1"/>
    <col min="25" max="25" width="12.703125" bestFit="1" customWidth="1"/>
    <col min="26" max="26" width="19.5859375" bestFit="1" customWidth="1"/>
    <col min="27" max="27" width="17.87890625" bestFit="1" customWidth="1"/>
    <col min="28" max="28" width="18.5859375" bestFit="1" customWidth="1"/>
    <col min="29" max="29" width="19.87890625" bestFit="1" customWidth="1"/>
    <col min="30" max="30" width="6.41015625" bestFit="1" customWidth="1"/>
    <col min="31" max="32" width="12.703125" bestFit="1" customWidth="1"/>
    <col min="33" max="33" width="13.87890625" bestFit="1" customWidth="1"/>
    <col min="34" max="34" width="9.703125" bestFit="1" customWidth="1"/>
    <col min="35" max="35" width="14.05859375" bestFit="1" customWidth="1"/>
    <col min="36" max="36" width="6.41015625" bestFit="1" customWidth="1"/>
    <col min="37" max="37" width="12.234375" bestFit="1" customWidth="1"/>
    <col min="38" max="38" width="12.703125" bestFit="1" customWidth="1"/>
    <col min="39" max="39" width="13.87890625" bestFit="1" customWidth="1"/>
    <col min="40" max="40" width="9.703125" bestFit="1" customWidth="1"/>
    <col min="41" max="41" width="14.05859375" bestFit="1" customWidth="1"/>
    <col min="42" max="42" width="12.05859375" customWidth="1"/>
    <col min="43" max="43" width="13.87890625" bestFit="1" customWidth="1"/>
    <col min="44" max="44" width="12.5859375" bestFit="1" customWidth="1"/>
    <col min="45" max="45" width="19.87890625" bestFit="1" customWidth="1"/>
    <col min="46" max="46" width="27.234375" bestFit="1" customWidth="1"/>
    <col min="47" max="47" width="15.46875" bestFit="1" customWidth="1"/>
    <col min="48" max="48" width="19.703125" bestFit="1" customWidth="1"/>
    <col min="49" max="50" width="12.703125" bestFit="1" customWidth="1"/>
    <col min="51" max="51" width="18.234375" bestFit="1" customWidth="1"/>
    <col min="52" max="52" width="7.46875" bestFit="1" customWidth="1"/>
    <col min="53" max="53" width="9.46875" bestFit="1" customWidth="1"/>
    <col min="54" max="55" width="10.46875" bestFit="1" customWidth="1"/>
    <col min="56" max="56" width="7.46875" bestFit="1" customWidth="1"/>
    <col min="57" max="57" width="7.46875" customWidth="1"/>
  </cols>
  <sheetData>
    <row r="1" spans="1:58" x14ac:dyDescent="0.45">
      <c r="A1" s="1" t="s">
        <v>0</v>
      </c>
      <c r="B1" s="1" t="s">
        <v>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7" t="s">
        <v>643</v>
      </c>
      <c r="W1" s="7" t="s">
        <v>640</v>
      </c>
      <c r="X1" s="3" t="s">
        <v>20</v>
      </c>
      <c r="Y1" s="3" t="s">
        <v>21</v>
      </c>
      <c r="Z1" s="3" t="s">
        <v>637</v>
      </c>
      <c r="AA1" s="3" t="s">
        <v>636</v>
      </c>
      <c r="AB1" s="3" t="s">
        <v>23</v>
      </c>
      <c r="AC1" s="3" t="s">
        <v>24</v>
      </c>
      <c r="AD1" s="6" t="s">
        <v>644</v>
      </c>
      <c r="AE1" s="6" t="s">
        <v>25</v>
      </c>
      <c r="AF1" s="6" t="s">
        <v>26</v>
      </c>
      <c r="AG1" s="6" t="s">
        <v>29</v>
      </c>
      <c r="AH1" s="6" t="s">
        <v>30</v>
      </c>
      <c r="AI1" s="6" t="s">
        <v>31</v>
      </c>
      <c r="AJ1" s="6" t="s">
        <v>645</v>
      </c>
      <c r="AK1" s="6" t="s">
        <v>27</v>
      </c>
      <c r="AL1" s="6" t="s">
        <v>28</v>
      </c>
      <c r="AM1" s="6" t="s">
        <v>32</v>
      </c>
      <c r="AN1" s="6" t="s">
        <v>33</v>
      </c>
      <c r="AO1" s="6" t="s">
        <v>34</v>
      </c>
      <c r="AP1" s="4" t="s">
        <v>641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358</v>
      </c>
      <c r="AX1" s="4" t="s">
        <v>634</v>
      </c>
      <c r="AY1" s="4" t="s">
        <v>638</v>
      </c>
      <c r="AZ1" s="5"/>
      <c r="BA1" s="5"/>
      <c r="BB1" s="5"/>
      <c r="BC1" s="5"/>
      <c r="BD1" s="5"/>
      <c r="BE1" t="s">
        <v>219</v>
      </c>
      <c r="BF1" t="s">
        <v>48</v>
      </c>
    </row>
    <row r="2" spans="1:58" x14ac:dyDescent="0.45">
      <c r="A2">
        <v>10001</v>
      </c>
      <c r="B2">
        <v>1</v>
      </c>
      <c r="C2">
        <v>99.837000000000003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800</v>
      </c>
      <c r="AF2">
        <v>1</v>
      </c>
      <c r="AJ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882</v>
      </c>
      <c r="BB2">
        <v>500</v>
      </c>
      <c r="BF2" t="s">
        <v>49</v>
      </c>
    </row>
    <row r="3" spans="1:58" x14ac:dyDescent="0.45">
      <c r="A3">
        <v>10002</v>
      </c>
      <c r="B3">
        <v>1</v>
      </c>
      <c r="C3">
        <v>99.972999999999999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800</v>
      </c>
      <c r="AF3">
        <v>1</v>
      </c>
      <c r="AJ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882</v>
      </c>
      <c r="BB3">
        <v>257</v>
      </c>
      <c r="BF3" t="s">
        <v>49</v>
      </c>
    </row>
    <row r="4" spans="1:58" x14ac:dyDescent="0.45">
      <c r="A4">
        <v>10003</v>
      </c>
      <c r="B4">
        <v>1</v>
      </c>
      <c r="C4">
        <v>60.72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39.28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850</v>
      </c>
      <c r="AF4">
        <v>1</v>
      </c>
      <c r="AG4">
        <v>1</v>
      </c>
      <c r="AH4">
        <v>0</v>
      </c>
      <c r="AI4">
        <v>0</v>
      </c>
      <c r="AJ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10.998400000000002</v>
      </c>
      <c r="AX4">
        <v>0</v>
      </c>
      <c r="AY4">
        <v>882</v>
      </c>
      <c r="BB4">
        <v>581.4</v>
      </c>
      <c r="BC4">
        <v>22.32</v>
      </c>
      <c r="BF4" t="s">
        <v>51</v>
      </c>
    </row>
    <row r="5" spans="1:58" x14ac:dyDescent="0.45">
      <c r="A5">
        <v>10004</v>
      </c>
      <c r="B5">
        <v>1</v>
      </c>
      <c r="C5">
        <v>59.45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40.549999999999997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20</v>
      </c>
      <c r="Y5">
        <v>99</v>
      </c>
      <c r="Z5">
        <v>0</v>
      </c>
      <c r="AA5">
        <v>1</v>
      </c>
      <c r="AB5">
        <v>0</v>
      </c>
      <c r="AC5">
        <v>0</v>
      </c>
      <c r="AD5">
        <v>1</v>
      </c>
      <c r="AE5">
        <v>900</v>
      </c>
      <c r="AF5">
        <v>0.5</v>
      </c>
      <c r="AG5">
        <v>1</v>
      </c>
      <c r="AH5">
        <v>0</v>
      </c>
      <c r="AI5">
        <v>0</v>
      </c>
      <c r="AJ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11.354000000000001</v>
      </c>
      <c r="AX5">
        <v>0</v>
      </c>
      <c r="AY5">
        <v>882</v>
      </c>
      <c r="BB5">
        <v>352</v>
      </c>
      <c r="BC5">
        <v>9.08</v>
      </c>
      <c r="BF5" t="s">
        <v>52</v>
      </c>
    </row>
    <row r="6" spans="1:58" x14ac:dyDescent="0.45">
      <c r="A6">
        <v>10005</v>
      </c>
      <c r="B6">
        <v>1</v>
      </c>
      <c r="C6">
        <v>59.45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40.549999999999997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20</v>
      </c>
      <c r="Y6">
        <v>99</v>
      </c>
      <c r="Z6">
        <v>0</v>
      </c>
      <c r="AA6">
        <v>1</v>
      </c>
      <c r="AB6">
        <v>0</v>
      </c>
      <c r="AC6">
        <v>0</v>
      </c>
      <c r="AD6">
        <v>1</v>
      </c>
      <c r="AE6">
        <v>900</v>
      </c>
      <c r="AF6">
        <v>0.5</v>
      </c>
      <c r="AG6">
        <v>1</v>
      </c>
      <c r="AH6">
        <v>0</v>
      </c>
      <c r="AI6">
        <v>0</v>
      </c>
      <c r="AJ6">
        <v>1</v>
      </c>
      <c r="AK6">
        <v>200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11.354000000000001</v>
      </c>
      <c r="AX6">
        <v>0</v>
      </c>
      <c r="AY6">
        <v>882</v>
      </c>
      <c r="BB6">
        <v>392</v>
      </c>
      <c r="BC6">
        <v>8.07</v>
      </c>
      <c r="BF6" t="s">
        <v>52</v>
      </c>
    </row>
    <row r="7" spans="1:58" x14ac:dyDescent="0.45">
      <c r="A7">
        <v>10006</v>
      </c>
      <c r="B7">
        <v>1</v>
      </c>
      <c r="C7">
        <v>59.45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40.549999999999997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20</v>
      </c>
      <c r="Y7">
        <v>99</v>
      </c>
      <c r="Z7">
        <v>0</v>
      </c>
      <c r="AA7">
        <v>1</v>
      </c>
      <c r="AB7">
        <v>0</v>
      </c>
      <c r="AC7">
        <v>0</v>
      </c>
      <c r="AD7">
        <v>1</v>
      </c>
      <c r="AE7">
        <v>900</v>
      </c>
      <c r="AF7">
        <v>0.5</v>
      </c>
      <c r="AG7">
        <v>1</v>
      </c>
      <c r="AH7">
        <v>0</v>
      </c>
      <c r="AI7">
        <v>0</v>
      </c>
      <c r="AJ7">
        <v>1</v>
      </c>
      <c r="AK7">
        <v>300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11.354000000000001</v>
      </c>
      <c r="AX7">
        <v>0</v>
      </c>
      <c r="AY7">
        <v>882</v>
      </c>
      <c r="BB7">
        <v>506</v>
      </c>
      <c r="BC7">
        <v>9.58</v>
      </c>
      <c r="BF7" t="s">
        <v>52</v>
      </c>
    </row>
    <row r="8" spans="1:58" x14ac:dyDescent="0.45">
      <c r="A8">
        <v>10007</v>
      </c>
      <c r="B8">
        <v>1</v>
      </c>
      <c r="C8">
        <v>59.45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40.549999999999997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20</v>
      </c>
      <c r="Y8">
        <v>99</v>
      </c>
      <c r="Z8">
        <v>0</v>
      </c>
      <c r="AA8">
        <v>1</v>
      </c>
      <c r="AB8">
        <v>0</v>
      </c>
      <c r="AC8">
        <v>0</v>
      </c>
      <c r="AD8">
        <v>1</v>
      </c>
      <c r="AE8">
        <v>900</v>
      </c>
      <c r="AF8">
        <v>0.5</v>
      </c>
      <c r="AG8">
        <v>1</v>
      </c>
      <c r="AH8">
        <v>0</v>
      </c>
      <c r="AI8">
        <v>0</v>
      </c>
      <c r="AJ8">
        <v>1</v>
      </c>
      <c r="AK8">
        <v>400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11.354000000000001</v>
      </c>
      <c r="AX8">
        <v>0</v>
      </c>
      <c r="AY8">
        <v>882</v>
      </c>
      <c r="BB8">
        <v>435</v>
      </c>
      <c r="BC8">
        <v>8.9499999999999993</v>
      </c>
      <c r="BF8" t="s">
        <v>52</v>
      </c>
    </row>
    <row r="9" spans="1:58" x14ac:dyDescent="0.45">
      <c r="A9">
        <v>10008</v>
      </c>
      <c r="B9">
        <v>1</v>
      </c>
      <c r="C9">
        <v>59.45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40.549999999999997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20</v>
      </c>
      <c r="Y9">
        <v>99</v>
      </c>
      <c r="Z9">
        <v>0</v>
      </c>
      <c r="AA9">
        <v>1</v>
      </c>
      <c r="AB9">
        <v>0</v>
      </c>
      <c r="AC9">
        <v>0</v>
      </c>
      <c r="AD9">
        <v>1</v>
      </c>
      <c r="AE9">
        <v>900</v>
      </c>
      <c r="AF9">
        <v>0.5</v>
      </c>
      <c r="AG9">
        <v>1</v>
      </c>
      <c r="AH9">
        <v>0</v>
      </c>
      <c r="AI9">
        <v>0</v>
      </c>
      <c r="AJ9">
        <v>1</v>
      </c>
      <c r="AK9">
        <v>600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11.354000000000001</v>
      </c>
      <c r="AX9">
        <v>0</v>
      </c>
      <c r="AY9">
        <v>882</v>
      </c>
      <c r="BB9">
        <v>370</v>
      </c>
      <c r="BC9">
        <v>10.02</v>
      </c>
      <c r="BF9" t="s">
        <v>52</v>
      </c>
    </row>
    <row r="10" spans="1:58" x14ac:dyDescent="0.45">
      <c r="A10">
        <v>10009</v>
      </c>
      <c r="B10">
        <v>1</v>
      </c>
      <c r="C10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20</v>
      </c>
      <c r="Y10">
        <v>85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800</v>
      </c>
      <c r="AF10">
        <v>1</v>
      </c>
      <c r="AG10">
        <v>1</v>
      </c>
      <c r="AH10">
        <v>0</v>
      </c>
      <c r="AI10">
        <v>0</v>
      </c>
      <c r="AJ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10.64</v>
      </c>
      <c r="AX10">
        <v>0</v>
      </c>
      <c r="AY10">
        <v>882</v>
      </c>
      <c r="BB10">
        <v>411</v>
      </c>
      <c r="BC10">
        <v>36.700000000000003</v>
      </c>
      <c r="BF10" t="s">
        <v>53</v>
      </c>
    </row>
    <row r="11" spans="1:58" x14ac:dyDescent="0.45">
      <c r="A11">
        <v>10010</v>
      </c>
      <c r="B11">
        <v>1</v>
      </c>
      <c r="C11">
        <v>67.33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32.67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20</v>
      </c>
      <c r="Y11">
        <v>90</v>
      </c>
      <c r="Z11">
        <v>0</v>
      </c>
      <c r="AA11">
        <v>1</v>
      </c>
      <c r="AB11">
        <v>0</v>
      </c>
      <c r="AC11">
        <v>0</v>
      </c>
      <c r="AD11">
        <v>0</v>
      </c>
      <c r="AJ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9.1476000000000006</v>
      </c>
      <c r="AX11">
        <v>0</v>
      </c>
      <c r="AY11">
        <v>882</v>
      </c>
      <c r="BB11">
        <v>779</v>
      </c>
      <c r="BC11">
        <v>6.2</v>
      </c>
      <c r="BF11" t="s">
        <v>54</v>
      </c>
    </row>
    <row r="12" spans="1:58" x14ac:dyDescent="0.45">
      <c r="A12">
        <v>10011</v>
      </c>
      <c r="B12">
        <v>1</v>
      </c>
      <c r="C12">
        <v>67.33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32.67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20</v>
      </c>
      <c r="Y12">
        <v>90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750</v>
      </c>
      <c r="AF12">
        <v>1</v>
      </c>
      <c r="AG12">
        <v>1</v>
      </c>
      <c r="AH12">
        <v>0</v>
      </c>
      <c r="AI12">
        <v>0</v>
      </c>
      <c r="AJ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9.1476000000000006</v>
      </c>
      <c r="AX12">
        <v>0</v>
      </c>
      <c r="AY12">
        <v>882</v>
      </c>
      <c r="BB12">
        <v>503</v>
      </c>
      <c r="BC12">
        <v>25.8</v>
      </c>
      <c r="BF12" t="s">
        <v>54</v>
      </c>
    </row>
    <row r="13" spans="1:58" x14ac:dyDescent="0.45">
      <c r="A13">
        <v>10012</v>
      </c>
      <c r="B13">
        <v>1</v>
      </c>
      <c r="C13">
        <v>67.33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32.67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20</v>
      </c>
      <c r="Y13">
        <v>90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850</v>
      </c>
      <c r="AF13">
        <v>1</v>
      </c>
      <c r="AG13">
        <v>1</v>
      </c>
      <c r="AH13">
        <v>0</v>
      </c>
      <c r="AI13">
        <v>0</v>
      </c>
      <c r="AJ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9.1476000000000006</v>
      </c>
      <c r="AX13">
        <v>0</v>
      </c>
      <c r="AY13">
        <v>882</v>
      </c>
      <c r="BB13">
        <v>608</v>
      </c>
      <c r="BC13">
        <v>24.9</v>
      </c>
      <c r="BF13" t="s">
        <v>54</v>
      </c>
    </row>
    <row r="14" spans="1:58" x14ac:dyDescent="0.45">
      <c r="A14">
        <v>10013</v>
      </c>
      <c r="B14">
        <v>1</v>
      </c>
      <c r="C14">
        <v>67.33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32.67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20</v>
      </c>
      <c r="Y14">
        <v>90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950</v>
      </c>
      <c r="AF14">
        <v>1</v>
      </c>
      <c r="AG14">
        <v>1</v>
      </c>
      <c r="AH14">
        <v>0</v>
      </c>
      <c r="AI14">
        <v>0</v>
      </c>
      <c r="AJ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9.1476000000000006</v>
      </c>
      <c r="AX14">
        <v>0</v>
      </c>
      <c r="AY14">
        <v>882</v>
      </c>
      <c r="BB14">
        <v>623</v>
      </c>
      <c r="BC14">
        <v>16.899999999999999</v>
      </c>
      <c r="BF14" t="s">
        <v>54</v>
      </c>
    </row>
    <row r="15" spans="1:58" x14ac:dyDescent="0.45">
      <c r="A15">
        <v>10014</v>
      </c>
      <c r="B15">
        <v>1</v>
      </c>
      <c r="C15">
        <v>54.59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45.41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20</v>
      </c>
      <c r="Y15">
        <v>90</v>
      </c>
      <c r="Z15">
        <v>0</v>
      </c>
      <c r="AA15">
        <v>1</v>
      </c>
      <c r="AB15">
        <v>0</v>
      </c>
      <c r="AC15">
        <v>0</v>
      </c>
      <c r="AD15">
        <v>0</v>
      </c>
      <c r="AJ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12.7148</v>
      </c>
      <c r="AX15">
        <v>0</v>
      </c>
      <c r="AY15">
        <v>882</v>
      </c>
      <c r="BB15">
        <v>561</v>
      </c>
      <c r="BC15">
        <v>3.5</v>
      </c>
      <c r="BF15" t="s">
        <v>54</v>
      </c>
    </row>
    <row r="16" spans="1:58" x14ac:dyDescent="0.45">
      <c r="A16">
        <v>10015</v>
      </c>
      <c r="B16">
        <v>1</v>
      </c>
      <c r="C16">
        <v>54.59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45.41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20</v>
      </c>
      <c r="Y16">
        <v>90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750</v>
      </c>
      <c r="AF16">
        <v>1</v>
      </c>
      <c r="AG16">
        <v>1</v>
      </c>
      <c r="AH16">
        <v>0</v>
      </c>
      <c r="AI16">
        <v>0</v>
      </c>
      <c r="AJ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12.7148</v>
      </c>
      <c r="AX16">
        <v>0</v>
      </c>
      <c r="AY16">
        <v>882</v>
      </c>
      <c r="BB16">
        <v>449</v>
      </c>
      <c r="BC16">
        <v>24</v>
      </c>
      <c r="BF16" t="s">
        <v>54</v>
      </c>
    </row>
    <row r="17" spans="1:58" x14ac:dyDescent="0.45">
      <c r="A17">
        <v>10016</v>
      </c>
      <c r="B17">
        <v>1</v>
      </c>
      <c r="C17">
        <v>54.59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45.41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20</v>
      </c>
      <c r="Y17">
        <v>90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850</v>
      </c>
      <c r="AF17">
        <v>1</v>
      </c>
      <c r="AG17">
        <v>1</v>
      </c>
      <c r="AH17">
        <v>0</v>
      </c>
      <c r="AI17">
        <v>0</v>
      </c>
      <c r="AJ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12.7148</v>
      </c>
      <c r="AX17">
        <v>0</v>
      </c>
      <c r="AY17">
        <v>882</v>
      </c>
      <c r="BB17">
        <v>493</v>
      </c>
      <c r="BC17">
        <v>21.1</v>
      </c>
      <c r="BF17" t="s">
        <v>54</v>
      </c>
    </row>
    <row r="18" spans="1:58" x14ac:dyDescent="0.45">
      <c r="A18">
        <v>10017</v>
      </c>
      <c r="B18">
        <v>1</v>
      </c>
      <c r="C18">
        <v>54.59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45.41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20</v>
      </c>
      <c r="Y18">
        <v>90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950</v>
      </c>
      <c r="AF18">
        <v>1</v>
      </c>
      <c r="AG18">
        <v>1</v>
      </c>
      <c r="AH18">
        <v>0</v>
      </c>
      <c r="AI18">
        <v>0</v>
      </c>
      <c r="AJ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12.7148</v>
      </c>
      <c r="AX18">
        <v>0</v>
      </c>
      <c r="AY18">
        <v>882</v>
      </c>
      <c r="BB18">
        <v>587</v>
      </c>
      <c r="BC18">
        <v>17.100000000000001</v>
      </c>
      <c r="BF18" t="s">
        <v>54</v>
      </c>
    </row>
    <row r="19" spans="1:58" x14ac:dyDescent="0.45">
      <c r="A19">
        <v>10018</v>
      </c>
      <c r="B19">
        <v>1</v>
      </c>
      <c r="C19">
        <v>87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J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3.6400000000000006</v>
      </c>
      <c r="AX19">
        <v>0</v>
      </c>
      <c r="AY19">
        <v>882</v>
      </c>
      <c r="BA19">
        <v>672.97</v>
      </c>
      <c r="BB19">
        <v>799.98</v>
      </c>
      <c r="BC19">
        <v>5.1100000000000003</v>
      </c>
      <c r="BF19" t="s">
        <v>55</v>
      </c>
    </row>
    <row r="20" spans="1:58" x14ac:dyDescent="0.45">
      <c r="A20">
        <v>10019</v>
      </c>
      <c r="B20">
        <v>1</v>
      </c>
      <c r="C20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J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7.8400000000000007</v>
      </c>
      <c r="AX20">
        <v>0</v>
      </c>
      <c r="AY20">
        <v>882</v>
      </c>
      <c r="BA20">
        <v>616.5</v>
      </c>
      <c r="BB20">
        <v>778.33</v>
      </c>
      <c r="BC20">
        <v>3.03</v>
      </c>
      <c r="BF20" t="s">
        <v>55</v>
      </c>
    </row>
    <row r="21" spans="1:58" x14ac:dyDescent="0.45">
      <c r="A21">
        <v>10020</v>
      </c>
      <c r="B21">
        <v>1</v>
      </c>
      <c r="C21">
        <v>85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20</v>
      </c>
      <c r="Y21">
        <v>85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900</v>
      </c>
      <c r="AF21">
        <v>0.5</v>
      </c>
      <c r="AG21">
        <v>1</v>
      </c>
      <c r="AH21">
        <v>0</v>
      </c>
      <c r="AI21">
        <v>0</v>
      </c>
      <c r="AJ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4.2</v>
      </c>
      <c r="AX21">
        <v>0</v>
      </c>
      <c r="AY21">
        <v>882</v>
      </c>
      <c r="AZ21">
        <v>56</v>
      </c>
      <c r="BA21">
        <v>462</v>
      </c>
      <c r="BB21">
        <v>648</v>
      </c>
      <c r="BC21">
        <v>16</v>
      </c>
      <c r="BD21">
        <v>241</v>
      </c>
      <c r="BF21" t="s">
        <v>56</v>
      </c>
    </row>
    <row r="22" spans="1:58" x14ac:dyDescent="0.45">
      <c r="A22">
        <v>10021</v>
      </c>
      <c r="B22">
        <v>1</v>
      </c>
      <c r="C22">
        <v>68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20</v>
      </c>
      <c r="Y22">
        <v>85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900</v>
      </c>
      <c r="AF22">
        <v>0.5</v>
      </c>
      <c r="AG22">
        <v>1</v>
      </c>
      <c r="AH22">
        <v>0</v>
      </c>
      <c r="AI22">
        <v>0</v>
      </c>
      <c r="AJ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8.9600000000000009</v>
      </c>
      <c r="AX22">
        <v>0</v>
      </c>
      <c r="AY22">
        <v>882</v>
      </c>
      <c r="AZ22">
        <v>65</v>
      </c>
      <c r="BA22">
        <v>325</v>
      </c>
      <c r="BB22">
        <v>550</v>
      </c>
      <c r="BC22">
        <v>22</v>
      </c>
      <c r="BD22">
        <v>158</v>
      </c>
      <c r="BF22" t="s">
        <v>57</v>
      </c>
    </row>
    <row r="23" spans="1:58" x14ac:dyDescent="0.45">
      <c r="A23">
        <v>10022</v>
      </c>
      <c r="B23">
        <v>1</v>
      </c>
      <c r="C23">
        <v>62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20</v>
      </c>
      <c r="Y23">
        <v>85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900</v>
      </c>
      <c r="AF23">
        <v>0.5</v>
      </c>
      <c r="AG23">
        <v>1</v>
      </c>
      <c r="AH23">
        <v>0</v>
      </c>
      <c r="AI23">
        <v>0</v>
      </c>
      <c r="AJ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10.64</v>
      </c>
      <c r="AX23">
        <v>0</v>
      </c>
      <c r="AY23">
        <v>882</v>
      </c>
      <c r="AZ23">
        <v>60</v>
      </c>
      <c r="BA23">
        <v>220</v>
      </c>
      <c r="BB23">
        <v>479</v>
      </c>
      <c r="BC23">
        <v>41</v>
      </c>
      <c r="BD23">
        <v>167</v>
      </c>
      <c r="BF23" t="s">
        <v>58</v>
      </c>
    </row>
    <row r="24" spans="1:58" x14ac:dyDescent="0.45">
      <c r="A24">
        <v>10023</v>
      </c>
      <c r="B24">
        <v>1</v>
      </c>
      <c r="C24">
        <v>81.84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18.16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Z24">
        <v>0</v>
      </c>
      <c r="AA24">
        <v>1</v>
      </c>
      <c r="AB24">
        <v>0</v>
      </c>
      <c r="AC24">
        <v>0</v>
      </c>
      <c r="AD24">
        <v>1</v>
      </c>
      <c r="AE24">
        <f t="shared" ref="AE24:AE47" si="0">AY24</f>
        <v>882</v>
      </c>
      <c r="AF24">
        <v>0</v>
      </c>
      <c r="AG24">
        <v>1</v>
      </c>
      <c r="AH24">
        <v>0</v>
      </c>
      <c r="AI24">
        <v>0</v>
      </c>
      <c r="AJ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5.0848000000000004</v>
      </c>
      <c r="AX24">
        <v>0</v>
      </c>
      <c r="AY24">
        <v>882</v>
      </c>
      <c r="AZ24">
        <v>79</v>
      </c>
      <c r="BA24">
        <v>348</v>
      </c>
      <c r="BE24" t="s">
        <v>335</v>
      </c>
      <c r="BF24" t="s">
        <v>60</v>
      </c>
    </row>
    <row r="25" spans="1:58" x14ac:dyDescent="0.45">
      <c r="A25">
        <v>10024</v>
      </c>
      <c r="B25">
        <v>1</v>
      </c>
      <c r="C25">
        <v>76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Z25">
        <v>0</v>
      </c>
      <c r="AA25">
        <v>1</v>
      </c>
      <c r="AB25">
        <v>0</v>
      </c>
      <c r="AC25">
        <v>0</v>
      </c>
      <c r="AD25">
        <v>1</v>
      </c>
      <c r="AE25">
        <f t="shared" si="0"/>
        <v>882</v>
      </c>
      <c r="AF25">
        <v>0</v>
      </c>
      <c r="AG25">
        <v>1</v>
      </c>
      <c r="AH25">
        <v>0</v>
      </c>
      <c r="AI25">
        <v>0</v>
      </c>
      <c r="AJ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6.7200000000000006</v>
      </c>
      <c r="AX25">
        <v>0</v>
      </c>
      <c r="AY25">
        <v>882</v>
      </c>
      <c r="AZ25">
        <v>56</v>
      </c>
      <c r="BA25">
        <v>203</v>
      </c>
      <c r="BE25" t="s">
        <v>336</v>
      </c>
      <c r="BF25" t="s">
        <v>60</v>
      </c>
    </row>
    <row r="26" spans="1:58" x14ac:dyDescent="0.45">
      <c r="A26">
        <v>10025</v>
      </c>
      <c r="B26">
        <v>1</v>
      </c>
      <c r="C26">
        <v>76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f t="shared" si="0"/>
        <v>882</v>
      </c>
      <c r="AF26">
        <v>0</v>
      </c>
      <c r="AG26">
        <v>1</v>
      </c>
      <c r="AH26">
        <v>0</v>
      </c>
      <c r="AI26">
        <v>0</v>
      </c>
      <c r="AJ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6.7200000000000006</v>
      </c>
      <c r="AX26">
        <v>0</v>
      </c>
      <c r="AY26">
        <v>882</v>
      </c>
      <c r="AZ26">
        <v>58</v>
      </c>
      <c r="BA26">
        <v>301</v>
      </c>
      <c r="BE26" t="s">
        <v>336</v>
      </c>
      <c r="BF26" t="s">
        <v>60</v>
      </c>
    </row>
    <row r="27" spans="1:58" x14ac:dyDescent="0.45">
      <c r="A27">
        <v>10026</v>
      </c>
      <c r="B27">
        <v>1</v>
      </c>
      <c r="C27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Z27">
        <v>0</v>
      </c>
      <c r="AA27">
        <v>1</v>
      </c>
      <c r="AB27">
        <v>0</v>
      </c>
      <c r="AC27">
        <v>0</v>
      </c>
      <c r="AD27">
        <v>1</v>
      </c>
      <c r="AE27">
        <f t="shared" si="0"/>
        <v>882</v>
      </c>
      <c r="AF27">
        <v>0</v>
      </c>
      <c r="AG27">
        <v>1</v>
      </c>
      <c r="AH27">
        <v>0</v>
      </c>
      <c r="AI27">
        <v>0</v>
      </c>
      <c r="AJ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6.7200000000000006</v>
      </c>
      <c r="AX27">
        <v>0</v>
      </c>
      <c r="AY27">
        <v>882</v>
      </c>
      <c r="AZ27">
        <v>62</v>
      </c>
      <c r="BA27">
        <v>575</v>
      </c>
      <c r="BE27" t="s">
        <v>336</v>
      </c>
      <c r="BF27" t="s">
        <v>60</v>
      </c>
    </row>
    <row r="28" spans="1:58" x14ac:dyDescent="0.45">
      <c r="A28">
        <v>10027</v>
      </c>
      <c r="B28">
        <v>1</v>
      </c>
      <c r="C28">
        <v>76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Z28">
        <v>0</v>
      </c>
      <c r="AA28">
        <v>1</v>
      </c>
      <c r="AB28">
        <v>0</v>
      </c>
      <c r="AC28">
        <v>0</v>
      </c>
      <c r="AD28">
        <v>1</v>
      </c>
      <c r="AE28">
        <f t="shared" si="0"/>
        <v>882</v>
      </c>
      <c r="AF28">
        <v>0</v>
      </c>
      <c r="AG28">
        <v>1</v>
      </c>
      <c r="AH28">
        <v>0</v>
      </c>
      <c r="AI28">
        <v>0</v>
      </c>
      <c r="AJ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6.7200000000000006</v>
      </c>
      <c r="AX28">
        <v>0</v>
      </c>
      <c r="AY28">
        <v>882</v>
      </c>
      <c r="AZ28">
        <v>60</v>
      </c>
      <c r="BA28">
        <v>300</v>
      </c>
      <c r="BE28" t="s">
        <v>336</v>
      </c>
      <c r="BF28" t="s">
        <v>60</v>
      </c>
    </row>
    <row r="29" spans="1:58" x14ac:dyDescent="0.45">
      <c r="A29">
        <v>10028</v>
      </c>
      <c r="B29">
        <v>1</v>
      </c>
      <c r="C29">
        <v>91.67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8.33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Z29">
        <v>0</v>
      </c>
      <c r="AA29">
        <v>1</v>
      </c>
      <c r="AB29">
        <v>0</v>
      </c>
      <c r="AC29">
        <v>0</v>
      </c>
      <c r="AD29">
        <v>1</v>
      </c>
      <c r="AE29">
        <f t="shared" si="0"/>
        <v>882</v>
      </c>
      <c r="AF29">
        <v>0</v>
      </c>
      <c r="AG29">
        <v>0</v>
      </c>
      <c r="AH29">
        <v>0</v>
      </c>
      <c r="AI29">
        <v>1</v>
      </c>
      <c r="AJ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2.3324000000000003</v>
      </c>
      <c r="AX29">
        <v>0</v>
      </c>
      <c r="AY29">
        <v>882</v>
      </c>
      <c r="AZ29">
        <v>96</v>
      </c>
      <c r="BA29">
        <v>558</v>
      </c>
      <c r="BE29" t="s">
        <v>336</v>
      </c>
      <c r="BF29" t="s">
        <v>60</v>
      </c>
    </row>
    <row r="30" spans="1:58" x14ac:dyDescent="0.45">
      <c r="A30">
        <v>10029</v>
      </c>
      <c r="B30">
        <v>1</v>
      </c>
      <c r="C30">
        <v>91.67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8.33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Z30">
        <v>0</v>
      </c>
      <c r="AA30">
        <v>1</v>
      </c>
      <c r="AB30">
        <v>0</v>
      </c>
      <c r="AC30">
        <v>0</v>
      </c>
      <c r="AD30">
        <v>1</v>
      </c>
      <c r="AE30">
        <f t="shared" si="0"/>
        <v>882</v>
      </c>
      <c r="AF30">
        <v>0</v>
      </c>
      <c r="AG30">
        <v>0</v>
      </c>
      <c r="AH30">
        <v>0</v>
      </c>
      <c r="AI30">
        <v>1</v>
      </c>
      <c r="AJ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2.3324000000000003</v>
      </c>
      <c r="AX30">
        <v>0</v>
      </c>
      <c r="AY30">
        <v>882</v>
      </c>
      <c r="AZ30">
        <v>103</v>
      </c>
      <c r="BA30">
        <v>744</v>
      </c>
      <c r="BE30" t="s">
        <v>337</v>
      </c>
      <c r="BF30" t="s">
        <v>60</v>
      </c>
    </row>
    <row r="31" spans="1:58" x14ac:dyDescent="0.45">
      <c r="A31">
        <v>10030</v>
      </c>
      <c r="B31">
        <v>1</v>
      </c>
      <c r="C31">
        <v>91.67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8.33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Z31">
        <v>0</v>
      </c>
      <c r="AA31">
        <v>1</v>
      </c>
      <c r="AB31">
        <v>0</v>
      </c>
      <c r="AC31">
        <v>0</v>
      </c>
      <c r="AD31">
        <v>1</v>
      </c>
      <c r="AE31">
        <f t="shared" si="0"/>
        <v>882</v>
      </c>
      <c r="AF31">
        <v>0</v>
      </c>
      <c r="AG31">
        <v>0</v>
      </c>
      <c r="AH31">
        <v>0</v>
      </c>
      <c r="AI31">
        <v>1</v>
      </c>
      <c r="AJ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2.3324000000000003</v>
      </c>
      <c r="AX31">
        <v>0</v>
      </c>
      <c r="AY31">
        <v>882</v>
      </c>
      <c r="AZ31">
        <v>102</v>
      </c>
      <c r="BA31">
        <v>962</v>
      </c>
      <c r="BE31" t="s">
        <v>338</v>
      </c>
      <c r="BF31" t="s">
        <v>60</v>
      </c>
    </row>
    <row r="32" spans="1:58" x14ac:dyDescent="0.45">
      <c r="A32">
        <v>10031</v>
      </c>
      <c r="B32">
        <v>1</v>
      </c>
      <c r="C32">
        <v>90.149999999999991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9.85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Z32">
        <v>0</v>
      </c>
      <c r="AA32">
        <v>1</v>
      </c>
      <c r="AB32">
        <v>0</v>
      </c>
      <c r="AC32">
        <v>0</v>
      </c>
      <c r="AD32">
        <v>1</v>
      </c>
      <c r="AE32">
        <f t="shared" si="0"/>
        <v>882</v>
      </c>
      <c r="AF32">
        <v>0</v>
      </c>
      <c r="AG32">
        <v>0</v>
      </c>
      <c r="AH32">
        <v>0</v>
      </c>
      <c r="AI32">
        <v>1</v>
      </c>
      <c r="AJ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2.758</v>
      </c>
      <c r="AX32">
        <v>0</v>
      </c>
      <c r="AY32">
        <v>882</v>
      </c>
      <c r="AZ32">
        <v>89</v>
      </c>
      <c r="BA32">
        <v>628</v>
      </c>
      <c r="BE32" t="s">
        <v>338</v>
      </c>
      <c r="BF32" t="s">
        <v>60</v>
      </c>
    </row>
    <row r="33" spans="1:58" x14ac:dyDescent="0.45">
      <c r="A33">
        <v>10032</v>
      </c>
      <c r="B33">
        <v>1</v>
      </c>
      <c r="C33">
        <v>90.149999999999991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9.85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Z33">
        <v>0</v>
      </c>
      <c r="AA33">
        <v>1</v>
      </c>
      <c r="AB33">
        <v>0</v>
      </c>
      <c r="AC33">
        <v>0</v>
      </c>
      <c r="AD33">
        <v>1</v>
      </c>
      <c r="AE33">
        <f t="shared" si="0"/>
        <v>882</v>
      </c>
      <c r="AF33">
        <v>0</v>
      </c>
      <c r="AG33">
        <v>0</v>
      </c>
      <c r="AH33">
        <v>0</v>
      </c>
      <c r="AI33">
        <v>1</v>
      </c>
      <c r="AJ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2.758</v>
      </c>
      <c r="AX33">
        <v>0</v>
      </c>
      <c r="AY33">
        <v>882</v>
      </c>
      <c r="AZ33">
        <v>91</v>
      </c>
      <c r="BA33">
        <v>822</v>
      </c>
      <c r="BE33" t="s">
        <v>338</v>
      </c>
      <c r="BF33" t="s">
        <v>60</v>
      </c>
    </row>
    <row r="34" spans="1:58" x14ac:dyDescent="0.45">
      <c r="A34">
        <v>10033</v>
      </c>
      <c r="B34">
        <v>1</v>
      </c>
      <c r="C34">
        <v>90.149999999999991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9.85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Z34">
        <v>0</v>
      </c>
      <c r="AA34">
        <v>1</v>
      </c>
      <c r="AB34">
        <v>0</v>
      </c>
      <c r="AC34">
        <v>0</v>
      </c>
      <c r="AD34">
        <v>1</v>
      </c>
      <c r="AE34">
        <f t="shared" si="0"/>
        <v>882</v>
      </c>
      <c r="AF34">
        <v>0</v>
      </c>
      <c r="AG34">
        <v>0</v>
      </c>
      <c r="AH34">
        <v>0</v>
      </c>
      <c r="AI34">
        <v>1</v>
      </c>
      <c r="AJ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2.758</v>
      </c>
      <c r="AX34">
        <v>0</v>
      </c>
      <c r="AY34">
        <v>882</v>
      </c>
      <c r="AZ34">
        <v>92</v>
      </c>
      <c r="BA34">
        <v>893</v>
      </c>
      <c r="BE34" t="s">
        <v>338</v>
      </c>
      <c r="BF34" t="s">
        <v>60</v>
      </c>
    </row>
    <row r="35" spans="1:58" x14ac:dyDescent="0.45">
      <c r="A35">
        <v>10034</v>
      </c>
      <c r="B35">
        <v>1</v>
      </c>
      <c r="C35">
        <v>88.59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11.41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Z35">
        <v>0</v>
      </c>
      <c r="AA35">
        <v>1</v>
      </c>
      <c r="AB35">
        <v>0</v>
      </c>
      <c r="AC35">
        <v>0</v>
      </c>
      <c r="AD35">
        <v>1</v>
      </c>
      <c r="AE35">
        <f t="shared" si="0"/>
        <v>882</v>
      </c>
      <c r="AF35">
        <v>0</v>
      </c>
      <c r="AG35">
        <v>0</v>
      </c>
      <c r="AH35">
        <v>0</v>
      </c>
      <c r="AI35">
        <v>1</v>
      </c>
      <c r="AJ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3.1948000000000003</v>
      </c>
      <c r="AX35">
        <v>0</v>
      </c>
      <c r="AY35">
        <v>882</v>
      </c>
      <c r="AZ35">
        <v>89</v>
      </c>
      <c r="BA35">
        <v>655</v>
      </c>
      <c r="BE35" t="s">
        <v>338</v>
      </c>
      <c r="BF35" t="s">
        <v>60</v>
      </c>
    </row>
    <row r="36" spans="1:58" x14ac:dyDescent="0.45">
      <c r="A36">
        <v>10035</v>
      </c>
      <c r="B36">
        <v>1</v>
      </c>
      <c r="C36">
        <v>88.59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11.41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Z36">
        <v>0</v>
      </c>
      <c r="AA36">
        <v>1</v>
      </c>
      <c r="AB36">
        <v>0</v>
      </c>
      <c r="AC36">
        <v>0</v>
      </c>
      <c r="AD36">
        <v>1</v>
      </c>
      <c r="AE36">
        <f t="shared" si="0"/>
        <v>882</v>
      </c>
      <c r="AF36">
        <v>0</v>
      </c>
      <c r="AG36">
        <v>0</v>
      </c>
      <c r="AH36">
        <v>0</v>
      </c>
      <c r="AI36">
        <v>1</v>
      </c>
      <c r="AJ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3.1948000000000003</v>
      </c>
      <c r="AX36">
        <v>0</v>
      </c>
      <c r="AY36">
        <v>882</v>
      </c>
      <c r="AZ36">
        <v>87</v>
      </c>
      <c r="BA36">
        <v>818</v>
      </c>
      <c r="BE36" t="s">
        <v>338</v>
      </c>
      <c r="BF36" t="s">
        <v>60</v>
      </c>
    </row>
    <row r="37" spans="1:58" x14ac:dyDescent="0.45">
      <c r="A37">
        <v>10036</v>
      </c>
      <c r="B37">
        <v>1</v>
      </c>
      <c r="C37">
        <v>88.59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11.41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Z37">
        <v>0</v>
      </c>
      <c r="AA37">
        <v>1</v>
      </c>
      <c r="AB37">
        <v>0</v>
      </c>
      <c r="AC37">
        <v>0</v>
      </c>
      <c r="AD37">
        <v>1</v>
      </c>
      <c r="AE37">
        <f t="shared" si="0"/>
        <v>882</v>
      </c>
      <c r="AF37">
        <v>0</v>
      </c>
      <c r="AG37">
        <v>0</v>
      </c>
      <c r="AH37">
        <v>0</v>
      </c>
      <c r="AI37">
        <v>1</v>
      </c>
      <c r="AJ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3.1948000000000003</v>
      </c>
      <c r="AX37">
        <v>0</v>
      </c>
      <c r="AY37">
        <v>882</v>
      </c>
      <c r="AZ37">
        <v>94</v>
      </c>
      <c r="BA37">
        <v>906</v>
      </c>
      <c r="BE37" t="s">
        <v>338</v>
      </c>
      <c r="BF37" t="s">
        <v>60</v>
      </c>
    </row>
    <row r="38" spans="1:58" x14ac:dyDescent="0.45">
      <c r="A38">
        <v>10037</v>
      </c>
      <c r="B38">
        <v>1</v>
      </c>
      <c r="C38">
        <v>86.99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13.01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Z38">
        <v>0</v>
      </c>
      <c r="AA38">
        <v>1</v>
      </c>
      <c r="AB38">
        <v>0</v>
      </c>
      <c r="AC38">
        <v>0</v>
      </c>
      <c r="AD38">
        <v>1</v>
      </c>
      <c r="AE38">
        <f t="shared" si="0"/>
        <v>882</v>
      </c>
      <c r="AF38">
        <v>0</v>
      </c>
      <c r="AG38">
        <v>0</v>
      </c>
      <c r="AH38">
        <v>0</v>
      </c>
      <c r="AI38">
        <v>1</v>
      </c>
      <c r="AJ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3.6428000000000003</v>
      </c>
      <c r="AX38">
        <v>0</v>
      </c>
      <c r="AY38">
        <v>882</v>
      </c>
      <c r="AZ38">
        <v>89</v>
      </c>
      <c r="BA38">
        <v>734</v>
      </c>
      <c r="BE38" t="s">
        <v>338</v>
      </c>
      <c r="BF38" t="s">
        <v>60</v>
      </c>
    </row>
    <row r="39" spans="1:58" x14ac:dyDescent="0.45">
      <c r="A39">
        <v>10038</v>
      </c>
      <c r="B39">
        <v>1</v>
      </c>
      <c r="C39">
        <v>86.99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13.01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Z39">
        <v>0</v>
      </c>
      <c r="AA39">
        <v>1</v>
      </c>
      <c r="AB39">
        <v>0</v>
      </c>
      <c r="AC39">
        <v>0</v>
      </c>
      <c r="AD39">
        <v>1</v>
      </c>
      <c r="AE39">
        <f t="shared" si="0"/>
        <v>882</v>
      </c>
      <c r="AF39">
        <v>0</v>
      </c>
      <c r="AG39">
        <v>0</v>
      </c>
      <c r="AH39">
        <v>0</v>
      </c>
      <c r="AI39">
        <v>1</v>
      </c>
      <c r="AJ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3.6428000000000003</v>
      </c>
      <c r="AX39">
        <v>0</v>
      </c>
      <c r="AY39">
        <v>882</v>
      </c>
      <c r="AZ39">
        <v>99</v>
      </c>
      <c r="BA39">
        <v>854</v>
      </c>
      <c r="BE39" t="s">
        <v>220</v>
      </c>
      <c r="BF39" t="s">
        <v>60</v>
      </c>
    </row>
    <row r="40" spans="1:58" x14ac:dyDescent="0.45">
      <c r="A40">
        <v>10039</v>
      </c>
      <c r="B40">
        <v>1</v>
      </c>
      <c r="C40">
        <v>86.99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13.01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Z40">
        <v>0</v>
      </c>
      <c r="AA40">
        <v>1</v>
      </c>
      <c r="AB40">
        <v>0</v>
      </c>
      <c r="AC40">
        <v>0</v>
      </c>
      <c r="AD40">
        <v>1</v>
      </c>
      <c r="AE40">
        <f t="shared" si="0"/>
        <v>882</v>
      </c>
      <c r="AF40">
        <v>0</v>
      </c>
      <c r="AG40">
        <v>0</v>
      </c>
      <c r="AH40">
        <v>0</v>
      </c>
      <c r="AI40">
        <v>1</v>
      </c>
      <c r="AJ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3.6428000000000003</v>
      </c>
      <c r="AX40">
        <v>0</v>
      </c>
      <c r="AY40">
        <v>882</v>
      </c>
      <c r="AZ40">
        <v>100</v>
      </c>
      <c r="BA40">
        <v>930</v>
      </c>
      <c r="BE40" t="s">
        <v>221</v>
      </c>
      <c r="BF40" t="s">
        <v>60</v>
      </c>
    </row>
    <row r="41" spans="1:58" x14ac:dyDescent="0.45">
      <c r="A41">
        <v>10040</v>
      </c>
      <c r="B41">
        <v>1</v>
      </c>
      <c r="C41">
        <v>78.28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21.72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Z41">
        <v>0</v>
      </c>
      <c r="AA41">
        <v>1</v>
      </c>
      <c r="AB41">
        <v>0</v>
      </c>
      <c r="AC41">
        <v>0</v>
      </c>
      <c r="AD41">
        <v>1</v>
      </c>
      <c r="AE41">
        <f t="shared" si="0"/>
        <v>882</v>
      </c>
      <c r="AF41">
        <v>0</v>
      </c>
      <c r="AG41">
        <v>1</v>
      </c>
      <c r="AH41">
        <v>0</v>
      </c>
      <c r="AI41">
        <v>0</v>
      </c>
      <c r="AJ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6.0815999999999999</v>
      </c>
      <c r="AX41">
        <v>0</v>
      </c>
      <c r="AY41">
        <v>882</v>
      </c>
      <c r="AZ41">
        <v>73.900000000000006</v>
      </c>
      <c r="BA41">
        <v>289</v>
      </c>
      <c r="BE41" t="s">
        <v>222</v>
      </c>
      <c r="BF41" t="s">
        <v>60</v>
      </c>
    </row>
    <row r="42" spans="1:58" x14ac:dyDescent="0.45">
      <c r="A42">
        <v>10041</v>
      </c>
      <c r="B42">
        <v>1</v>
      </c>
      <c r="C42">
        <v>78.28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21.72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Z42">
        <v>0</v>
      </c>
      <c r="AA42">
        <v>1</v>
      </c>
      <c r="AB42">
        <v>0</v>
      </c>
      <c r="AC42">
        <v>0</v>
      </c>
      <c r="AD42">
        <v>1</v>
      </c>
      <c r="AE42">
        <f t="shared" si="0"/>
        <v>882</v>
      </c>
      <c r="AF42">
        <v>0</v>
      </c>
      <c r="AG42">
        <v>1</v>
      </c>
      <c r="AH42">
        <v>0</v>
      </c>
      <c r="AI42">
        <v>0</v>
      </c>
      <c r="AJ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6.0815999999999999</v>
      </c>
      <c r="AX42">
        <v>0</v>
      </c>
      <c r="AY42">
        <v>882</v>
      </c>
      <c r="AZ42">
        <v>85</v>
      </c>
      <c r="BA42">
        <v>338</v>
      </c>
      <c r="BE42" t="s">
        <v>223</v>
      </c>
      <c r="BF42" t="s">
        <v>60</v>
      </c>
    </row>
    <row r="43" spans="1:58" x14ac:dyDescent="0.45">
      <c r="A43">
        <v>10042</v>
      </c>
      <c r="B43">
        <v>1</v>
      </c>
      <c r="C43">
        <v>78.28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21.72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Z43">
        <v>0</v>
      </c>
      <c r="AA43">
        <v>1</v>
      </c>
      <c r="AB43">
        <v>0</v>
      </c>
      <c r="AC43">
        <v>0</v>
      </c>
      <c r="AD43">
        <v>1</v>
      </c>
      <c r="AE43">
        <f t="shared" si="0"/>
        <v>882</v>
      </c>
      <c r="AF43">
        <v>0</v>
      </c>
      <c r="AG43">
        <v>1</v>
      </c>
      <c r="AH43">
        <v>0</v>
      </c>
      <c r="AI43">
        <v>0</v>
      </c>
      <c r="AJ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6.0815999999999999</v>
      </c>
      <c r="AX43">
        <v>0</v>
      </c>
      <c r="AY43">
        <v>882</v>
      </c>
      <c r="AZ43">
        <v>72</v>
      </c>
      <c r="BA43">
        <v>382</v>
      </c>
      <c r="BE43" t="s">
        <v>224</v>
      </c>
      <c r="BF43" t="s">
        <v>60</v>
      </c>
    </row>
    <row r="44" spans="1:58" x14ac:dyDescent="0.45">
      <c r="A44">
        <v>10043</v>
      </c>
      <c r="B44">
        <v>1</v>
      </c>
      <c r="C44">
        <v>85.34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14.66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Z44">
        <v>0</v>
      </c>
      <c r="AA44">
        <v>1</v>
      </c>
      <c r="AB44">
        <v>0</v>
      </c>
      <c r="AC44">
        <v>0</v>
      </c>
      <c r="AD44">
        <v>1</v>
      </c>
      <c r="AE44">
        <f t="shared" si="0"/>
        <v>882</v>
      </c>
      <c r="AF44">
        <v>0</v>
      </c>
      <c r="AG44">
        <v>1</v>
      </c>
      <c r="AH44">
        <v>0</v>
      </c>
      <c r="AI44">
        <v>0</v>
      </c>
      <c r="AJ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4.1048</v>
      </c>
      <c r="AX44">
        <v>0</v>
      </c>
      <c r="AY44">
        <v>882</v>
      </c>
      <c r="AZ44">
        <v>64</v>
      </c>
      <c r="BA44">
        <v>456</v>
      </c>
      <c r="BF44" t="s">
        <v>60</v>
      </c>
    </row>
    <row r="45" spans="1:58" x14ac:dyDescent="0.45">
      <c r="A45">
        <v>10044</v>
      </c>
      <c r="B45">
        <v>1</v>
      </c>
      <c r="C45">
        <v>81.910000000000011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18.09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Z45">
        <v>0</v>
      </c>
      <c r="AA45">
        <v>1</v>
      </c>
      <c r="AB45">
        <v>0</v>
      </c>
      <c r="AC45">
        <v>0</v>
      </c>
      <c r="AD45">
        <v>1</v>
      </c>
      <c r="AE45">
        <f t="shared" si="0"/>
        <v>882</v>
      </c>
      <c r="AF45">
        <v>0</v>
      </c>
      <c r="AG45">
        <v>1</v>
      </c>
      <c r="AH45">
        <v>0</v>
      </c>
      <c r="AI45">
        <v>0</v>
      </c>
      <c r="AJ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5.0652000000000008</v>
      </c>
      <c r="AX45">
        <v>0</v>
      </c>
      <c r="AY45">
        <v>882</v>
      </c>
      <c r="AZ45">
        <v>79</v>
      </c>
      <c r="BA45">
        <v>327</v>
      </c>
      <c r="BF45" t="s">
        <v>60</v>
      </c>
    </row>
    <row r="46" spans="1:58" x14ac:dyDescent="0.45">
      <c r="A46">
        <v>10045</v>
      </c>
      <c r="B46">
        <v>1</v>
      </c>
      <c r="C46">
        <v>78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Z46">
        <v>0</v>
      </c>
      <c r="AA46">
        <v>1</v>
      </c>
      <c r="AB46">
        <v>0</v>
      </c>
      <c r="AC46">
        <v>0</v>
      </c>
      <c r="AD46">
        <v>1</v>
      </c>
      <c r="AE46">
        <f t="shared" si="0"/>
        <v>882</v>
      </c>
      <c r="AF46">
        <v>0</v>
      </c>
      <c r="AG46">
        <v>1</v>
      </c>
      <c r="AH46">
        <v>0</v>
      </c>
      <c r="AI46">
        <v>0</v>
      </c>
      <c r="AJ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6.16</v>
      </c>
      <c r="AX46">
        <v>0</v>
      </c>
      <c r="AY46">
        <v>882</v>
      </c>
      <c r="AZ46">
        <v>73</v>
      </c>
      <c r="BA46">
        <v>405</v>
      </c>
      <c r="BF46" t="s">
        <v>60</v>
      </c>
    </row>
    <row r="47" spans="1:58" x14ac:dyDescent="0.45">
      <c r="A47">
        <v>10046</v>
      </c>
      <c r="B47">
        <v>1</v>
      </c>
      <c r="C47">
        <v>74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Z47">
        <v>0</v>
      </c>
      <c r="AA47">
        <v>1</v>
      </c>
      <c r="AB47">
        <v>0</v>
      </c>
      <c r="AC47">
        <v>0</v>
      </c>
      <c r="AD47">
        <v>1</v>
      </c>
      <c r="AE47">
        <f t="shared" si="0"/>
        <v>882</v>
      </c>
      <c r="AF47">
        <v>0</v>
      </c>
      <c r="AG47">
        <v>1</v>
      </c>
      <c r="AH47">
        <v>0</v>
      </c>
      <c r="AI47">
        <v>0</v>
      </c>
      <c r="AJ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7.2800000000000011</v>
      </c>
      <c r="AX47">
        <v>0</v>
      </c>
      <c r="AY47">
        <v>882</v>
      </c>
      <c r="AZ47">
        <v>50</v>
      </c>
      <c r="BA47">
        <v>290</v>
      </c>
      <c r="BF47" t="s">
        <v>60</v>
      </c>
    </row>
    <row r="48" spans="1:58" x14ac:dyDescent="0.45">
      <c r="A48">
        <v>10047</v>
      </c>
      <c r="B48">
        <v>1</v>
      </c>
      <c r="C48">
        <v>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J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7.2800000000000011</v>
      </c>
      <c r="AX48">
        <v>0</v>
      </c>
      <c r="AY48">
        <v>882</v>
      </c>
      <c r="AZ48">
        <v>75</v>
      </c>
      <c r="BA48">
        <v>447</v>
      </c>
      <c r="BF48" t="s">
        <v>60</v>
      </c>
    </row>
    <row r="49" spans="1:52" x14ac:dyDescent="0.45">
      <c r="A49">
        <v>10048</v>
      </c>
      <c r="B49">
        <v>1</v>
      </c>
      <c r="C49">
        <v>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J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6.7200000000000006</v>
      </c>
      <c r="AX49">
        <v>0</v>
      </c>
      <c r="AY49">
        <v>882</v>
      </c>
      <c r="AZ49">
        <v>66.7</v>
      </c>
    </row>
    <row r="50" spans="1:52" x14ac:dyDescent="0.45">
      <c r="A50">
        <v>10049</v>
      </c>
      <c r="B50">
        <v>1</v>
      </c>
      <c r="C50">
        <v>92.85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7.15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J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2.0020000000000002</v>
      </c>
      <c r="AX50">
        <v>0</v>
      </c>
      <c r="AY50">
        <v>882</v>
      </c>
      <c r="AZ50">
        <v>81.25</v>
      </c>
    </row>
    <row r="51" spans="1:52" x14ac:dyDescent="0.45">
      <c r="A51">
        <v>10050</v>
      </c>
      <c r="B51">
        <v>1</v>
      </c>
      <c r="C51">
        <v>83.31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16.690000000000001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J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4.6732000000000005</v>
      </c>
      <c r="AX51">
        <v>0</v>
      </c>
      <c r="AY51">
        <v>882</v>
      </c>
      <c r="AZ51">
        <v>80.989999999999995</v>
      </c>
    </row>
    <row r="52" spans="1:52" x14ac:dyDescent="0.45">
      <c r="A52">
        <v>10051</v>
      </c>
      <c r="B52">
        <v>1</v>
      </c>
      <c r="C52">
        <v>90.9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9.1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J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2.548</v>
      </c>
      <c r="AX52">
        <v>0</v>
      </c>
      <c r="AY52">
        <v>882</v>
      </c>
      <c r="AZ52">
        <v>92.7</v>
      </c>
    </row>
    <row r="53" spans="1:52" x14ac:dyDescent="0.45">
      <c r="A53">
        <v>10052</v>
      </c>
      <c r="B53">
        <v>1</v>
      </c>
      <c r="C53">
        <v>90.8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9.1999999999999993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J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2.5760000000000001</v>
      </c>
      <c r="AX53">
        <v>0</v>
      </c>
      <c r="AY53">
        <v>882</v>
      </c>
      <c r="AZ53">
        <v>93.11</v>
      </c>
    </row>
    <row r="54" spans="1:52" x14ac:dyDescent="0.45">
      <c r="A54">
        <v>10053</v>
      </c>
      <c r="B54">
        <v>1</v>
      </c>
      <c r="C54">
        <v>82.65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17.350000000000001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J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4.8580000000000005</v>
      </c>
      <c r="AX54">
        <v>0</v>
      </c>
      <c r="AY54">
        <v>882</v>
      </c>
      <c r="AZ54">
        <v>98.88</v>
      </c>
    </row>
    <row r="55" spans="1:52" x14ac:dyDescent="0.45">
      <c r="A55">
        <v>10054</v>
      </c>
      <c r="B55">
        <v>1</v>
      </c>
      <c r="C55">
        <v>72.5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27.5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J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7.7000000000000011</v>
      </c>
      <c r="AX55">
        <v>0</v>
      </c>
      <c r="AY55">
        <v>882</v>
      </c>
      <c r="AZ55">
        <v>77.31</v>
      </c>
    </row>
    <row r="56" spans="1:52" x14ac:dyDescent="0.45">
      <c r="A56">
        <v>10055</v>
      </c>
      <c r="B56">
        <v>1</v>
      </c>
      <c r="C56">
        <v>71.349999999999994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28.65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J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8.0220000000000002</v>
      </c>
      <c r="AX56">
        <v>0</v>
      </c>
      <c r="AY56">
        <v>882</v>
      </c>
      <c r="AZ56">
        <v>95.22</v>
      </c>
    </row>
    <row r="57" spans="1:52" x14ac:dyDescent="0.45">
      <c r="A57">
        <v>10056</v>
      </c>
      <c r="B57">
        <v>1</v>
      </c>
      <c r="C57">
        <v>98.7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J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0.36400000000000005</v>
      </c>
      <c r="AX57">
        <v>0</v>
      </c>
      <c r="AY57">
        <v>882</v>
      </c>
      <c r="AZ57">
        <v>112.5</v>
      </c>
    </row>
    <row r="58" spans="1:52" x14ac:dyDescent="0.45">
      <c r="A58">
        <v>10057</v>
      </c>
      <c r="B58">
        <v>1</v>
      </c>
      <c r="C58">
        <v>97.9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J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0.58800000000000008</v>
      </c>
      <c r="AX58">
        <v>0</v>
      </c>
      <c r="AY58">
        <v>882</v>
      </c>
      <c r="AZ58">
        <v>108</v>
      </c>
    </row>
    <row r="59" spans="1:52" x14ac:dyDescent="0.45">
      <c r="A59">
        <v>10058</v>
      </c>
      <c r="B59">
        <v>1</v>
      </c>
      <c r="C59">
        <v>94.59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5.41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J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1.5148000000000001</v>
      </c>
      <c r="AX59">
        <v>0</v>
      </c>
      <c r="AY59">
        <v>882</v>
      </c>
      <c r="AZ59">
        <v>78.5</v>
      </c>
    </row>
    <row r="60" spans="1:52" x14ac:dyDescent="0.45">
      <c r="A60">
        <v>10059</v>
      </c>
      <c r="B60">
        <v>1</v>
      </c>
      <c r="C60">
        <v>91.67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8.33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J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2.3324000000000003</v>
      </c>
      <c r="AX60">
        <v>0</v>
      </c>
      <c r="AY60">
        <v>882</v>
      </c>
      <c r="AZ60">
        <v>66.5</v>
      </c>
    </row>
    <row r="61" spans="1:52" x14ac:dyDescent="0.45">
      <c r="A61">
        <v>10060</v>
      </c>
      <c r="B61">
        <v>1</v>
      </c>
      <c r="C61">
        <v>90.45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9.5500000000000007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J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2.6740000000000004</v>
      </c>
      <c r="AX61">
        <v>0</v>
      </c>
      <c r="AY61">
        <v>882</v>
      </c>
      <c r="AZ61">
        <v>66</v>
      </c>
    </row>
    <row r="62" spans="1:52" x14ac:dyDescent="0.45">
      <c r="A62">
        <v>10061</v>
      </c>
      <c r="B62">
        <v>1</v>
      </c>
      <c r="C62">
        <v>88.59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11.41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J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3.1948000000000003</v>
      </c>
      <c r="AX62">
        <v>0</v>
      </c>
      <c r="AY62">
        <v>882</v>
      </c>
      <c r="AZ62">
        <v>78.5</v>
      </c>
    </row>
    <row r="63" spans="1:52" x14ac:dyDescent="0.45">
      <c r="A63">
        <v>10062</v>
      </c>
      <c r="B63">
        <v>1</v>
      </c>
      <c r="C63">
        <v>81.91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18.09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J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5.0652000000000008</v>
      </c>
      <c r="AX63">
        <v>0</v>
      </c>
      <c r="AY63">
        <v>882</v>
      </c>
      <c r="AZ63">
        <v>93.5</v>
      </c>
    </row>
    <row r="64" spans="1:52" x14ac:dyDescent="0.45">
      <c r="A64">
        <v>10063</v>
      </c>
      <c r="B64">
        <v>1</v>
      </c>
      <c r="C64">
        <v>74.430000000000007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25.57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J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7.1596000000000011</v>
      </c>
      <c r="AX64">
        <v>0</v>
      </c>
      <c r="AY64">
        <v>882</v>
      </c>
      <c r="AZ64">
        <v>67</v>
      </c>
    </row>
    <row r="65" spans="1:52" x14ac:dyDescent="0.45">
      <c r="A65">
        <v>10064</v>
      </c>
      <c r="B65">
        <v>1</v>
      </c>
      <c r="C65">
        <v>70.349999999999994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29.65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J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8.3019999999999996</v>
      </c>
      <c r="AX65">
        <v>0</v>
      </c>
      <c r="AY65">
        <v>882</v>
      </c>
      <c r="AZ65">
        <v>67.5</v>
      </c>
    </row>
    <row r="66" spans="1:52" x14ac:dyDescent="0.45">
      <c r="A66">
        <v>10065</v>
      </c>
      <c r="B66">
        <v>1</v>
      </c>
      <c r="C66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J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9.5200000000000014</v>
      </c>
      <c r="AX66">
        <v>0</v>
      </c>
      <c r="AY66">
        <v>882</v>
      </c>
      <c r="AZ66">
        <v>74.5</v>
      </c>
    </row>
    <row r="67" spans="1:52" x14ac:dyDescent="0.45">
      <c r="A67">
        <v>10066</v>
      </c>
      <c r="B67">
        <v>1</v>
      </c>
      <c r="C67">
        <v>56.41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43.59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J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12.205200000000001</v>
      </c>
      <c r="AX67">
        <v>0</v>
      </c>
      <c r="AY67">
        <v>882</v>
      </c>
      <c r="AZ67">
        <v>84</v>
      </c>
    </row>
    <row r="68" spans="1:52" x14ac:dyDescent="0.45">
      <c r="A68">
        <v>10067</v>
      </c>
      <c r="B68">
        <v>1</v>
      </c>
      <c r="C68">
        <v>77.53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22.47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J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6.2915999999999999</v>
      </c>
      <c r="AX68">
        <v>0</v>
      </c>
      <c r="AY68">
        <v>882</v>
      </c>
      <c r="AZ68">
        <v>72</v>
      </c>
    </row>
    <row r="69" spans="1:52" x14ac:dyDescent="0.45">
      <c r="A69">
        <v>10068</v>
      </c>
      <c r="B69">
        <v>1</v>
      </c>
      <c r="C69">
        <v>74.430000000000007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25.57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J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7.1596000000000011</v>
      </c>
      <c r="AX69">
        <v>0</v>
      </c>
      <c r="AY69">
        <v>882</v>
      </c>
      <c r="AZ69">
        <v>61</v>
      </c>
    </row>
    <row r="70" spans="1:52" x14ac:dyDescent="0.45">
      <c r="A70">
        <v>10069</v>
      </c>
      <c r="B70">
        <v>1</v>
      </c>
      <c r="C70">
        <v>72.83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27.17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J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7.6076000000000015</v>
      </c>
      <c r="AX70">
        <v>0</v>
      </c>
      <c r="AY70">
        <v>882</v>
      </c>
      <c r="AZ70">
        <v>62</v>
      </c>
    </row>
    <row r="71" spans="1:52" x14ac:dyDescent="0.45">
      <c r="A71">
        <v>10070</v>
      </c>
      <c r="B71">
        <v>1</v>
      </c>
      <c r="C71">
        <v>70.25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29.75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J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8.33</v>
      </c>
      <c r="AX71">
        <v>0</v>
      </c>
      <c r="AY71">
        <v>882</v>
      </c>
      <c r="AZ71">
        <v>65</v>
      </c>
    </row>
    <row r="72" spans="1:52" x14ac:dyDescent="0.45">
      <c r="A72">
        <v>10071</v>
      </c>
      <c r="B72">
        <v>1</v>
      </c>
      <c r="C72">
        <v>70.180000000000007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29.82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J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8.3496000000000006</v>
      </c>
      <c r="AX72">
        <v>0</v>
      </c>
      <c r="AY72">
        <v>882</v>
      </c>
      <c r="AZ72">
        <v>64.3</v>
      </c>
    </row>
    <row r="73" spans="1:52" x14ac:dyDescent="0.45">
      <c r="A73">
        <v>10072</v>
      </c>
      <c r="B73">
        <v>1</v>
      </c>
      <c r="C73">
        <v>80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J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5.6000000000000005</v>
      </c>
      <c r="AX73">
        <v>0</v>
      </c>
      <c r="AY73">
        <v>882</v>
      </c>
      <c r="AZ73">
        <v>61.4</v>
      </c>
    </row>
    <row r="74" spans="1:52" x14ac:dyDescent="0.45">
      <c r="A74">
        <v>10073</v>
      </c>
      <c r="B74">
        <v>1</v>
      </c>
      <c r="C74">
        <v>74.489999999999995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25.51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J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7.1428000000000011</v>
      </c>
      <c r="AX74">
        <v>0</v>
      </c>
      <c r="AY74">
        <v>882</v>
      </c>
      <c r="AZ74">
        <v>65</v>
      </c>
    </row>
    <row r="75" spans="1:52" x14ac:dyDescent="0.45">
      <c r="A75">
        <v>10074</v>
      </c>
      <c r="B75">
        <v>1</v>
      </c>
      <c r="C75">
        <v>43.59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56.41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J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15.7948</v>
      </c>
      <c r="AX75">
        <v>0</v>
      </c>
      <c r="AY75">
        <v>882</v>
      </c>
      <c r="AZ75">
        <v>54</v>
      </c>
    </row>
    <row r="76" spans="1:52" x14ac:dyDescent="0.45">
      <c r="A76">
        <v>10075</v>
      </c>
      <c r="B76">
        <v>1</v>
      </c>
      <c r="C76">
        <v>73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J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7.5600000000000005</v>
      </c>
      <c r="AX76">
        <v>0</v>
      </c>
      <c r="AY76">
        <v>882</v>
      </c>
      <c r="AZ76">
        <v>67.099999999999994</v>
      </c>
    </row>
    <row r="77" spans="1:52" x14ac:dyDescent="0.45">
      <c r="A77">
        <v>10076</v>
      </c>
      <c r="B77">
        <v>1</v>
      </c>
      <c r="C77">
        <v>72.739999999999995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27.26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J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7.6328000000000014</v>
      </c>
      <c r="AX77">
        <v>0</v>
      </c>
      <c r="AY77">
        <v>882</v>
      </c>
      <c r="AZ77">
        <v>55</v>
      </c>
    </row>
    <row r="78" spans="1:52" x14ac:dyDescent="0.45">
      <c r="A78">
        <v>10077</v>
      </c>
      <c r="B78">
        <v>1</v>
      </c>
      <c r="C78">
        <v>76.849999999999994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23.15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J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6.4820000000000002</v>
      </c>
      <c r="AX78">
        <v>0</v>
      </c>
      <c r="AY78">
        <v>882</v>
      </c>
      <c r="AZ78">
        <v>65</v>
      </c>
    </row>
    <row r="79" spans="1:52" x14ac:dyDescent="0.45">
      <c r="A79">
        <v>10078</v>
      </c>
      <c r="B79">
        <v>1</v>
      </c>
      <c r="C79">
        <v>71.180000000000007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28.82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J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8.0696000000000012</v>
      </c>
      <c r="AX79">
        <v>0</v>
      </c>
      <c r="AY79">
        <v>882</v>
      </c>
      <c r="AZ79">
        <v>62</v>
      </c>
    </row>
    <row r="80" spans="1:52" x14ac:dyDescent="0.45">
      <c r="A80">
        <v>10079</v>
      </c>
      <c r="B80">
        <v>1</v>
      </c>
      <c r="C80">
        <v>78.28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21.72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J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6.0815999999999999</v>
      </c>
      <c r="AX80">
        <v>0</v>
      </c>
      <c r="AY80">
        <v>882</v>
      </c>
      <c r="AZ80">
        <v>69</v>
      </c>
    </row>
    <row r="81" spans="1:58" x14ac:dyDescent="0.45">
      <c r="A81">
        <v>10080</v>
      </c>
      <c r="B81">
        <v>1</v>
      </c>
      <c r="C81">
        <v>76.849999999999994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23.15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J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6.4820000000000002</v>
      </c>
      <c r="AX81">
        <v>0</v>
      </c>
      <c r="AY81">
        <v>882</v>
      </c>
      <c r="AZ81">
        <v>65</v>
      </c>
    </row>
    <row r="82" spans="1:58" x14ac:dyDescent="0.45">
      <c r="A82">
        <v>10081</v>
      </c>
      <c r="B82">
        <v>1</v>
      </c>
      <c r="C82">
        <v>70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30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950</v>
      </c>
      <c r="AF82">
        <v>1</v>
      </c>
      <c r="AG82">
        <v>1</v>
      </c>
      <c r="AH82">
        <v>0</v>
      </c>
      <c r="AI82">
        <v>0</v>
      </c>
      <c r="AJ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6.6</v>
      </c>
      <c r="AX82">
        <v>0</v>
      </c>
      <c r="AY82">
        <v>882</v>
      </c>
      <c r="BB82">
        <v>587</v>
      </c>
      <c r="BC82">
        <v>20.97</v>
      </c>
      <c r="BF82" t="s">
        <v>109</v>
      </c>
    </row>
    <row r="83" spans="1:58" x14ac:dyDescent="0.45">
      <c r="A83">
        <v>10082</v>
      </c>
      <c r="B83">
        <v>1</v>
      </c>
      <c r="C83">
        <v>70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950</v>
      </c>
      <c r="AF83">
        <v>1</v>
      </c>
      <c r="AG83">
        <v>1</v>
      </c>
      <c r="AH83">
        <v>0</v>
      </c>
      <c r="AI83">
        <v>0</v>
      </c>
      <c r="AJ83">
        <v>1</v>
      </c>
      <c r="AK83">
        <v>500</v>
      </c>
      <c r="AL83">
        <v>72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6.6</v>
      </c>
      <c r="AX83">
        <v>0</v>
      </c>
      <c r="AY83">
        <v>882</v>
      </c>
      <c r="BB83">
        <v>891</v>
      </c>
      <c r="BC83">
        <v>9.32</v>
      </c>
      <c r="BF83" t="s">
        <v>109</v>
      </c>
    </row>
    <row r="84" spans="1:58" x14ac:dyDescent="0.45">
      <c r="A84">
        <v>10083</v>
      </c>
      <c r="B84">
        <v>1</v>
      </c>
      <c r="C84">
        <v>70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950</v>
      </c>
      <c r="AF84">
        <v>1</v>
      </c>
      <c r="AG84">
        <v>1</v>
      </c>
      <c r="AH84">
        <v>0</v>
      </c>
      <c r="AI84">
        <v>0</v>
      </c>
      <c r="AJ84">
        <v>1</v>
      </c>
      <c r="AK84">
        <v>600</v>
      </c>
      <c r="AL84">
        <v>72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6.6</v>
      </c>
      <c r="AX84">
        <v>0</v>
      </c>
      <c r="AY84">
        <v>882</v>
      </c>
      <c r="BB84">
        <v>761</v>
      </c>
      <c r="BC84">
        <v>11.93</v>
      </c>
      <c r="BF84" t="s">
        <v>109</v>
      </c>
    </row>
    <row r="85" spans="1:58" x14ac:dyDescent="0.45">
      <c r="A85">
        <v>10084</v>
      </c>
      <c r="B85">
        <v>1</v>
      </c>
      <c r="C85">
        <v>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50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950</v>
      </c>
      <c r="AF85">
        <v>1</v>
      </c>
      <c r="AG85">
        <v>1</v>
      </c>
      <c r="AH85">
        <v>0</v>
      </c>
      <c r="AI85">
        <v>0</v>
      </c>
      <c r="AJ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11</v>
      </c>
      <c r="AX85">
        <v>0</v>
      </c>
      <c r="AY85">
        <v>882</v>
      </c>
      <c r="BB85">
        <v>582</v>
      </c>
      <c r="BC85">
        <v>22.97</v>
      </c>
      <c r="BF85" t="s">
        <v>109</v>
      </c>
    </row>
    <row r="86" spans="1:58" x14ac:dyDescent="0.45">
      <c r="A86">
        <v>10085</v>
      </c>
      <c r="B86">
        <v>1</v>
      </c>
      <c r="C86">
        <v>50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950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500</v>
      </c>
      <c r="AL86">
        <v>72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11</v>
      </c>
      <c r="AX86">
        <v>0</v>
      </c>
      <c r="AY86">
        <v>882</v>
      </c>
      <c r="BB86">
        <v>1029</v>
      </c>
      <c r="BC86">
        <v>10.38</v>
      </c>
      <c r="BF86" t="s">
        <v>109</v>
      </c>
    </row>
    <row r="87" spans="1:58" x14ac:dyDescent="0.45">
      <c r="A87">
        <v>10086</v>
      </c>
      <c r="B87">
        <v>1</v>
      </c>
      <c r="C87">
        <v>50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50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950</v>
      </c>
      <c r="AF87">
        <v>1</v>
      </c>
      <c r="AG87">
        <v>1</v>
      </c>
      <c r="AH87">
        <v>0</v>
      </c>
      <c r="AI87">
        <v>0</v>
      </c>
      <c r="AJ87">
        <v>1</v>
      </c>
      <c r="AK87">
        <v>600</v>
      </c>
      <c r="AL87">
        <v>72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11</v>
      </c>
      <c r="AX87">
        <v>0</v>
      </c>
      <c r="AY87">
        <v>882</v>
      </c>
      <c r="BB87">
        <v>988</v>
      </c>
      <c r="BC87">
        <v>10.63</v>
      </c>
      <c r="BF87" t="s">
        <v>109</v>
      </c>
    </row>
    <row r="88" spans="1:58" x14ac:dyDescent="0.45">
      <c r="A88">
        <v>10087</v>
      </c>
      <c r="B88">
        <v>1</v>
      </c>
      <c r="C88">
        <v>97.14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2.86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Z88">
        <v>0</v>
      </c>
      <c r="AA88">
        <v>1</v>
      </c>
      <c r="AB88">
        <v>0</v>
      </c>
      <c r="AC88">
        <v>0</v>
      </c>
      <c r="AD88">
        <v>1</v>
      </c>
      <c r="AE88">
        <f>AY88</f>
        <v>882</v>
      </c>
      <c r="AF88">
        <v>0</v>
      </c>
      <c r="AG88">
        <v>1</v>
      </c>
      <c r="AH88">
        <v>0</v>
      </c>
      <c r="AI88">
        <v>0</v>
      </c>
      <c r="AJ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0.62919999999999998</v>
      </c>
      <c r="AX88">
        <v>0</v>
      </c>
      <c r="AY88">
        <v>882</v>
      </c>
      <c r="AZ88">
        <v>100</v>
      </c>
      <c r="BA88">
        <v>396</v>
      </c>
      <c r="BF88" t="s">
        <v>60</v>
      </c>
    </row>
    <row r="89" spans="1:58" x14ac:dyDescent="0.45">
      <c r="A89">
        <v>10088</v>
      </c>
      <c r="B89">
        <v>1</v>
      </c>
      <c r="C89">
        <v>89.82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10.18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Z89">
        <v>0</v>
      </c>
      <c r="AA89">
        <v>1</v>
      </c>
      <c r="AB89">
        <v>0</v>
      </c>
      <c r="AC89">
        <v>0</v>
      </c>
      <c r="AD89">
        <v>1</v>
      </c>
      <c r="AE89">
        <f>AY89</f>
        <v>882</v>
      </c>
      <c r="AF89">
        <v>0</v>
      </c>
      <c r="AG89">
        <v>1</v>
      </c>
      <c r="AH89">
        <v>0</v>
      </c>
      <c r="AI89">
        <v>0</v>
      </c>
      <c r="AJ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2.2395999999999998</v>
      </c>
      <c r="AX89">
        <v>0</v>
      </c>
      <c r="AY89">
        <v>882</v>
      </c>
      <c r="AZ89">
        <v>69</v>
      </c>
      <c r="BA89">
        <v>441</v>
      </c>
      <c r="BF89" t="s">
        <v>60</v>
      </c>
    </row>
    <row r="90" spans="1:58" x14ac:dyDescent="0.45">
      <c r="A90">
        <v>10089</v>
      </c>
      <c r="B90">
        <v>1</v>
      </c>
      <c r="C90">
        <v>79.08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20.919999999999998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Z90">
        <v>0</v>
      </c>
      <c r="AA90">
        <v>1</v>
      </c>
      <c r="AB90">
        <v>0</v>
      </c>
      <c r="AC90">
        <v>0</v>
      </c>
      <c r="AD90">
        <v>1</v>
      </c>
      <c r="AE90">
        <f>AY90</f>
        <v>882</v>
      </c>
      <c r="AF90">
        <v>0</v>
      </c>
      <c r="AG90">
        <v>1</v>
      </c>
      <c r="AH90">
        <v>0</v>
      </c>
      <c r="AI90">
        <v>0</v>
      </c>
      <c r="AJ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4.6023999999999994</v>
      </c>
      <c r="AX90">
        <v>0</v>
      </c>
      <c r="AY90">
        <v>882</v>
      </c>
      <c r="AZ90">
        <v>88</v>
      </c>
      <c r="BA90">
        <v>379</v>
      </c>
      <c r="BF90" t="s">
        <v>60</v>
      </c>
    </row>
    <row r="91" spans="1:58" x14ac:dyDescent="0.45">
      <c r="A91">
        <v>10090</v>
      </c>
      <c r="B91">
        <v>1</v>
      </c>
      <c r="C91">
        <v>61.83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38.17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Z91">
        <v>0</v>
      </c>
      <c r="AA91">
        <v>1</v>
      </c>
      <c r="AB91">
        <v>0</v>
      </c>
      <c r="AC91">
        <v>0</v>
      </c>
      <c r="AD91">
        <v>1</v>
      </c>
      <c r="AE91">
        <f>AY91</f>
        <v>882</v>
      </c>
      <c r="AF91">
        <v>0</v>
      </c>
      <c r="AG91">
        <v>1</v>
      </c>
      <c r="AH91">
        <v>0</v>
      </c>
      <c r="AI91">
        <v>0</v>
      </c>
      <c r="AJ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8.3974000000000011</v>
      </c>
      <c r="AX91">
        <v>0</v>
      </c>
      <c r="AY91">
        <v>882</v>
      </c>
      <c r="AZ91">
        <v>67</v>
      </c>
      <c r="BA91">
        <v>373</v>
      </c>
      <c r="BF91" t="s">
        <v>60</v>
      </c>
    </row>
    <row r="92" spans="1:58" x14ac:dyDescent="0.45">
      <c r="A92">
        <v>10091</v>
      </c>
      <c r="B92">
        <v>1</v>
      </c>
      <c r="C92">
        <v>86.02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13.98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900</v>
      </c>
      <c r="AF92">
        <v>1.67E-2</v>
      </c>
      <c r="AG92">
        <v>1</v>
      </c>
      <c r="AH92">
        <v>0</v>
      </c>
      <c r="AI92">
        <v>0</v>
      </c>
      <c r="AJ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13.98</v>
      </c>
      <c r="AX92">
        <v>0</v>
      </c>
      <c r="AY92">
        <v>749.19</v>
      </c>
      <c r="BB92">
        <v>1153</v>
      </c>
      <c r="BC92">
        <v>8.18</v>
      </c>
      <c r="BF92" t="s">
        <v>61</v>
      </c>
    </row>
    <row r="93" spans="1:58" x14ac:dyDescent="0.45">
      <c r="A93">
        <v>10092</v>
      </c>
      <c r="B93">
        <v>1</v>
      </c>
      <c r="C93">
        <v>86.02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13.98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900</v>
      </c>
      <c r="AF93">
        <v>0.05</v>
      </c>
      <c r="AG93">
        <v>1</v>
      </c>
      <c r="AH93">
        <v>0</v>
      </c>
      <c r="AI93">
        <v>0</v>
      </c>
      <c r="AJ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13.98</v>
      </c>
      <c r="AX93">
        <v>0</v>
      </c>
      <c r="AY93">
        <v>749.19</v>
      </c>
      <c r="BB93">
        <v>938</v>
      </c>
      <c r="BC93">
        <v>27.2</v>
      </c>
      <c r="BF93" t="s">
        <v>61</v>
      </c>
    </row>
    <row r="94" spans="1:58" x14ac:dyDescent="0.45">
      <c r="A94">
        <v>10093</v>
      </c>
      <c r="B94">
        <v>1</v>
      </c>
      <c r="C94">
        <v>86.02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13.98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900</v>
      </c>
      <c r="AF94">
        <v>8.3000000000000004E-2</v>
      </c>
      <c r="AG94">
        <v>1</v>
      </c>
      <c r="AH94">
        <v>0</v>
      </c>
      <c r="AI94">
        <v>0</v>
      </c>
      <c r="AJ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13.98</v>
      </c>
      <c r="AX94">
        <v>0</v>
      </c>
      <c r="AY94">
        <v>749.19</v>
      </c>
      <c r="BB94">
        <v>924</v>
      </c>
      <c r="BC94">
        <v>28.2</v>
      </c>
      <c r="BF94" t="s">
        <v>61</v>
      </c>
    </row>
    <row r="95" spans="1:58" x14ac:dyDescent="0.45">
      <c r="A95">
        <v>10094</v>
      </c>
      <c r="B95">
        <v>1</v>
      </c>
      <c r="C95">
        <v>86.02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13.98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900</v>
      </c>
      <c r="AF95">
        <v>0.16700000000000001</v>
      </c>
      <c r="AG95">
        <v>1</v>
      </c>
      <c r="AH95">
        <v>0</v>
      </c>
      <c r="AI95">
        <v>0</v>
      </c>
      <c r="AJ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13.98</v>
      </c>
      <c r="AX95">
        <v>0</v>
      </c>
      <c r="AY95">
        <v>749.19</v>
      </c>
      <c r="BB95">
        <v>921</v>
      </c>
      <c r="BC95">
        <v>21.78</v>
      </c>
      <c r="BF95" t="s">
        <v>61</v>
      </c>
    </row>
    <row r="96" spans="1:58" x14ac:dyDescent="0.45">
      <c r="A96">
        <v>10095</v>
      </c>
      <c r="B96">
        <v>1</v>
      </c>
      <c r="C96">
        <v>86.02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13.98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900</v>
      </c>
      <c r="AF96">
        <v>0.5</v>
      </c>
      <c r="AG96">
        <v>1</v>
      </c>
      <c r="AH96">
        <v>0</v>
      </c>
      <c r="AI96">
        <v>0</v>
      </c>
      <c r="AJ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13.98</v>
      </c>
      <c r="AX96">
        <v>0</v>
      </c>
      <c r="AY96">
        <v>749.19</v>
      </c>
      <c r="BB96">
        <v>940</v>
      </c>
      <c r="BC96">
        <v>17.399999999999999</v>
      </c>
      <c r="BF96" t="s">
        <v>61</v>
      </c>
    </row>
    <row r="97" spans="1:58" x14ac:dyDescent="0.45">
      <c r="A97">
        <v>10096</v>
      </c>
      <c r="B97">
        <v>1</v>
      </c>
      <c r="C97">
        <v>85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1000</v>
      </c>
      <c r="Y97">
        <v>70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850</v>
      </c>
      <c r="AF97">
        <v>1</v>
      </c>
      <c r="AG97">
        <v>1</v>
      </c>
      <c r="AH97">
        <v>0</v>
      </c>
      <c r="AI97">
        <v>0</v>
      </c>
      <c r="AJ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15</v>
      </c>
      <c r="AX97">
        <v>0</v>
      </c>
      <c r="AY97">
        <v>739.5</v>
      </c>
      <c r="BB97">
        <v>669</v>
      </c>
      <c r="BC97">
        <v>45.52</v>
      </c>
      <c r="BF97" t="s">
        <v>110</v>
      </c>
    </row>
    <row r="98" spans="1:58" x14ac:dyDescent="0.45">
      <c r="A98">
        <v>10097</v>
      </c>
      <c r="B98">
        <v>1</v>
      </c>
      <c r="C98">
        <v>84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1000</v>
      </c>
      <c r="Y98">
        <v>70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850</v>
      </c>
      <c r="AF98">
        <v>1</v>
      </c>
      <c r="AG98">
        <v>1</v>
      </c>
      <c r="AH98">
        <v>0</v>
      </c>
      <c r="AI98">
        <v>0</v>
      </c>
      <c r="AJ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16</v>
      </c>
      <c r="AX98">
        <v>0</v>
      </c>
      <c r="AY98">
        <v>730</v>
      </c>
      <c r="BB98">
        <v>687</v>
      </c>
      <c r="BC98">
        <v>38.42</v>
      </c>
      <c r="BF98" t="s">
        <v>110</v>
      </c>
    </row>
    <row r="99" spans="1:58" x14ac:dyDescent="0.45">
      <c r="A99">
        <v>10098</v>
      </c>
      <c r="B99">
        <v>1</v>
      </c>
      <c r="C99">
        <v>83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1000</v>
      </c>
      <c r="Y99">
        <v>70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850</v>
      </c>
      <c r="AF99">
        <v>1</v>
      </c>
      <c r="AG99">
        <v>1</v>
      </c>
      <c r="AH99">
        <v>0</v>
      </c>
      <c r="AI99">
        <v>0</v>
      </c>
      <c r="AJ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17</v>
      </c>
      <c r="AX99">
        <v>0</v>
      </c>
      <c r="AY99">
        <v>720.5</v>
      </c>
      <c r="BB99">
        <v>722</v>
      </c>
      <c r="BC99">
        <v>23.86</v>
      </c>
      <c r="BF99" t="s">
        <v>110</v>
      </c>
    </row>
    <row r="100" spans="1:58" x14ac:dyDescent="0.45">
      <c r="A100">
        <v>10099</v>
      </c>
      <c r="B100">
        <v>1</v>
      </c>
      <c r="C100">
        <v>82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1000</v>
      </c>
      <c r="Y100">
        <v>70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850</v>
      </c>
      <c r="AF100">
        <v>1</v>
      </c>
      <c r="AG100">
        <v>1</v>
      </c>
      <c r="AH100">
        <v>0</v>
      </c>
      <c r="AI100">
        <v>0</v>
      </c>
      <c r="AJ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18</v>
      </c>
      <c r="AX100">
        <v>0</v>
      </c>
      <c r="AY100">
        <v>711</v>
      </c>
      <c r="BB100">
        <v>778</v>
      </c>
      <c r="BC100">
        <v>15.5</v>
      </c>
      <c r="BF100" t="s">
        <v>110</v>
      </c>
    </row>
    <row r="101" spans="1:58" x14ac:dyDescent="0.45">
      <c r="A101">
        <v>10100</v>
      </c>
      <c r="B101">
        <v>1</v>
      </c>
      <c r="C101">
        <v>92.5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J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7.5</v>
      </c>
      <c r="AX101">
        <v>0</v>
      </c>
      <c r="AY101">
        <v>810.75</v>
      </c>
      <c r="AZ101">
        <v>70</v>
      </c>
      <c r="BA101">
        <v>737</v>
      </c>
      <c r="BB101">
        <v>1019</v>
      </c>
      <c r="BC101">
        <v>16</v>
      </c>
      <c r="BF101" t="s">
        <v>62</v>
      </c>
    </row>
    <row r="102" spans="1:58" x14ac:dyDescent="0.45">
      <c r="A102">
        <v>10101</v>
      </c>
      <c r="B102">
        <v>1</v>
      </c>
      <c r="C102">
        <v>85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Z102">
        <v>0</v>
      </c>
      <c r="AA102">
        <v>1</v>
      </c>
      <c r="AB102">
        <v>0</v>
      </c>
      <c r="AC102">
        <v>0</v>
      </c>
      <c r="AD102">
        <v>0</v>
      </c>
      <c r="AJ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15</v>
      </c>
      <c r="AX102">
        <v>0</v>
      </c>
      <c r="AY102">
        <v>739.5</v>
      </c>
      <c r="AZ102">
        <v>84</v>
      </c>
      <c r="BA102">
        <v>745</v>
      </c>
      <c r="BB102">
        <v>921</v>
      </c>
      <c r="BC102">
        <v>25</v>
      </c>
      <c r="BF102" t="s">
        <v>63</v>
      </c>
    </row>
    <row r="103" spans="1:58" x14ac:dyDescent="0.45">
      <c r="A103">
        <v>10102</v>
      </c>
      <c r="B103">
        <v>1</v>
      </c>
      <c r="C103">
        <v>92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20</v>
      </c>
      <c r="Y103">
        <v>94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900</v>
      </c>
      <c r="AF103">
        <v>0.5</v>
      </c>
      <c r="AG103">
        <v>1</v>
      </c>
      <c r="AH103">
        <v>0</v>
      </c>
      <c r="AI103">
        <v>0</v>
      </c>
      <c r="AJ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8</v>
      </c>
      <c r="AX103">
        <v>0</v>
      </c>
      <c r="AY103">
        <v>806</v>
      </c>
      <c r="AZ103">
        <v>58.6</v>
      </c>
      <c r="BA103">
        <v>322</v>
      </c>
      <c r="BB103">
        <v>743</v>
      </c>
      <c r="BC103">
        <v>31.71</v>
      </c>
      <c r="BF103" t="s">
        <v>64</v>
      </c>
    </row>
    <row r="104" spans="1:58" x14ac:dyDescent="0.45">
      <c r="A104">
        <v>10103</v>
      </c>
      <c r="B104">
        <v>1</v>
      </c>
      <c r="C104">
        <v>89.8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10.199999999999999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J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10.199999999999999</v>
      </c>
      <c r="AX104">
        <v>0</v>
      </c>
      <c r="AY104">
        <v>785.1</v>
      </c>
      <c r="BA104">
        <v>741.07</v>
      </c>
      <c r="BB104">
        <v>662.99</v>
      </c>
      <c r="BC104">
        <v>0.71</v>
      </c>
      <c r="BD104">
        <v>113</v>
      </c>
      <c r="BF104" t="s">
        <v>65</v>
      </c>
    </row>
    <row r="105" spans="1:58" x14ac:dyDescent="0.45">
      <c r="A105">
        <v>10104</v>
      </c>
      <c r="B105">
        <v>1</v>
      </c>
      <c r="C105">
        <v>89.17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10.83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Z105">
        <v>0</v>
      </c>
      <c r="AA105">
        <v>1</v>
      </c>
      <c r="AB105">
        <v>0</v>
      </c>
      <c r="AC105">
        <v>0</v>
      </c>
      <c r="AD105">
        <v>0</v>
      </c>
      <c r="AJ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10.83</v>
      </c>
      <c r="AX105">
        <v>0</v>
      </c>
      <c r="AY105">
        <v>779.11500000000001</v>
      </c>
      <c r="BB105">
        <v>885.45</v>
      </c>
      <c r="BC105">
        <v>0.35</v>
      </c>
      <c r="BD105">
        <v>105.17</v>
      </c>
      <c r="BF105" t="s">
        <v>65</v>
      </c>
    </row>
    <row r="106" spans="1:58" x14ac:dyDescent="0.45">
      <c r="A106">
        <v>10105</v>
      </c>
      <c r="B106">
        <v>1</v>
      </c>
      <c r="C106">
        <v>87.11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12.89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J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12.89</v>
      </c>
      <c r="AX106">
        <v>0</v>
      </c>
      <c r="AY106">
        <v>759.54499999999996</v>
      </c>
      <c r="BB106">
        <v>643.1</v>
      </c>
      <c r="BC106">
        <v>0.09</v>
      </c>
      <c r="BD106">
        <v>104.47</v>
      </c>
      <c r="BE106" t="s">
        <v>339</v>
      </c>
      <c r="BF106" t="s">
        <v>65</v>
      </c>
    </row>
    <row r="107" spans="1:58" x14ac:dyDescent="0.45">
      <c r="A107">
        <v>10106</v>
      </c>
      <c r="B107">
        <v>1</v>
      </c>
      <c r="C107">
        <v>84.95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J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15.05</v>
      </c>
      <c r="AX107">
        <v>0</v>
      </c>
      <c r="AY107">
        <v>739.02499999999998</v>
      </c>
      <c r="BA107">
        <v>542.47</v>
      </c>
      <c r="BB107">
        <v>593.48</v>
      </c>
      <c r="BC107">
        <v>0.14000000000000001</v>
      </c>
      <c r="BD107">
        <v>70.48</v>
      </c>
      <c r="BE107" t="s">
        <v>339</v>
      </c>
      <c r="BF107" t="s">
        <v>65</v>
      </c>
    </row>
    <row r="108" spans="1:58" x14ac:dyDescent="0.45">
      <c r="A108">
        <v>10107</v>
      </c>
      <c r="B108">
        <v>1</v>
      </c>
      <c r="C108">
        <v>85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1000</v>
      </c>
      <c r="Y108">
        <v>70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850</v>
      </c>
      <c r="AF108">
        <v>1</v>
      </c>
      <c r="AG108">
        <v>1</v>
      </c>
      <c r="AH108">
        <v>0</v>
      </c>
      <c r="AI108">
        <v>0</v>
      </c>
      <c r="AJ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15</v>
      </c>
      <c r="AX108">
        <v>0</v>
      </c>
      <c r="AY108">
        <v>739.5</v>
      </c>
      <c r="BA108" t="s">
        <v>216</v>
      </c>
      <c r="BB108">
        <v>669</v>
      </c>
      <c r="BC108">
        <v>45.57</v>
      </c>
      <c r="BE108" t="s">
        <v>339</v>
      </c>
      <c r="BF108" t="s">
        <v>66</v>
      </c>
    </row>
    <row r="109" spans="1:58" x14ac:dyDescent="0.45">
      <c r="A109">
        <v>10108</v>
      </c>
      <c r="B109">
        <v>1</v>
      </c>
      <c r="C109">
        <v>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1000</v>
      </c>
      <c r="Y109">
        <v>70</v>
      </c>
      <c r="Z109">
        <v>0</v>
      </c>
      <c r="AA109">
        <v>1</v>
      </c>
      <c r="AB109">
        <v>0</v>
      </c>
      <c r="AC109">
        <v>0</v>
      </c>
      <c r="AD109">
        <v>1</v>
      </c>
      <c r="AE109">
        <v>850</v>
      </c>
      <c r="AF109">
        <v>1</v>
      </c>
      <c r="AG109">
        <v>1</v>
      </c>
      <c r="AH109">
        <v>0</v>
      </c>
      <c r="AI109">
        <v>0</v>
      </c>
      <c r="AJ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16</v>
      </c>
      <c r="AX109">
        <v>0</v>
      </c>
      <c r="AY109">
        <v>730</v>
      </c>
      <c r="BB109">
        <v>687</v>
      </c>
      <c r="BC109">
        <v>38.549999999999997</v>
      </c>
      <c r="BE109" t="s">
        <v>339</v>
      </c>
      <c r="BF109" t="s">
        <v>67</v>
      </c>
    </row>
    <row r="110" spans="1:58" x14ac:dyDescent="0.45">
      <c r="A110">
        <v>10109</v>
      </c>
      <c r="B110">
        <v>1</v>
      </c>
      <c r="C110">
        <v>83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1000</v>
      </c>
      <c r="Y110">
        <v>70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850</v>
      </c>
      <c r="AF110">
        <v>1</v>
      </c>
      <c r="AG110">
        <v>1</v>
      </c>
      <c r="AH110">
        <v>0</v>
      </c>
      <c r="AI110">
        <v>0</v>
      </c>
      <c r="AJ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17</v>
      </c>
      <c r="AX110">
        <v>0</v>
      </c>
      <c r="AY110">
        <v>720.5</v>
      </c>
      <c r="BB110">
        <v>722</v>
      </c>
      <c r="BC110">
        <v>23.82</v>
      </c>
      <c r="BE110" t="s">
        <v>339</v>
      </c>
      <c r="BF110" t="s">
        <v>68</v>
      </c>
    </row>
    <row r="111" spans="1:58" x14ac:dyDescent="0.45">
      <c r="A111">
        <v>10110</v>
      </c>
      <c r="B111">
        <v>1</v>
      </c>
      <c r="C111">
        <v>82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1000</v>
      </c>
      <c r="Y111">
        <v>70</v>
      </c>
      <c r="Z111">
        <v>0</v>
      </c>
      <c r="AA111">
        <v>1</v>
      </c>
      <c r="AB111">
        <v>0</v>
      </c>
      <c r="AC111">
        <v>0</v>
      </c>
      <c r="AD111">
        <v>1</v>
      </c>
      <c r="AE111">
        <v>850</v>
      </c>
      <c r="AF111">
        <v>1</v>
      </c>
      <c r="AG111">
        <v>1</v>
      </c>
      <c r="AH111">
        <v>0</v>
      </c>
      <c r="AI111">
        <v>0</v>
      </c>
      <c r="AJ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18</v>
      </c>
      <c r="AX111">
        <v>0</v>
      </c>
      <c r="AY111">
        <v>711</v>
      </c>
      <c r="BB111">
        <v>778</v>
      </c>
      <c r="BC111">
        <v>15.54</v>
      </c>
      <c r="BE111" t="s">
        <v>339</v>
      </c>
      <c r="BF111" t="s">
        <v>69</v>
      </c>
    </row>
    <row r="112" spans="1:58" x14ac:dyDescent="0.45">
      <c r="A112">
        <v>10111</v>
      </c>
      <c r="B112">
        <v>1</v>
      </c>
      <c r="C112">
        <v>95.35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4.6500000000000004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Z112">
        <v>0</v>
      </c>
      <c r="AA112">
        <v>1</v>
      </c>
      <c r="AB112">
        <v>0</v>
      </c>
      <c r="AC112">
        <v>0</v>
      </c>
      <c r="AD112">
        <v>1</v>
      </c>
      <c r="AE112">
        <f>AY112</f>
        <v>837.82500000000005</v>
      </c>
      <c r="AF112">
        <v>0</v>
      </c>
      <c r="AG112">
        <v>1</v>
      </c>
      <c r="AH112">
        <v>0</v>
      </c>
      <c r="AI112">
        <v>0</v>
      </c>
      <c r="AJ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4.6500000000000004</v>
      </c>
      <c r="AX112">
        <v>0</v>
      </c>
      <c r="AY112">
        <v>837.82500000000005</v>
      </c>
      <c r="AZ112">
        <v>91</v>
      </c>
      <c r="BA112">
        <v>537</v>
      </c>
      <c r="BF112" t="s">
        <v>60</v>
      </c>
    </row>
    <row r="113" spans="1:58" x14ac:dyDescent="0.45">
      <c r="A113">
        <v>10112</v>
      </c>
      <c r="B113">
        <v>1</v>
      </c>
      <c r="C113">
        <v>94.61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5.3900000000000006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f>AY113</f>
        <v>830.79499999999996</v>
      </c>
      <c r="AF113">
        <v>0</v>
      </c>
      <c r="AG113">
        <v>1</v>
      </c>
      <c r="AH113">
        <v>0</v>
      </c>
      <c r="AI113">
        <v>0</v>
      </c>
      <c r="AJ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5.3900000000000006</v>
      </c>
      <c r="AX113">
        <v>0</v>
      </c>
      <c r="AY113">
        <v>830.79499999999996</v>
      </c>
      <c r="AZ113">
        <v>93</v>
      </c>
      <c r="BA113">
        <v>731</v>
      </c>
      <c r="BF113" t="s">
        <v>60</v>
      </c>
    </row>
    <row r="114" spans="1:58" x14ac:dyDescent="0.45">
      <c r="A114">
        <v>10113</v>
      </c>
      <c r="B114">
        <v>1</v>
      </c>
      <c r="C114">
        <v>89.24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10.76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f>AY114</f>
        <v>779.78</v>
      </c>
      <c r="AF114">
        <v>0</v>
      </c>
      <c r="AG114">
        <v>1</v>
      </c>
      <c r="AH114">
        <v>0</v>
      </c>
      <c r="AI114">
        <v>0</v>
      </c>
      <c r="AJ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10.76</v>
      </c>
      <c r="AX114">
        <v>0</v>
      </c>
      <c r="AY114">
        <v>779.78</v>
      </c>
      <c r="AZ114">
        <v>75</v>
      </c>
      <c r="BA114">
        <v>823</v>
      </c>
      <c r="BF114" t="s">
        <v>60</v>
      </c>
    </row>
    <row r="115" spans="1:58" x14ac:dyDescent="0.45">
      <c r="A115">
        <v>10114</v>
      </c>
      <c r="B115">
        <v>1</v>
      </c>
      <c r="C115">
        <v>94.75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5.25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Z115">
        <v>0</v>
      </c>
      <c r="AA115">
        <v>1</v>
      </c>
      <c r="AB115">
        <v>0</v>
      </c>
      <c r="AC115">
        <v>0</v>
      </c>
      <c r="AD115">
        <v>1</v>
      </c>
      <c r="AE115">
        <f>AY115</f>
        <v>832.125</v>
      </c>
      <c r="AF115">
        <v>0</v>
      </c>
      <c r="AG115">
        <v>0</v>
      </c>
      <c r="AH115">
        <v>0</v>
      </c>
      <c r="AI115">
        <v>1</v>
      </c>
      <c r="AJ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5.25</v>
      </c>
      <c r="AX115">
        <v>0</v>
      </c>
      <c r="AY115">
        <v>832.125</v>
      </c>
      <c r="AZ115">
        <v>77.599999999999994</v>
      </c>
      <c r="BA115">
        <v>862</v>
      </c>
      <c r="BE115" t="s">
        <v>340</v>
      </c>
      <c r="BF115" t="s">
        <v>60</v>
      </c>
    </row>
    <row r="116" spans="1:58" x14ac:dyDescent="0.45">
      <c r="A116">
        <v>10115</v>
      </c>
      <c r="B116">
        <v>1</v>
      </c>
      <c r="C116">
        <v>93.63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6.370000000000001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f>AY116</f>
        <v>821.48500000000001</v>
      </c>
      <c r="AF116">
        <v>0</v>
      </c>
      <c r="AG116">
        <v>1</v>
      </c>
      <c r="AH116">
        <v>0</v>
      </c>
      <c r="AI116">
        <v>0</v>
      </c>
      <c r="AJ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6.370000000000001</v>
      </c>
      <c r="AX116">
        <v>0</v>
      </c>
      <c r="AY116">
        <v>821.48500000000001</v>
      </c>
      <c r="AZ116">
        <v>90</v>
      </c>
      <c r="BA116">
        <v>550</v>
      </c>
      <c r="BE116" t="s">
        <v>340</v>
      </c>
      <c r="BF116" t="s">
        <v>60</v>
      </c>
    </row>
    <row r="117" spans="1:58" x14ac:dyDescent="0.45">
      <c r="A117">
        <v>10116</v>
      </c>
      <c r="B117">
        <v>1</v>
      </c>
      <c r="C117">
        <v>93.75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J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6.25</v>
      </c>
      <c r="AX117">
        <v>0</v>
      </c>
      <c r="AY117">
        <v>822.625</v>
      </c>
      <c r="AZ117">
        <v>116</v>
      </c>
      <c r="BE117" t="s">
        <v>340</v>
      </c>
    </row>
    <row r="118" spans="1:58" x14ac:dyDescent="0.45">
      <c r="A118">
        <v>10117</v>
      </c>
      <c r="B118">
        <v>1</v>
      </c>
      <c r="C118">
        <v>91.9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J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8.1</v>
      </c>
      <c r="AX118">
        <v>0</v>
      </c>
      <c r="AY118">
        <v>805.05</v>
      </c>
      <c r="AZ118">
        <v>78</v>
      </c>
      <c r="BE118" t="s">
        <v>340</v>
      </c>
    </row>
    <row r="119" spans="1:58" x14ac:dyDescent="0.45">
      <c r="A119">
        <v>10118</v>
      </c>
      <c r="B119">
        <v>1</v>
      </c>
      <c r="C119">
        <v>77.8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22.2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J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22.2</v>
      </c>
      <c r="AX119">
        <v>0</v>
      </c>
      <c r="AY119">
        <v>671.1</v>
      </c>
      <c r="AZ119">
        <v>99</v>
      </c>
      <c r="BE119" t="s">
        <v>340</v>
      </c>
    </row>
    <row r="120" spans="1:58" x14ac:dyDescent="0.45">
      <c r="A120">
        <v>10119</v>
      </c>
      <c r="B120">
        <v>1</v>
      </c>
      <c r="C120">
        <v>88.2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11.8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J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11.8</v>
      </c>
      <c r="AX120">
        <v>0</v>
      </c>
      <c r="AY120">
        <v>769.9</v>
      </c>
      <c r="AZ120">
        <v>116</v>
      </c>
      <c r="BE120" t="s">
        <v>232</v>
      </c>
    </row>
    <row r="121" spans="1:58" x14ac:dyDescent="0.45">
      <c r="A121">
        <v>10120</v>
      </c>
      <c r="B121">
        <v>1</v>
      </c>
      <c r="C121">
        <v>96.11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J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3.89</v>
      </c>
      <c r="AX121">
        <v>0</v>
      </c>
      <c r="AY121">
        <v>845.04499999999996</v>
      </c>
      <c r="AZ121">
        <v>70</v>
      </c>
      <c r="BE121" t="s">
        <v>232</v>
      </c>
    </row>
    <row r="122" spans="1:58" x14ac:dyDescent="0.45">
      <c r="A122">
        <v>10121</v>
      </c>
      <c r="B122">
        <v>1</v>
      </c>
      <c r="C122">
        <v>91.91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8.09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J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8.09</v>
      </c>
      <c r="AX122">
        <v>0</v>
      </c>
      <c r="AY122">
        <v>805.14499999999998</v>
      </c>
      <c r="AZ122">
        <v>84</v>
      </c>
      <c r="BE122" t="s">
        <v>232</v>
      </c>
    </row>
    <row r="123" spans="1:58" x14ac:dyDescent="0.45">
      <c r="A123">
        <v>10122</v>
      </c>
      <c r="B123">
        <v>1</v>
      </c>
      <c r="C123">
        <v>96.8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3.2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J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3.2</v>
      </c>
      <c r="AX123">
        <v>0</v>
      </c>
      <c r="AY123">
        <v>851.6</v>
      </c>
      <c r="AZ123">
        <v>83.73</v>
      </c>
      <c r="BE123" t="s">
        <v>232</v>
      </c>
    </row>
    <row r="124" spans="1:58" x14ac:dyDescent="0.45">
      <c r="A124">
        <v>10123</v>
      </c>
      <c r="B124">
        <v>1</v>
      </c>
      <c r="C124">
        <v>95.5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4.5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J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4.5</v>
      </c>
      <c r="AX124">
        <v>0</v>
      </c>
      <c r="AY124">
        <v>839.25</v>
      </c>
      <c r="AZ124">
        <v>88.36</v>
      </c>
      <c r="BE124" t="s">
        <v>225</v>
      </c>
    </row>
    <row r="125" spans="1:58" x14ac:dyDescent="0.45">
      <c r="A125">
        <v>10124</v>
      </c>
      <c r="B125">
        <v>1</v>
      </c>
      <c r="C125">
        <v>94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J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6</v>
      </c>
      <c r="AX125">
        <v>0</v>
      </c>
      <c r="AY125">
        <v>825</v>
      </c>
      <c r="AZ125">
        <v>111.7</v>
      </c>
      <c r="BE125" t="s">
        <v>226</v>
      </c>
    </row>
    <row r="126" spans="1:58" x14ac:dyDescent="0.45">
      <c r="A126">
        <v>10125</v>
      </c>
      <c r="B126">
        <v>1</v>
      </c>
      <c r="C126">
        <v>93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J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7</v>
      </c>
      <c r="AX126">
        <v>0</v>
      </c>
      <c r="AY126">
        <v>815.5</v>
      </c>
      <c r="AZ126">
        <v>99.55</v>
      </c>
      <c r="BE126" t="s">
        <v>227</v>
      </c>
    </row>
    <row r="127" spans="1:58" x14ac:dyDescent="0.45">
      <c r="A127">
        <v>10126</v>
      </c>
      <c r="B127">
        <v>1</v>
      </c>
      <c r="C127">
        <v>92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J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8</v>
      </c>
      <c r="AX127">
        <v>0</v>
      </c>
      <c r="AY127">
        <v>806</v>
      </c>
      <c r="AZ127">
        <v>82.84</v>
      </c>
      <c r="BE127" t="s">
        <v>228</v>
      </c>
    </row>
    <row r="128" spans="1:58" x14ac:dyDescent="0.45">
      <c r="A128">
        <v>10127</v>
      </c>
      <c r="B128">
        <v>1</v>
      </c>
      <c r="C128">
        <v>88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J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12</v>
      </c>
      <c r="AX128">
        <v>0</v>
      </c>
      <c r="AY128">
        <v>768</v>
      </c>
      <c r="AZ128">
        <v>89.7</v>
      </c>
      <c r="BE128" t="s">
        <v>229</v>
      </c>
    </row>
    <row r="129" spans="1:58" x14ac:dyDescent="0.45">
      <c r="A129">
        <v>10128</v>
      </c>
      <c r="B129">
        <v>1</v>
      </c>
      <c r="C129">
        <v>94.74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5.26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J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5.26</v>
      </c>
      <c r="AX129">
        <v>0</v>
      </c>
      <c r="AY129">
        <v>832.03</v>
      </c>
      <c r="AZ129">
        <v>113</v>
      </c>
      <c r="BE129" t="s">
        <v>230</v>
      </c>
    </row>
    <row r="130" spans="1:58" x14ac:dyDescent="0.45">
      <c r="A130">
        <v>10129</v>
      </c>
      <c r="B130">
        <v>1</v>
      </c>
      <c r="C130">
        <v>94.29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5.71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J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5.71</v>
      </c>
      <c r="AX130">
        <v>0</v>
      </c>
      <c r="AY130">
        <v>827.755</v>
      </c>
      <c r="AZ130">
        <v>105.17</v>
      </c>
      <c r="BE130" t="s">
        <v>231</v>
      </c>
    </row>
    <row r="131" spans="1:58" x14ac:dyDescent="0.45">
      <c r="A131">
        <v>10130</v>
      </c>
      <c r="B131">
        <v>1</v>
      </c>
      <c r="C131">
        <v>93.13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6.87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J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6.87</v>
      </c>
      <c r="AX131">
        <v>0</v>
      </c>
      <c r="AY131">
        <v>816.73500000000001</v>
      </c>
      <c r="AZ131">
        <v>104.47</v>
      </c>
      <c r="BE131" t="s">
        <v>232</v>
      </c>
    </row>
    <row r="132" spans="1:58" x14ac:dyDescent="0.45">
      <c r="A132">
        <v>10131</v>
      </c>
      <c r="B132">
        <v>1</v>
      </c>
      <c r="C132">
        <v>91.88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8.1199999999999992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J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8.1199999999999992</v>
      </c>
      <c r="AX132">
        <v>0</v>
      </c>
      <c r="AY132">
        <v>804.86</v>
      </c>
      <c r="AZ132">
        <v>70.48</v>
      </c>
      <c r="BE132" t="s">
        <v>233</v>
      </c>
    </row>
    <row r="133" spans="1:58" x14ac:dyDescent="0.45">
      <c r="A133">
        <v>10132</v>
      </c>
      <c r="B133">
        <v>1</v>
      </c>
      <c r="C133">
        <v>90</v>
      </c>
      <c r="D133">
        <v>0</v>
      </c>
      <c r="E133">
        <v>0</v>
      </c>
      <c r="F133">
        <v>10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1000</v>
      </c>
      <c r="Y133">
        <v>70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850</v>
      </c>
      <c r="AF133">
        <v>1</v>
      </c>
      <c r="AG133">
        <v>1</v>
      </c>
      <c r="AH133">
        <v>0</v>
      </c>
      <c r="AI133">
        <v>0</v>
      </c>
      <c r="AJ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16</v>
      </c>
      <c r="AX133">
        <v>0</v>
      </c>
      <c r="AY133">
        <v>761</v>
      </c>
      <c r="BB133">
        <v>863</v>
      </c>
      <c r="BC133">
        <v>18.97</v>
      </c>
      <c r="BE133" t="s">
        <v>234</v>
      </c>
      <c r="BF133" t="s">
        <v>71</v>
      </c>
    </row>
    <row r="134" spans="1:58" x14ac:dyDescent="0.45">
      <c r="A134">
        <v>10133</v>
      </c>
      <c r="B134">
        <v>1</v>
      </c>
      <c r="C134">
        <v>89</v>
      </c>
      <c r="D134">
        <v>0</v>
      </c>
      <c r="E134">
        <v>0</v>
      </c>
      <c r="F134">
        <v>11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1000</v>
      </c>
      <c r="Y134">
        <v>70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850</v>
      </c>
      <c r="AF134">
        <v>1</v>
      </c>
      <c r="AG134">
        <v>1</v>
      </c>
      <c r="AH134">
        <v>0</v>
      </c>
      <c r="AI134">
        <v>0</v>
      </c>
      <c r="AJ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17.600000000000001</v>
      </c>
      <c r="AX134">
        <v>0</v>
      </c>
      <c r="AY134">
        <v>748.9</v>
      </c>
      <c r="BB134">
        <v>833</v>
      </c>
      <c r="BC134">
        <v>16.829999999999998</v>
      </c>
      <c r="BE134" t="s">
        <v>235</v>
      </c>
      <c r="BF134" t="s">
        <v>71</v>
      </c>
    </row>
    <row r="135" spans="1:58" x14ac:dyDescent="0.45">
      <c r="A135">
        <v>10134</v>
      </c>
      <c r="B135">
        <v>1</v>
      </c>
      <c r="C135">
        <v>88</v>
      </c>
      <c r="D135">
        <v>0</v>
      </c>
      <c r="E135">
        <v>0</v>
      </c>
      <c r="F135">
        <v>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1000</v>
      </c>
      <c r="Y135">
        <v>70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850</v>
      </c>
      <c r="AF135">
        <v>1</v>
      </c>
      <c r="AG135">
        <v>1</v>
      </c>
      <c r="AH135">
        <v>0</v>
      </c>
      <c r="AI135">
        <v>0</v>
      </c>
      <c r="AJ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19.200000000000003</v>
      </c>
      <c r="AX135">
        <v>0</v>
      </c>
      <c r="AY135">
        <v>736.8</v>
      </c>
      <c r="BB135">
        <v>753</v>
      </c>
      <c r="BC135">
        <v>13.27</v>
      </c>
      <c r="BF135" t="s">
        <v>71</v>
      </c>
    </row>
    <row r="136" spans="1:58" x14ac:dyDescent="0.45">
      <c r="A136">
        <v>10135</v>
      </c>
      <c r="B136">
        <v>1</v>
      </c>
      <c r="C136">
        <v>87</v>
      </c>
      <c r="D136">
        <v>0</v>
      </c>
      <c r="E136">
        <v>0</v>
      </c>
      <c r="F136">
        <v>13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1000</v>
      </c>
      <c r="Y136">
        <v>70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850</v>
      </c>
      <c r="AF136">
        <v>1</v>
      </c>
      <c r="AG136">
        <v>1</v>
      </c>
      <c r="AH136">
        <v>0</v>
      </c>
      <c r="AI136">
        <v>0</v>
      </c>
      <c r="AJ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20.8</v>
      </c>
      <c r="AX136">
        <v>0</v>
      </c>
      <c r="AY136">
        <v>724.7</v>
      </c>
      <c r="BB136">
        <v>785</v>
      </c>
      <c r="BC136">
        <v>12.6</v>
      </c>
      <c r="BF136" t="s">
        <v>71</v>
      </c>
    </row>
    <row r="137" spans="1:58" x14ac:dyDescent="0.45">
      <c r="A137">
        <v>10136</v>
      </c>
      <c r="B137">
        <v>1</v>
      </c>
      <c r="C137">
        <v>86</v>
      </c>
      <c r="D137">
        <v>0</v>
      </c>
      <c r="E137">
        <v>0</v>
      </c>
      <c r="F137">
        <v>14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1000</v>
      </c>
      <c r="Y137">
        <v>70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850</v>
      </c>
      <c r="AF137">
        <v>1</v>
      </c>
      <c r="AG137">
        <v>1</v>
      </c>
      <c r="AH137">
        <v>0</v>
      </c>
      <c r="AI137">
        <v>0</v>
      </c>
      <c r="AJ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22.400000000000002</v>
      </c>
      <c r="AX137">
        <v>0</v>
      </c>
      <c r="AY137">
        <v>712.6</v>
      </c>
      <c r="BB137">
        <v>789</v>
      </c>
      <c r="BC137">
        <v>13.52</v>
      </c>
      <c r="BF137" t="s">
        <v>71</v>
      </c>
    </row>
    <row r="138" spans="1:58" x14ac:dyDescent="0.45">
      <c r="A138">
        <v>10137</v>
      </c>
      <c r="B138">
        <v>1</v>
      </c>
      <c r="C138">
        <v>88</v>
      </c>
      <c r="D138">
        <v>0</v>
      </c>
      <c r="E138">
        <v>0</v>
      </c>
      <c r="F138">
        <v>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1000</v>
      </c>
      <c r="Y138">
        <v>70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850</v>
      </c>
      <c r="AF138">
        <v>1</v>
      </c>
      <c r="AG138">
        <v>1</v>
      </c>
      <c r="AH138">
        <v>0</v>
      </c>
      <c r="AI138">
        <v>0</v>
      </c>
      <c r="AJ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19.200000000000003</v>
      </c>
      <c r="AX138">
        <v>0</v>
      </c>
      <c r="AY138">
        <v>736.8</v>
      </c>
      <c r="BB138">
        <v>754</v>
      </c>
      <c r="BC138">
        <v>13.31</v>
      </c>
      <c r="BF138" t="s">
        <v>72</v>
      </c>
    </row>
    <row r="139" spans="1:58" x14ac:dyDescent="0.45">
      <c r="A139">
        <v>10138</v>
      </c>
      <c r="B139">
        <v>1</v>
      </c>
      <c r="C139">
        <v>90</v>
      </c>
      <c r="D139">
        <v>0</v>
      </c>
      <c r="E139">
        <v>0</v>
      </c>
      <c r="F139">
        <v>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1000</v>
      </c>
      <c r="Y139">
        <v>70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850</v>
      </c>
      <c r="AF139">
        <v>1</v>
      </c>
      <c r="AG139">
        <v>1</v>
      </c>
      <c r="AH139">
        <v>0</v>
      </c>
      <c r="AI139">
        <v>0</v>
      </c>
      <c r="AJ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16</v>
      </c>
      <c r="AX139">
        <v>0</v>
      </c>
      <c r="AY139">
        <v>761</v>
      </c>
      <c r="BB139">
        <v>863</v>
      </c>
      <c r="BC139">
        <v>18.989999999999998</v>
      </c>
      <c r="BF139" t="s">
        <v>73</v>
      </c>
    </row>
    <row r="140" spans="1:58" x14ac:dyDescent="0.45">
      <c r="A140">
        <v>10139</v>
      </c>
      <c r="B140">
        <v>1</v>
      </c>
      <c r="C140">
        <v>89</v>
      </c>
      <c r="D140">
        <v>0</v>
      </c>
      <c r="E140">
        <v>0</v>
      </c>
      <c r="F140">
        <v>11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1000</v>
      </c>
      <c r="Y140">
        <v>70</v>
      </c>
      <c r="Z140">
        <v>0</v>
      </c>
      <c r="AA140">
        <v>1</v>
      </c>
      <c r="AB140">
        <v>0</v>
      </c>
      <c r="AC140">
        <v>0</v>
      </c>
      <c r="AD140">
        <v>1</v>
      </c>
      <c r="AE140">
        <v>850</v>
      </c>
      <c r="AF140">
        <v>1</v>
      </c>
      <c r="AG140">
        <v>1</v>
      </c>
      <c r="AH140">
        <v>0</v>
      </c>
      <c r="AI140">
        <v>0</v>
      </c>
      <c r="AJ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17.600000000000001</v>
      </c>
      <c r="AX140">
        <v>0</v>
      </c>
      <c r="AY140">
        <v>748.9</v>
      </c>
      <c r="BB140">
        <v>833</v>
      </c>
      <c r="BC140">
        <v>16.84</v>
      </c>
      <c r="BF140" t="s">
        <v>74</v>
      </c>
    </row>
    <row r="141" spans="1:58" x14ac:dyDescent="0.45">
      <c r="A141">
        <v>10140</v>
      </c>
      <c r="B141">
        <v>1</v>
      </c>
      <c r="C141">
        <v>88</v>
      </c>
      <c r="D141">
        <v>0</v>
      </c>
      <c r="E141">
        <v>0</v>
      </c>
      <c r="F141">
        <v>12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1000</v>
      </c>
      <c r="Y141">
        <v>70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850</v>
      </c>
      <c r="AF141">
        <v>1</v>
      </c>
      <c r="AG141">
        <v>1</v>
      </c>
      <c r="AH141">
        <v>0</v>
      </c>
      <c r="AI141">
        <v>0</v>
      </c>
      <c r="AJ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19.200000000000003</v>
      </c>
      <c r="AX141">
        <v>0</v>
      </c>
      <c r="AY141">
        <v>736.8</v>
      </c>
      <c r="BB141">
        <v>753</v>
      </c>
      <c r="BC141">
        <v>13.29</v>
      </c>
      <c r="BF141" t="s">
        <v>75</v>
      </c>
    </row>
    <row r="142" spans="1:58" x14ac:dyDescent="0.45">
      <c r="A142">
        <v>10141</v>
      </c>
      <c r="B142">
        <v>1</v>
      </c>
      <c r="C142">
        <v>87</v>
      </c>
      <c r="D142">
        <v>0</v>
      </c>
      <c r="E142">
        <v>0</v>
      </c>
      <c r="F142">
        <v>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1000</v>
      </c>
      <c r="Y142">
        <v>70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850</v>
      </c>
      <c r="AF142">
        <v>1</v>
      </c>
      <c r="AG142">
        <v>1</v>
      </c>
      <c r="AH142">
        <v>0</v>
      </c>
      <c r="AI142">
        <v>0</v>
      </c>
      <c r="AJ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20.8</v>
      </c>
      <c r="AX142">
        <v>0</v>
      </c>
      <c r="AY142">
        <v>724.7</v>
      </c>
      <c r="BB142">
        <v>785</v>
      </c>
      <c r="BC142">
        <v>12.58</v>
      </c>
      <c r="BF142" t="s">
        <v>76</v>
      </c>
    </row>
    <row r="143" spans="1:58" x14ac:dyDescent="0.45">
      <c r="A143">
        <v>10142</v>
      </c>
      <c r="B143">
        <v>1</v>
      </c>
      <c r="C143">
        <v>86</v>
      </c>
      <c r="D143">
        <v>0</v>
      </c>
      <c r="E143">
        <v>0</v>
      </c>
      <c r="F143">
        <v>14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1000</v>
      </c>
      <c r="Y143">
        <v>70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850</v>
      </c>
      <c r="AF143">
        <v>1</v>
      </c>
      <c r="AG143">
        <v>1</v>
      </c>
      <c r="AH143">
        <v>0</v>
      </c>
      <c r="AI143">
        <v>0</v>
      </c>
      <c r="AJ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22.400000000000002</v>
      </c>
      <c r="AX143">
        <v>0</v>
      </c>
      <c r="AY143">
        <v>712.6</v>
      </c>
      <c r="BB143">
        <v>789</v>
      </c>
      <c r="BC143">
        <v>13.49</v>
      </c>
      <c r="BF143" t="s">
        <v>77</v>
      </c>
    </row>
    <row r="144" spans="1:58" x14ac:dyDescent="0.45">
      <c r="A144">
        <v>10143</v>
      </c>
      <c r="B144">
        <v>1</v>
      </c>
      <c r="C144">
        <v>94.129000000000005</v>
      </c>
      <c r="D144">
        <v>5.73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1000</v>
      </c>
      <c r="AF144">
        <v>1</v>
      </c>
      <c r="AJ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-5.73</v>
      </c>
      <c r="AX144">
        <v>5.73</v>
      </c>
      <c r="AY144">
        <v>894.03300000000002</v>
      </c>
      <c r="BB144">
        <v>932</v>
      </c>
      <c r="BF144" t="s">
        <v>49</v>
      </c>
    </row>
    <row r="145" spans="1:58" x14ac:dyDescent="0.45">
      <c r="A145">
        <v>10144</v>
      </c>
      <c r="B145">
        <v>1</v>
      </c>
      <c r="C145">
        <v>94.207999999999998</v>
      </c>
      <c r="D145">
        <v>5.73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1000</v>
      </c>
      <c r="AF145">
        <v>1</v>
      </c>
      <c r="AJ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-5.73</v>
      </c>
      <c r="AX145">
        <v>5.73</v>
      </c>
      <c r="AY145">
        <v>894.03300000000002</v>
      </c>
      <c r="BB145">
        <v>695</v>
      </c>
      <c r="BF145" t="s">
        <v>49</v>
      </c>
    </row>
    <row r="146" spans="1:58" x14ac:dyDescent="0.45">
      <c r="A146">
        <v>10145</v>
      </c>
      <c r="B146">
        <v>1</v>
      </c>
      <c r="C146">
        <v>93.06</v>
      </c>
      <c r="D146">
        <v>0</v>
      </c>
      <c r="E146">
        <v>0</v>
      </c>
      <c r="F146">
        <v>0</v>
      </c>
      <c r="G146">
        <v>0</v>
      </c>
      <c r="H146">
        <v>6.94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J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20.126000000000001</v>
      </c>
      <c r="AX146">
        <v>0</v>
      </c>
      <c r="AY146">
        <v>775.12400000000002</v>
      </c>
      <c r="AZ146">
        <v>129</v>
      </c>
      <c r="BA146">
        <v>1560</v>
      </c>
      <c r="BF146" t="s">
        <v>60</v>
      </c>
    </row>
    <row r="147" spans="1:58" x14ac:dyDescent="0.45">
      <c r="A147">
        <v>10146</v>
      </c>
      <c r="B147">
        <v>1</v>
      </c>
      <c r="C147">
        <v>93.94</v>
      </c>
      <c r="D147">
        <v>0</v>
      </c>
      <c r="E147">
        <v>0</v>
      </c>
      <c r="F147">
        <v>0</v>
      </c>
      <c r="G147">
        <v>0</v>
      </c>
      <c r="H147">
        <v>6.0600000000000005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J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17.574000000000002</v>
      </c>
      <c r="AX147">
        <v>0</v>
      </c>
      <c r="AY147">
        <v>788.67599999999993</v>
      </c>
      <c r="AZ147">
        <v>130</v>
      </c>
      <c r="BA147">
        <v>1847</v>
      </c>
      <c r="BF147" t="s">
        <v>60</v>
      </c>
    </row>
    <row r="148" spans="1:58" x14ac:dyDescent="0.45">
      <c r="A148">
        <v>10147</v>
      </c>
      <c r="B148">
        <v>1</v>
      </c>
      <c r="C148">
        <v>30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J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11.666666666666666</v>
      </c>
      <c r="AY148">
        <v>399</v>
      </c>
      <c r="AZ148">
        <v>74.7</v>
      </c>
    </row>
    <row r="149" spans="1:58" x14ac:dyDescent="0.45">
      <c r="A149">
        <v>10148</v>
      </c>
      <c r="B149">
        <v>1</v>
      </c>
      <c r="C149">
        <v>91.53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8.4700000000000006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J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1.4116666666666668</v>
      </c>
      <c r="AY149">
        <v>823.55700000000002</v>
      </c>
      <c r="AZ149">
        <v>110.5</v>
      </c>
    </row>
    <row r="150" spans="1:58" x14ac:dyDescent="0.45">
      <c r="A150">
        <v>10149</v>
      </c>
      <c r="B150">
        <v>1</v>
      </c>
      <c r="C150">
        <v>72.5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27.5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J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4.583333333333333</v>
      </c>
      <c r="AY150">
        <v>692.25</v>
      </c>
      <c r="AZ150">
        <v>94.61</v>
      </c>
    </row>
    <row r="151" spans="1:58" x14ac:dyDescent="0.45">
      <c r="A151">
        <v>10150</v>
      </c>
      <c r="B151">
        <v>1</v>
      </c>
      <c r="C151">
        <v>59.47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1.53</v>
      </c>
      <c r="K151">
        <v>39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850</v>
      </c>
      <c r="AF151">
        <v>1</v>
      </c>
      <c r="AG151">
        <v>1</v>
      </c>
      <c r="AH151">
        <v>0</v>
      </c>
      <c r="AI151">
        <v>0</v>
      </c>
      <c r="AJ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10.920000000000002</v>
      </c>
      <c r="AX151">
        <v>0.255</v>
      </c>
      <c r="AY151">
        <v>871.44299999999998</v>
      </c>
      <c r="BB151">
        <v>598.70000000000005</v>
      </c>
      <c r="BC151">
        <v>21.88</v>
      </c>
      <c r="BF151" t="s">
        <v>51</v>
      </c>
    </row>
    <row r="152" spans="1:58" x14ac:dyDescent="0.45">
      <c r="A152">
        <v>10151</v>
      </c>
      <c r="B152">
        <v>1</v>
      </c>
      <c r="C152">
        <v>58.24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3.04</v>
      </c>
      <c r="K152">
        <v>38.72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850</v>
      </c>
      <c r="AF152">
        <v>1</v>
      </c>
      <c r="AG152">
        <v>1</v>
      </c>
      <c r="AH152">
        <v>0</v>
      </c>
      <c r="AI152">
        <v>0</v>
      </c>
      <c r="AJ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10.841600000000001</v>
      </c>
      <c r="AX152">
        <v>0.50666666666666671</v>
      </c>
      <c r="AY152">
        <v>861.024</v>
      </c>
      <c r="BB152">
        <v>667.1</v>
      </c>
      <c r="BC152">
        <v>11.03</v>
      </c>
      <c r="BF152" t="s">
        <v>51</v>
      </c>
    </row>
    <row r="153" spans="1:58" x14ac:dyDescent="0.45">
      <c r="A153">
        <v>10152</v>
      </c>
      <c r="B153">
        <v>1</v>
      </c>
      <c r="C153">
        <v>57.03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4.53</v>
      </c>
      <c r="K153">
        <v>38.44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850</v>
      </c>
      <c r="AF153">
        <v>1</v>
      </c>
      <c r="AG153">
        <v>1</v>
      </c>
      <c r="AH153">
        <v>0</v>
      </c>
      <c r="AI153">
        <v>0</v>
      </c>
      <c r="AJ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10.763200000000001</v>
      </c>
      <c r="AX153">
        <v>0.755</v>
      </c>
      <c r="AY153">
        <v>850.74299999999994</v>
      </c>
      <c r="BB153">
        <v>768.2</v>
      </c>
      <c r="BC153">
        <v>5.26</v>
      </c>
      <c r="BF153" t="s">
        <v>51</v>
      </c>
    </row>
    <row r="154" spans="1:58" x14ac:dyDescent="0.45">
      <c r="A154">
        <v>10153</v>
      </c>
      <c r="B154">
        <v>1</v>
      </c>
      <c r="C154">
        <v>55.84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</v>
      </c>
      <c r="K154">
        <v>38.159999999999997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Z154">
        <v>1</v>
      </c>
      <c r="AA154">
        <v>0</v>
      </c>
      <c r="AB154">
        <v>0</v>
      </c>
      <c r="AC154">
        <v>0</v>
      </c>
      <c r="AD154">
        <v>1</v>
      </c>
      <c r="AE154">
        <v>850</v>
      </c>
      <c r="AF154">
        <v>1</v>
      </c>
      <c r="AG154">
        <v>1</v>
      </c>
      <c r="AH154">
        <v>0</v>
      </c>
      <c r="AI154">
        <v>0</v>
      </c>
      <c r="AJ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10.684799999999999</v>
      </c>
      <c r="AX154">
        <v>1</v>
      </c>
      <c r="AY154">
        <v>840.6</v>
      </c>
      <c r="BB154">
        <v>746.6</v>
      </c>
      <c r="BC154">
        <v>3.88</v>
      </c>
      <c r="BF154" t="s">
        <v>51</v>
      </c>
    </row>
    <row r="155" spans="1:58" x14ac:dyDescent="0.45">
      <c r="A155">
        <v>10154</v>
      </c>
      <c r="B155">
        <v>1</v>
      </c>
      <c r="C155">
        <v>53.5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8.8699999999999992</v>
      </c>
      <c r="K155">
        <v>37.630000000000003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850</v>
      </c>
      <c r="AF155">
        <v>1</v>
      </c>
      <c r="AG155">
        <v>1</v>
      </c>
      <c r="AH155">
        <v>0</v>
      </c>
      <c r="AI155">
        <v>0</v>
      </c>
      <c r="AJ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10.536400000000002</v>
      </c>
      <c r="AX155">
        <v>1.4783333333333333</v>
      </c>
      <c r="AY155">
        <v>820.79700000000003</v>
      </c>
      <c r="BB155">
        <v>655.29999999999995</v>
      </c>
      <c r="BC155">
        <v>8.0500000000000007</v>
      </c>
      <c r="BE155" t="s">
        <v>237</v>
      </c>
      <c r="BF155" t="s">
        <v>51</v>
      </c>
    </row>
    <row r="156" spans="1:58" x14ac:dyDescent="0.45">
      <c r="A156">
        <v>10155</v>
      </c>
      <c r="B156">
        <v>1</v>
      </c>
      <c r="C156">
        <v>62.04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3.11</v>
      </c>
      <c r="K156">
        <v>34.85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20</v>
      </c>
      <c r="Y156">
        <v>95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900</v>
      </c>
      <c r="AF156">
        <v>0.5</v>
      </c>
      <c r="AG156">
        <v>1</v>
      </c>
      <c r="AH156">
        <v>0</v>
      </c>
      <c r="AI156">
        <v>0</v>
      </c>
      <c r="AJ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9.7580000000000009</v>
      </c>
      <c r="AX156">
        <v>0.51833333333333331</v>
      </c>
      <c r="AY156">
        <v>860.54100000000005</v>
      </c>
      <c r="BB156">
        <v>459</v>
      </c>
      <c r="BC156">
        <v>38.22</v>
      </c>
      <c r="BE156" t="s">
        <v>237</v>
      </c>
      <c r="BF156" t="s">
        <v>111</v>
      </c>
    </row>
    <row r="157" spans="1:58" x14ac:dyDescent="0.45">
      <c r="A157">
        <v>10156</v>
      </c>
      <c r="B157">
        <v>1</v>
      </c>
      <c r="C157">
        <v>59.52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6.13</v>
      </c>
      <c r="K157">
        <v>34.35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20</v>
      </c>
      <c r="Y157">
        <v>95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900</v>
      </c>
      <c r="AF157">
        <v>0.5</v>
      </c>
      <c r="AG157">
        <v>1</v>
      </c>
      <c r="AH157">
        <v>0</v>
      </c>
      <c r="AI157">
        <v>0</v>
      </c>
      <c r="AJ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9.6180000000000021</v>
      </c>
      <c r="AX157">
        <v>1.0216666666666667</v>
      </c>
      <c r="AY157">
        <v>839.70299999999997</v>
      </c>
      <c r="BB157">
        <v>468</v>
      </c>
      <c r="BC157">
        <v>40.65</v>
      </c>
      <c r="BE157" t="s">
        <v>237</v>
      </c>
      <c r="BF157" t="s">
        <v>79</v>
      </c>
    </row>
    <row r="158" spans="1:58" x14ac:dyDescent="0.45">
      <c r="A158">
        <v>10157</v>
      </c>
      <c r="B158">
        <v>1</v>
      </c>
      <c r="C158">
        <v>57.08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9.07</v>
      </c>
      <c r="K158">
        <v>33.85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20</v>
      </c>
      <c r="Y158">
        <v>95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900</v>
      </c>
      <c r="AF158">
        <v>0.5</v>
      </c>
      <c r="AG158">
        <v>1</v>
      </c>
      <c r="AH158">
        <v>0</v>
      </c>
      <c r="AI158">
        <v>0</v>
      </c>
      <c r="AJ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9.4780000000000015</v>
      </c>
      <c r="AX158">
        <v>1.5116666666666667</v>
      </c>
      <c r="AY158">
        <v>819.41700000000003</v>
      </c>
      <c r="BB158">
        <v>456</v>
      </c>
      <c r="BC158">
        <v>28.57</v>
      </c>
      <c r="BE158" t="s">
        <v>237</v>
      </c>
      <c r="BF158" t="s">
        <v>80</v>
      </c>
    </row>
    <row r="159" spans="1:58" x14ac:dyDescent="0.45">
      <c r="A159">
        <v>10158</v>
      </c>
      <c r="B159">
        <v>1</v>
      </c>
      <c r="C159">
        <v>54.71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11.92</v>
      </c>
      <c r="K159">
        <v>33.369999999999997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20</v>
      </c>
      <c r="Y159">
        <v>95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900</v>
      </c>
      <c r="AF159">
        <v>0.5</v>
      </c>
      <c r="AG159">
        <v>1</v>
      </c>
      <c r="AH159">
        <v>0</v>
      </c>
      <c r="AI159">
        <v>0</v>
      </c>
      <c r="AJ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9.3436000000000003</v>
      </c>
      <c r="AX159">
        <v>1.9866666666666666</v>
      </c>
      <c r="AY159">
        <v>799.75199999999995</v>
      </c>
      <c r="BB159">
        <v>480</v>
      </c>
      <c r="BC159">
        <v>27.6</v>
      </c>
      <c r="BE159" t="s">
        <v>237</v>
      </c>
      <c r="BF159" t="s">
        <v>81</v>
      </c>
    </row>
    <row r="160" spans="1:58" x14ac:dyDescent="0.45">
      <c r="A160">
        <v>10159</v>
      </c>
      <c r="B160">
        <v>1</v>
      </c>
      <c r="C160">
        <v>74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13</v>
      </c>
      <c r="K160">
        <v>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800</v>
      </c>
      <c r="Y160">
        <v>35</v>
      </c>
      <c r="Z160">
        <v>0</v>
      </c>
      <c r="AA160">
        <v>1</v>
      </c>
      <c r="AB160">
        <v>0</v>
      </c>
      <c r="AC160">
        <v>0</v>
      </c>
      <c r="AD160">
        <v>1</v>
      </c>
      <c r="AE160">
        <v>800</v>
      </c>
      <c r="AF160">
        <v>1</v>
      </c>
      <c r="AG160">
        <v>0</v>
      </c>
      <c r="AH160">
        <v>0</v>
      </c>
      <c r="AI160">
        <v>1</v>
      </c>
      <c r="AJ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3.6400000000000006</v>
      </c>
      <c r="AX160">
        <v>2.1666666666666665</v>
      </c>
      <c r="AY160">
        <v>792.3</v>
      </c>
      <c r="BB160">
        <v>732</v>
      </c>
      <c r="BC160">
        <v>16.25</v>
      </c>
      <c r="BE160" t="s">
        <v>236</v>
      </c>
      <c r="BF160" t="s">
        <v>82</v>
      </c>
    </row>
    <row r="161" spans="1:58" x14ac:dyDescent="0.45">
      <c r="A161">
        <v>10160</v>
      </c>
      <c r="B161">
        <v>1</v>
      </c>
      <c r="C161">
        <v>74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13</v>
      </c>
      <c r="K161">
        <v>13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800</v>
      </c>
      <c r="Y161">
        <v>35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800</v>
      </c>
      <c r="AF161">
        <v>1</v>
      </c>
      <c r="AG161">
        <v>0</v>
      </c>
      <c r="AH161">
        <v>1</v>
      </c>
      <c r="AI161">
        <v>0</v>
      </c>
      <c r="AJ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3.6400000000000006</v>
      </c>
      <c r="AX161">
        <v>2.1666666666666665</v>
      </c>
      <c r="AY161">
        <v>792.3</v>
      </c>
      <c r="BB161">
        <v>773</v>
      </c>
      <c r="BC161">
        <v>12.24</v>
      </c>
      <c r="BE161" t="s">
        <v>237</v>
      </c>
      <c r="BF161" t="s">
        <v>82</v>
      </c>
    </row>
    <row r="162" spans="1:58" x14ac:dyDescent="0.45">
      <c r="A162">
        <v>10161</v>
      </c>
      <c r="B162">
        <v>1</v>
      </c>
      <c r="C162">
        <v>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13</v>
      </c>
      <c r="K162">
        <v>13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800</v>
      </c>
      <c r="Y162">
        <v>35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800</v>
      </c>
      <c r="AF162">
        <v>1</v>
      </c>
      <c r="AG162">
        <v>1</v>
      </c>
      <c r="AH162">
        <v>0</v>
      </c>
      <c r="AI162">
        <v>0</v>
      </c>
      <c r="AJ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3.6400000000000006</v>
      </c>
      <c r="AX162">
        <v>2.1666666666666665</v>
      </c>
      <c r="AY162">
        <v>792.3</v>
      </c>
      <c r="BB162">
        <v>743</v>
      </c>
      <c r="BC162">
        <v>20.23</v>
      </c>
      <c r="BE162" t="s">
        <v>238</v>
      </c>
      <c r="BF162" t="s">
        <v>82</v>
      </c>
    </row>
    <row r="163" spans="1:58" x14ac:dyDescent="0.45">
      <c r="A163">
        <v>10162</v>
      </c>
      <c r="B163">
        <v>1</v>
      </c>
      <c r="C163">
        <v>74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13</v>
      </c>
      <c r="K163">
        <v>13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800</v>
      </c>
      <c r="Y163">
        <v>35</v>
      </c>
      <c r="Z163">
        <v>0</v>
      </c>
      <c r="AA163">
        <v>1</v>
      </c>
      <c r="AB163">
        <v>0</v>
      </c>
      <c r="AC163">
        <v>0</v>
      </c>
      <c r="AD163">
        <v>1</v>
      </c>
      <c r="AE163">
        <v>800</v>
      </c>
      <c r="AF163">
        <v>1</v>
      </c>
      <c r="AG163">
        <v>1</v>
      </c>
      <c r="AH163">
        <v>0</v>
      </c>
      <c r="AI163">
        <v>0</v>
      </c>
      <c r="AJ163">
        <v>1</v>
      </c>
      <c r="AK163">
        <v>500</v>
      </c>
      <c r="AL163">
        <v>5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3.6400000000000006</v>
      </c>
      <c r="AX163">
        <v>2.1666666666666665</v>
      </c>
      <c r="AY163">
        <v>792.3</v>
      </c>
      <c r="BB163">
        <v>1047</v>
      </c>
      <c r="BC163">
        <v>4.26</v>
      </c>
      <c r="BE163" t="s">
        <v>239</v>
      </c>
      <c r="BF163" t="s">
        <v>82</v>
      </c>
    </row>
    <row r="164" spans="1:58" x14ac:dyDescent="0.45">
      <c r="A164">
        <v>10163</v>
      </c>
      <c r="B164">
        <v>1</v>
      </c>
      <c r="C164">
        <v>74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13</v>
      </c>
      <c r="K164">
        <v>13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800</v>
      </c>
      <c r="Y164">
        <v>35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650</v>
      </c>
      <c r="AF164">
        <v>1</v>
      </c>
      <c r="AG164">
        <v>0</v>
      </c>
      <c r="AH164">
        <v>0</v>
      </c>
      <c r="AI164">
        <v>1</v>
      </c>
      <c r="AJ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3.6400000000000006</v>
      </c>
      <c r="AX164">
        <v>2.1666666666666665</v>
      </c>
      <c r="AY164">
        <v>792.3</v>
      </c>
      <c r="BB164">
        <v>791</v>
      </c>
      <c r="BC164">
        <v>11.11</v>
      </c>
      <c r="BE164" t="s">
        <v>240</v>
      </c>
      <c r="BF164" t="s">
        <v>82</v>
      </c>
    </row>
    <row r="165" spans="1:58" x14ac:dyDescent="0.45">
      <c r="A165">
        <v>10164</v>
      </c>
      <c r="B165">
        <v>1</v>
      </c>
      <c r="C165">
        <v>74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13</v>
      </c>
      <c r="K165">
        <v>13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800</v>
      </c>
      <c r="Y165">
        <v>35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650</v>
      </c>
      <c r="AF165">
        <v>1</v>
      </c>
      <c r="AG165">
        <v>0</v>
      </c>
      <c r="AH165">
        <v>1</v>
      </c>
      <c r="AI165">
        <v>0</v>
      </c>
      <c r="AJ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3.6400000000000006</v>
      </c>
      <c r="AX165">
        <v>2.1666666666666665</v>
      </c>
      <c r="AY165">
        <v>792.3</v>
      </c>
      <c r="BB165">
        <v>871</v>
      </c>
      <c r="BC165">
        <v>11.15</v>
      </c>
      <c r="BE165" t="s">
        <v>241</v>
      </c>
      <c r="BF165" t="s">
        <v>82</v>
      </c>
    </row>
    <row r="166" spans="1:58" x14ac:dyDescent="0.45">
      <c r="A166">
        <v>10165</v>
      </c>
      <c r="B166">
        <v>1</v>
      </c>
      <c r="C166">
        <v>74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13</v>
      </c>
      <c r="K166">
        <v>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800</v>
      </c>
      <c r="Y166">
        <v>35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650</v>
      </c>
      <c r="AF166">
        <v>1</v>
      </c>
      <c r="AG166">
        <v>1</v>
      </c>
      <c r="AH166">
        <v>0</v>
      </c>
      <c r="AI166">
        <v>0</v>
      </c>
      <c r="AJ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3.6400000000000006</v>
      </c>
      <c r="AX166">
        <v>2.1666666666666665</v>
      </c>
      <c r="AY166">
        <v>792.3</v>
      </c>
      <c r="BB166">
        <v>807</v>
      </c>
      <c r="BC166">
        <v>16.989999999999998</v>
      </c>
      <c r="BF166" t="s">
        <v>82</v>
      </c>
    </row>
    <row r="167" spans="1:58" x14ac:dyDescent="0.45">
      <c r="A167">
        <v>10166</v>
      </c>
      <c r="B167">
        <v>1</v>
      </c>
      <c r="C167">
        <v>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13</v>
      </c>
      <c r="K167">
        <v>13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800</v>
      </c>
      <c r="Y167">
        <v>35</v>
      </c>
      <c r="Z167">
        <v>0</v>
      </c>
      <c r="AA167">
        <v>1</v>
      </c>
      <c r="AB167">
        <v>0</v>
      </c>
      <c r="AC167">
        <v>0</v>
      </c>
      <c r="AD167">
        <v>1</v>
      </c>
      <c r="AE167">
        <v>650</v>
      </c>
      <c r="AF167">
        <v>1</v>
      </c>
      <c r="AG167">
        <v>1</v>
      </c>
      <c r="AH167">
        <v>0</v>
      </c>
      <c r="AI167">
        <v>0</v>
      </c>
      <c r="AJ167">
        <v>1</v>
      </c>
      <c r="AK167">
        <v>500</v>
      </c>
      <c r="AL167">
        <v>5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3.6400000000000006</v>
      </c>
      <c r="AX167">
        <v>2.1666666666666665</v>
      </c>
      <c r="AY167">
        <v>792.3</v>
      </c>
      <c r="BB167">
        <v>881</v>
      </c>
      <c r="BC167">
        <v>8.34</v>
      </c>
      <c r="BF167" t="s">
        <v>82</v>
      </c>
    </row>
    <row r="168" spans="1:58" x14ac:dyDescent="0.45">
      <c r="A168">
        <v>10167</v>
      </c>
      <c r="B168">
        <v>1</v>
      </c>
      <c r="C168">
        <v>74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13</v>
      </c>
      <c r="K168">
        <v>13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650</v>
      </c>
      <c r="Y168">
        <v>35</v>
      </c>
      <c r="Z168">
        <v>0</v>
      </c>
      <c r="AA168">
        <v>1</v>
      </c>
      <c r="AB168">
        <v>0</v>
      </c>
      <c r="AC168">
        <v>0</v>
      </c>
      <c r="AD168">
        <v>1</v>
      </c>
      <c r="AE168">
        <v>700</v>
      </c>
      <c r="AF168">
        <v>1</v>
      </c>
      <c r="AG168">
        <v>0</v>
      </c>
      <c r="AH168">
        <v>0</v>
      </c>
      <c r="AI168">
        <v>1</v>
      </c>
      <c r="AJ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3.6400000000000006</v>
      </c>
      <c r="AX168">
        <v>2.1666666666666665</v>
      </c>
      <c r="AY168">
        <v>792.3</v>
      </c>
      <c r="BB168">
        <v>814</v>
      </c>
      <c r="BC168">
        <v>19.489999999999998</v>
      </c>
      <c r="BF168" t="s">
        <v>82</v>
      </c>
    </row>
    <row r="169" spans="1:58" x14ac:dyDescent="0.45">
      <c r="A169">
        <v>10168</v>
      </c>
      <c r="B169">
        <v>1</v>
      </c>
      <c r="C169">
        <v>74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13</v>
      </c>
      <c r="K169">
        <v>13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650</v>
      </c>
      <c r="Y169">
        <v>35</v>
      </c>
      <c r="Z169">
        <v>0</v>
      </c>
      <c r="AA169">
        <v>1</v>
      </c>
      <c r="AB169">
        <v>0</v>
      </c>
      <c r="AC169">
        <v>0</v>
      </c>
      <c r="AD169">
        <v>1</v>
      </c>
      <c r="AE169">
        <v>700</v>
      </c>
      <c r="AF169">
        <v>1</v>
      </c>
      <c r="AG169">
        <v>0</v>
      </c>
      <c r="AH169">
        <v>1</v>
      </c>
      <c r="AI169">
        <v>0</v>
      </c>
      <c r="AJ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3.6400000000000006</v>
      </c>
      <c r="AX169">
        <v>2.1666666666666665</v>
      </c>
      <c r="AY169">
        <v>792.3</v>
      </c>
      <c r="BB169">
        <v>876</v>
      </c>
      <c r="BC169">
        <v>15.45</v>
      </c>
      <c r="BF169" t="s">
        <v>82</v>
      </c>
    </row>
    <row r="170" spans="1:58" x14ac:dyDescent="0.45">
      <c r="A170">
        <v>10169</v>
      </c>
      <c r="B170">
        <v>1</v>
      </c>
      <c r="C170">
        <v>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13</v>
      </c>
      <c r="K170">
        <v>13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650</v>
      </c>
      <c r="Y170">
        <v>35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700</v>
      </c>
      <c r="AF170">
        <v>1</v>
      </c>
      <c r="AG170">
        <v>1</v>
      </c>
      <c r="AH170">
        <v>0</v>
      </c>
      <c r="AI170">
        <v>0</v>
      </c>
      <c r="AJ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3.6400000000000006</v>
      </c>
      <c r="AX170">
        <v>2.1666666666666665</v>
      </c>
      <c r="AY170">
        <v>792.3</v>
      </c>
      <c r="BB170">
        <v>804</v>
      </c>
      <c r="BC170">
        <v>20.2</v>
      </c>
      <c r="BF170" t="s">
        <v>82</v>
      </c>
    </row>
    <row r="171" spans="1:58" x14ac:dyDescent="0.45">
      <c r="A171">
        <v>10170</v>
      </c>
      <c r="B171">
        <v>1</v>
      </c>
      <c r="C171">
        <v>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13</v>
      </c>
      <c r="K171">
        <v>13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650</v>
      </c>
      <c r="Y171">
        <v>35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700</v>
      </c>
      <c r="AF171">
        <v>1</v>
      </c>
      <c r="AG171">
        <v>1</v>
      </c>
      <c r="AH171">
        <v>0</v>
      </c>
      <c r="AI171">
        <v>0</v>
      </c>
      <c r="AJ171">
        <v>1</v>
      </c>
      <c r="AK171">
        <v>500</v>
      </c>
      <c r="AL171">
        <v>5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3.6400000000000006</v>
      </c>
      <c r="AX171">
        <v>2.1666666666666665</v>
      </c>
      <c r="AY171">
        <v>792.3</v>
      </c>
      <c r="BB171">
        <v>1000</v>
      </c>
      <c r="BC171">
        <v>11.83</v>
      </c>
      <c r="BF171" t="s">
        <v>82</v>
      </c>
    </row>
    <row r="172" spans="1:58" x14ac:dyDescent="0.45">
      <c r="A172">
        <v>10171</v>
      </c>
      <c r="B172">
        <v>1</v>
      </c>
      <c r="C172">
        <v>74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13</v>
      </c>
      <c r="K172">
        <v>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650</v>
      </c>
      <c r="Y172">
        <v>35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700</v>
      </c>
      <c r="AF172">
        <v>1</v>
      </c>
      <c r="AG172">
        <v>0</v>
      </c>
      <c r="AH172">
        <v>0</v>
      </c>
      <c r="AI172">
        <v>1</v>
      </c>
      <c r="AJ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3.6400000000000006</v>
      </c>
      <c r="AX172">
        <v>2.1666666666666665</v>
      </c>
      <c r="AY172">
        <v>792.3</v>
      </c>
      <c r="BB172">
        <v>687</v>
      </c>
      <c r="BC172">
        <v>16.059999999999999</v>
      </c>
      <c r="BF172" t="s">
        <v>82</v>
      </c>
    </row>
    <row r="173" spans="1:58" x14ac:dyDescent="0.45">
      <c r="A173">
        <v>10172</v>
      </c>
      <c r="B173">
        <v>1</v>
      </c>
      <c r="C173">
        <v>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13</v>
      </c>
      <c r="K173">
        <v>13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650</v>
      </c>
      <c r="Y173">
        <v>35</v>
      </c>
      <c r="Z173">
        <v>0</v>
      </c>
      <c r="AA173">
        <v>1</v>
      </c>
      <c r="AB173">
        <v>0</v>
      </c>
      <c r="AC173">
        <v>0</v>
      </c>
      <c r="AD173">
        <v>1</v>
      </c>
      <c r="AE173">
        <v>700</v>
      </c>
      <c r="AF173">
        <v>1</v>
      </c>
      <c r="AG173">
        <v>0</v>
      </c>
      <c r="AH173">
        <v>1</v>
      </c>
      <c r="AI173">
        <v>0</v>
      </c>
      <c r="AJ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3.6400000000000006</v>
      </c>
      <c r="AX173">
        <v>2.1666666666666665</v>
      </c>
      <c r="AY173">
        <v>792.3</v>
      </c>
      <c r="BB173">
        <v>850</v>
      </c>
      <c r="BC173">
        <v>19.93</v>
      </c>
      <c r="BF173" t="s">
        <v>82</v>
      </c>
    </row>
    <row r="174" spans="1:58" x14ac:dyDescent="0.45">
      <c r="A174">
        <v>10173</v>
      </c>
      <c r="B174">
        <v>1</v>
      </c>
      <c r="C174">
        <v>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13</v>
      </c>
      <c r="K174">
        <v>13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650</v>
      </c>
      <c r="Y174">
        <v>35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650</v>
      </c>
      <c r="AF174">
        <v>1</v>
      </c>
      <c r="AG174">
        <v>1</v>
      </c>
      <c r="AH174">
        <v>0</v>
      </c>
      <c r="AI174">
        <v>0</v>
      </c>
      <c r="AJ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3.6400000000000006</v>
      </c>
      <c r="AX174">
        <v>2.1666666666666665</v>
      </c>
      <c r="AY174">
        <v>792.3</v>
      </c>
      <c r="BB174">
        <v>761</v>
      </c>
      <c r="BC174">
        <v>13.08</v>
      </c>
      <c r="BF174" t="s">
        <v>82</v>
      </c>
    </row>
    <row r="175" spans="1:58" x14ac:dyDescent="0.45">
      <c r="A175">
        <v>10174</v>
      </c>
      <c r="B175">
        <v>1</v>
      </c>
      <c r="C175">
        <v>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13</v>
      </c>
      <c r="K175">
        <v>13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650</v>
      </c>
      <c r="Y175">
        <v>35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650</v>
      </c>
      <c r="AF175">
        <v>1</v>
      </c>
      <c r="AG175">
        <v>1</v>
      </c>
      <c r="AH175">
        <v>0</v>
      </c>
      <c r="AI175">
        <v>0</v>
      </c>
      <c r="AJ175">
        <v>1</v>
      </c>
      <c r="AK175">
        <v>500</v>
      </c>
      <c r="AL175">
        <v>5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3.6400000000000006</v>
      </c>
      <c r="AX175">
        <v>2.1666666666666665</v>
      </c>
      <c r="AY175">
        <v>792.3</v>
      </c>
      <c r="BB175">
        <v>853</v>
      </c>
      <c r="BC175">
        <v>14.65</v>
      </c>
      <c r="BE175" t="s">
        <v>335</v>
      </c>
      <c r="BF175" t="s">
        <v>82</v>
      </c>
    </row>
    <row r="176" spans="1:58" x14ac:dyDescent="0.45">
      <c r="A176">
        <v>10175</v>
      </c>
      <c r="B176">
        <v>1</v>
      </c>
      <c r="C176">
        <v>74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</v>
      </c>
      <c r="K176">
        <v>13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20</v>
      </c>
      <c r="Y176">
        <v>75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844</v>
      </c>
      <c r="AF176">
        <v>0.5</v>
      </c>
      <c r="AG176">
        <v>0</v>
      </c>
      <c r="AH176">
        <v>0</v>
      </c>
      <c r="AI176">
        <v>1</v>
      </c>
      <c r="AJ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3.6400000000000006</v>
      </c>
      <c r="AX176">
        <v>2.1666666666666665</v>
      </c>
      <c r="AY176">
        <v>792.3</v>
      </c>
      <c r="BB176">
        <v>847</v>
      </c>
      <c r="BC176">
        <v>19.600000000000001</v>
      </c>
      <c r="BE176" t="s">
        <v>335</v>
      </c>
      <c r="BF176" t="s">
        <v>83</v>
      </c>
    </row>
    <row r="177" spans="1:58" x14ac:dyDescent="0.45">
      <c r="A177">
        <v>10176</v>
      </c>
      <c r="B177">
        <v>0</v>
      </c>
      <c r="C177">
        <v>74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13</v>
      </c>
      <c r="K177">
        <v>13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20</v>
      </c>
      <c r="Y177">
        <v>75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844</v>
      </c>
      <c r="AF177">
        <v>0.5</v>
      </c>
      <c r="AG177">
        <v>0</v>
      </c>
      <c r="AH177">
        <v>0</v>
      </c>
      <c r="AI177">
        <v>1</v>
      </c>
      <c r="AJ177">
        <v>1</v>
      </c>
      <c r="AK177">
        <v>400</v>
      </c>
      <c r="AL177">
        <v>3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3.6400000000000006</v>
      </c>
      <c r="AX177">
        <v>2.1666666666666665</v>
      </c>
      <c r="AY177">
        <v>792.3</v>
      </c>
      <c r="BB177">
        <v>1003</v>
      </c>
      <c r="BC177">
        <v>14.69</v>
      </c>
      <c r="BE177" t="s">
        <v>335</v>
      </c>
      <c r="BF177" t="s">
        <v>83</v>
      </c>
    </row>
    <row r="178" spans="1:58" x14ac:dyDescent="0.45">
      <c r="A178">
        <v>10177</v>
      </c>
      <c r="B178">
        <v>1</v>
      </c>
      <c r="C178">
        <v>41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25</v>
      </c>
      <c r="K178">
        <v>34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20</v>
      </c>
      <c r="Z178">
        <v>0</v>
      </c>
      <c r="AA178">
        <v>1</v>
      </c>
      <c r="AB178">
        <v>0</v>
      </c>
      <c r="AC178">
        <v>0</v>
      </c>
      <c r="AD178">
        <v>0</v>
      </c>
      <c r="AJ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9.5200000000000014</v>
      </c>
      <c r="AX178">
        <v>4.166666666666667</v>
      </c>
      <c r="AY178">
        <v>709.5</v>
      </c>
      <c r="BB178">
        <v>839</v>
      </c>
      <c r="BC178">
        <v>15</v>
      </c>
      <c r="BE178" t="s">
        <v>335</v>
      </c>
      <c r="BF178" t="s">
        <v>85</v>
      </c>
    </row>
    <row r="179" spans="1:58" x14ac:dyDescent="0.45">
      <c r="A179">
        <v>10178</v>
      </c>
      <c r="B179">
        <v>1</v>
      </c>
      <c r="C179">
        <v>41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25</v>
      </c>
      <c r="K179">
        <v>34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20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890</v>
      </c>
      <c r="AF179">
        <v>1</v>
      </c>
      <c r="AG179">
        <v>1</v>
      </c>
      <c r="AH179">
        <v>0</v>
      </c>
      <c r="AI179">
        <v>0</v>
      </c>
      <c r="AJ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9.5200000000000014</v>
      </c>
      <c r="AX179">
        <v>4.166666666666667</v>
      </c>
      <c r="AY179">
        <v>709.5</v>
      </c>
      <c r="BB179">
        <v>747</v>
      </c>
      <c r="BC179">
        <v>12</v>
      </c>
      <c r="BE179" t="s">
        <v>341</v>
      </c>
      <c r="BF179" t="s">
        <v>86</v>
      </c>
    </row>
    <row r="180" spans="1:58" x14ac:dyDescent="0.45">
      <c r="A180">
        <v>10179</v>
      </c>
      <c r="B180">
        <v>1</v>
      </c>
      <c r="C180">
        <v>41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25</v>
      </c>
      <c r="K180">
        <v>34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20</v>
      </c>
      <c r="Y180">
        <v>20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890</v>
      </c>
      <c r="AF180">
        <v>1</v>
      </c>
      <c r="AG180">
        <v>1</v>
      </c>
      <c r="AH180">
        <v>0</v>
      </c>
      <c r="AI180">
        <v>0</v>
      </c>
      <c r="AJ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9.5200000000000014</v>
      </c>
      <c r="AX180">
        <v>4.166666666666667</v>
      </c>
      <c r="AY180">
        <v>709.5</v>
      </c>
      <c r="BB180">
        <v>788</v>
      </c>
      <c r="BC180">
        <v>8</v>
      </c>
      <c r="BE180" t="s">
        <v>341</v>
      </c>
      <c r="BF180" t="s">
        <v>87</v>
      </c>
    </row>
    <row r="181" spans="1:58" x14ac:dyDescent="0.45">
      <c r="A181">
        <v>10180</v>
      </c>
      <c r="B181">
        <v>1</v>
      </c>
      <c r="C181">
        <v>41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25</v>
      </c>
      <c r="K181">
        <v>34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20</v>
      </c>
      <c r="Y181">
        <v>56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890</v>
      </c>
      <c r="AF181">
        <v>1</v>
      </c>
      <c r="AG181">
        <v>1</v>
      </c>
      <c r="AH181">
        <v>0</v>
      </c>
      <c r="AI181">
        <v>0</v>
      </c>
      <c r="AJ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9.5200000000000014</v>
      </c>
      <c r="AX181">
        <v>4.166666666666667</v>
      </c>
      <c r="AY181">
        <v>709.5</v>
      </c>
      <c r="BB181">
        <v>895</v>
      </c>
      <c r="BC181">
        <v>7</v>
      </c>
      <c r="BE181" t="s">
        <v>341</v>
      </c>
      <c r="BF181" t="s">
        <v>88</v>
      </c>
    </row>
    <row r="182" spans="1:58" x14ac:dyDescent="0.45">
      <c r="A182">
        <v>10181</v>
      </c>
      <c r="B182">
        <v>1</v>
      </c>
      <c r="C182">
        <v>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25</v>
      </c>
      <c r="K182">
        <v>34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20</v>
      </c>
      <c r="Y182">
        <v>76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890</v>
      </c>
      <c r="AF182">
        <v>1</v>
      </c>
      <c r="AG182">
        <v>1</v>
      </c>
      <c r="AH182">
        <v>0</v>
      </c>
      <c r="AI182">
        <v>0</v>
      </c>
      <c r="AJ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9.5200000000000014</v>
      </c>
      <c r="AX182">
        <v>4.166666666666667</v>
      </c>
      <c r="AY182">
        <v>709.5</v>
      </c>
      <c r="BB182">
        <v>1015</v>
      </c>
      <c r="BC182">
        <v>10</v>
      </c>
      <c r="BE182" t="s">
        <v>341</v>
      </c>
      <c r="BF182" t="s">
        <v>89</v>
      </c>
    </row>
    <row r="183" spans="1:58" x14ac:dyDescent="0.45">
      <c r="A183">
        <v>10182</v>
      </c>
      <c r="B183">
        <v>1</v>
      </c>
      <c r="C183">
        <v>41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25</v>
      </c>
      <c r="K183">
        <v>34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20</v>
      </c>
      <c r="Y183">
        <v>86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890</v>
      </c>
      <c r="AF183">
        <v>1</v>
      </c>
      <c r="AG183">
        <v>1</v>
      </c>
      <c r="AH183">
        <v>0</v>
      </c>
      <c r="AI183">
        <v>0</v>
      </c>
      <c r="AJ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9.5200000000000014</v>
      </c>
      <c r="AX183">
        <v>4.166666666666667</v>
      </c>
      <c r="AY183">
        <v>709.5</v>
      </c>
      <c r="BB183">
        <v>1071</v>
      </c>
      <c r="BC183">
        <v>8</v>
      </c>
      <c r="BE183" t="s">
        <v>342</v>
      </c>
      <c r="BF183" t="s">
        <v>90</v>
      </c>
    </row>
    <row r="184" spans="1:58" x14ac:dyDescent="0.45">
      <c r="A184">
        <v>10183</v>
      </c>
      <c r="B184">
        <v>1</v>
      </c>
      <c r="C184">
        <v>57.230000000000004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18.310000000000002</v>
      </c>
      <c r="K184">
        <v>24.45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J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6.8460000000000001</v>
      </c>
      <c r="AX184">
        <v>3.0516666666666672</v>
      </c>
      <c r="AY184">
        <v>755.66099999999994</v>
      </c>
      <c r="AZ184">
        <v>62</v>
      </c>
      <c r="BA184">
        <v>810</v>
      </c>
      <c r="BE184" t="s">
        <v>342</v>
      </c>
      <c r="BF184" t="s">
        <v>60</v>
      </c>
    </row>
    <row r="185" spans="1:58" x14ac:dyDescent="0.45">
      <c r="A185">
        <v>10184</v>
      </c>
      <c r="B185">
        <v>1</v>
      </c>
      <c r="C185">
        <v>54.09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23.9</v>
      </c>
      <c r="K185">
        <v>22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J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6.16</v>
      </c>
      <c r="AX185">
        <v>3.9833333333333329</v>
      </c>
      <c r="AY185">
        <v>717.09</v>
      </c>
      <c r="AZ185">
        <v>65</v>
      </c>
      <c r="BA185">
        <v>782</v>
      </c>
      <c r="BE185" t="s">
        <v>342</v>
      </c>
      <c r="BF185" t="s">
        <v>60</v>
      </c>
    </row>
    <row r="186" spans="1:58" x14ac:dyDescent="0.45">
      <c r="A186">
        <v>10185</v>
      </c>
      <c r="B186">
        <v>1</v>
      </c>
      <c r="C186">
        <v>52.59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26.69</v>
      </c>
      <c r="K186">
        <v>20.73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J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5.8044000000000011</v>
      </c>
      <c r="AX186">
        <v>4.4483333333333333</v>
      </c>
      <c r="AY186">
        <v>697.83899999999994</v>
      </c>
      <c r="AZ186">
        <v>64</v>
      </c>
      <c r="BA186">
        <v>729</v>
      </c>
      <c r="BE186" t="s">
        <v>342</v>
      </c>
      <c r="BF186" t="s">
        <v>60</v>
      </c>
    </row>
    <row r="187" spans="1:58" x14ac:dyDescent="0.45">
      <c r="A187">
        <v>10186</v>
      </c>
      <c r="B187">
        <v>1</v>
      </c>
      <c r="C187">
        <v>50.27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31.119999999999997</v>
      </c>
      <c r="K187">
        <v>18.62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J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5.2136000000000005</v>
      </c>
      <c r="AX187">
        <v>5.1866666666666665</v>
      </c>
      <c r="AY187">
        <v>667.27200000000005</v>
      </c>
      <c r="AZ187">
        <v>63</v>
      </c>
      <c r="BA187">
        <v>682</v>
      </c>
      <c r="BE187" t="s">
        <v>342</v>
      </c>
      <c r="BF187" t="s">
        <v>60</v>
      </c>
    </row>
    <row r="188" spans="1:58" x14ac:dyDescent="0.45">
      <c r="A188">
        <v>10187</v>
      </c>
      <c r="B188">
        <v>1</v>
      </c>
      <c r="C188">
        <v>84.16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7.9200000000000008</v>
      </c>
      <c r="K188">
        <v>7.9200000000000008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f>AY188</f>
        <v>827.35199999999998</v>
      </c>
      <c r="AF188">
        <v>0</v>
      </c>
      <c r="AG188">
        <v>1</v>
      </c>
      <c r="AH188">
        <v>0</v>
      </c>
      <c r="AI188">
        <v>0</v>
      </c>
      <c r="AJ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2.2176000000000005</v>
      </c>
      <c r="AX188">
        <v>1.32</v>
      </c>
      <c r="AY188">
        <v>827.35199999999998</v>
      </c>
      <c r="AZ188">
        <v>66</v>
      </c>
      <c r="BA188">
        <v>501</v>
      </c>
      <c r="BE188" t="s">
        <v>342</v>
      </c>
      <c r="BF188" t="s">
        <v>60</v>
      </c>
    </row>
    <row r="189" spans="1:58" x14ac:dyDescent="0.45">
      <c r="A189">
        <v>10188</v>
      </c>
      <c r="B189">
        <v>1</v>
      </c>
      <c r="C189">
        <v>77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f>AY189</f>
        <v>875.1</v>
      </c>
      <c r="AF189">
        <v>0</v>
      </c>
      <c r="AG189">
        <v>1</v>
      </c>
      <c r="AH189">
        <v>0</v>
      </c>
      <c r="AI189">
        <v>0</v>
      </c>
      <c r="AJ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6.16</v>
      </c>
      <c r="AX189">
        <v>0.16666666666666666</v>
      </c>
      <c r="AY189">
        <v>875.1</v>
      </c>
      <c r="AZ189">
        <v>68</v>
      </c>
      <c r="BA189">
        <v>370</v>
      </c>
      <c r="BE189" t="s">
        <v>342</v>
      </c>
      <c r="BF189" t="s">
        <v>60</v>
      </c>
    </row>
    <row r="190" spans="1:58" x14ac:dyDescent="0.45">
      <c r="A190">
        <v>10189</v>
      </c>
      <c r="B190">
        <v>1</v>
      </c>
      <c r="C190">
        <v>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24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f>AY190</f>
        <v>868.2</v>
      </c>
      <c r="AF190">
        <v>0</v>
      </c>
      <c r="AG190">
        <v>1</v>
      </c>
      <c r="AH190">
        <v>0</v>
      </c>
      <c r="AI190">
        <v>0</v>
      </c>
      <c r="AJ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6.7200000000000006</v>
      </c>
      <c r="AX190">
        <v>0.33333333333333331</v>
      </c>
      <c r="AY190">
        <v>868.2</v>
      </c>
      <c r="AZ190">
        <v>59</v>
      </c>
      <c r="BA190">
        <v>249</v>
      </c>
      <c r="BE190" t="s">
        <v>342</v>
      </c>
      <c r="BF190" t="s">
        <v>60</v>
      </c>
    </row>
    <row r="191" spans="1:58" x14ac:dyDescent="0.45">
      <c r="A191">
        <v>10190</v>
      </c>
      <c r="B191">
        <v>1</v>
      </c>
      <c r="C191">
        <v>72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24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Z191">
        <v>0</v>
      </c>
      <c r="AA191">
        <v>1</v>
      </c>
      <c r="AB191">
        <v>0</v>
      </c>
      <c r="AC191">
        <v>0</v>
      </c>
      <c r="AD191">
        <v>1</v>
      </c>
      <c r="AE191">
        <f>AY191</f>
        <v>854.4</v>
      </c>
      <c r="AF191">
        <v>0</v>
      </c>
      <c r="AG191">
        <v>1</v>
      </c>
      <c r="AH191">
        <v>0</v>
      </c>
      <c r="AI191">
        <v>0</v>
      </c>
      <c r="AJ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6.7200000000000006</v>
      </c>
      <c r="AX191">
        <v>0.66666666666666663</v>
      </c>
      <c r="AY191">
        <v>854.4</v>
      </c>
      <c r="AZ191">
        <v>60</v>
      </c>
      <c r="BA191">
        <v>417</v>
      </c>
      <c r="BE191" t="s">
        <v>342</v>
      </c>
      <c r="BF191" t="s">
        <v>60</v>
      </c>
    </row>
    <row r="192" spans="1:58" x14ac:dyDescent="0.45">
      <c r="A192">
        <v>10191</v>
      </c>
      <c r="B192">
        <v>1</v>
      </c>
      <c r="C192">
        <v>76.319999999999993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4.8099999999999996</v>
      </c>
      <c r="K192">
        <v>18.87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J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5.2836000000000007</v>
      </c>
      <c r="AX192">
        <v>0.80166666666666664</v>
      </c>
      <c r="AY192">
        <v>848.81100000000004</v>
      </c>
      <c r="AZ192">
        <v>65</v>
      </c>
      <c r="BE192" t="s">
        <v>342</v>
      </c>
    </row>
    <row r="193" spans="1:57" x14ac:dyDescent="0.45">
      <c r="A193">
        <v>10192</v>
      </c>
      <c r="B193">
        <v>1</v>
      </c>
      <c r="C193">
        <v>68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12</v>
      </c>
      <c r="K193">
        <v>20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J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5.6000000000000005</v>
      </c>
      <c r="AX193">
        <v>2</v>
      </c>
      <c r="AY193">
        <v>799.2</v>
      </c>
      <c r="AZ193">
        <v>54.8</v>
      </c>
      <c r="BE193" t="s">
        <v>342</v>
      </c>
    </row>
    <row r="194" spans="1:57" x14ac:dyDescent="0.45">
      <c r="A194">
        <v>10193</v>
      </c>
      <c r="B194">
        <v>1</v>
      </c>
      <c r="C194">
        <v>62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21</v>
      </c>
      <c r="K194">
        <v>17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J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4.7600000000000007</v>
      </c>
      <c r="AX194">
        <v>3.5</v>
      </c>
      <c r="AY194">
        <v>737.1</v>
      </c>
      <c r="AZ194">
        <v>52.4</v>
      </c>
      <c r="BE194" t="s">
        <v>342</v>
      </c>
    </row>
    <row r="195" spans="1:57" x14ac:dyDescent="0.45">
      <c r="A195">
        <v>10194</v>
      </c>
      <c r="B195">
        <v>1</v>
      </c>
      <c r="C195">
        <v>51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38</v>
      </c>
      <c r="K195">
        <v>11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J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3.08</v>
      </c>
      <c r="AX195">
        <v>6.333333333333333</v>
      </c>
      <c r="AY195">
        <v>619.79999999999995</v>
      </c>
      <c r="AZ195">
        <v>48.8</v>
      </c>
      <c r="BE195" t="s">
        <v>342</v>
      </c>
    </row>
    <row r="196" spans="1:57" x14ac:dyDescent="0.45">
      <c r="A196">
        <v>10195</v>
      </c>
      <c r="B196">
        <v>1</v>
      </c>
      <c r="C196">
        <v>41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53</v>
      </c>
      <c r="K196">
        <v>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J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1.6800000000000002</v>
      </c>
      <c r="AX196">
        <v>8.8333333333333339</v>
      </c>
      <c r="AY196">
        <v>516.29999999999995</v>
      </c>
      <c r="AZ196">
        <v>48</v>
      </c>
      <c r="BE196" t="s">
        <v>342</v>
      </c>
    </row>
    <row r="197" spans="1:57" x14ac:dyDescent="0.45">
      <c r="A197">
        <v>10196</v>
      </c>
      <c r="B197">
        <v>1</v>
      </c>
      <c r="C197">
        <v>84.55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7.79</v>
      </c>
      <c r="K197">
        <v>7.66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J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2.1448</v>
      </c>
      <c r="AX197">
        <v>1.2983333333333333</v>
      </c>
      <c r="AY197">
        <v>828.24900000000002</v>
      </c>
      <c r="AZ197">
        <v>91.2</v>
      </c>
      <c r="BE197" t="s">
        <v>342</v>
      </c>
    </row>
    <row r="198" spans="1:57" x14ac:dyDescent="0.45">
      <c r="A198">
        <v>10197</v>
      </c>
      <c r="B198">
        <v>1</v>
      </c>
      <c r="C198">
        <v>52.8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29.5</v>
      </c>
      <c r="K198">
        <v>17.7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J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4.9560000000000004</v>
      </c>
      <c r="AX198">
        <v>4.916666666666667</v>
      </c>
      <c r="AY198">
        <v>678.45</v>
      </c>
      <c r="AZ198">
        <v>68.2</v>
      </c>
      <c r="BE198" t="s">
        <v>342</v>
      </c>
    </row>
    <row r="199" spans="1:57" x14ac:dyDescent="0.45">
      <c r="A199">
        <v>10198</v>
      </c>
      <c r="B199">
        <v>1</v>
      </c>
      <c r="C199">
        <v>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20</v>
      </c>
      <c r="K199">
        <v>26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J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7.2800000000000011</v>
      </c>
      <c r="AX199">
        <v>3.3333333333333335</v>
      </c>
      <c r="AY199">
        <v>744</v>
      </c>
      <c r="AZ199">
        <v>59.07</v>
      </c>
      <c r="BE199" t="s">
        <v>242</v>
      </c>
    </row>
    <row r="200" spans="1:57" x14ac:dyDescent="0.45">
      <c r="A200">
        <v>10199</v>
      </c>
      <c r="B200">
        <v>1</v>
      </c>
      <c r="C200">
        <v>53.1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10.4</v>
      </c>
      <c r="K200">
        <v>36.5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J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10.220000000000001</v>
      </c>
      <c r="AX200">
        <v>1.7333333333333334</v>
      </c>
      <c r="AY200">
        <v>810.24</v>
      </c>
      <c r="AZ200">
        <v>92.18</v>
      </c>
      <c r="BE200" t="s">
        <v>242</v>
      </c>
    </row>
    <row r="201" spans="1:57" x14ac:dyDescent="0.45">
      <c r="A201">
        <v>10200</v>
      </c>
      <c r="B201">
        <v>1</v>
      </c>
      <c r="C201">
        <v>84.09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8.1199999999999992</v>
      </c>
      <c r="K201">
        <v>7.79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J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2.1812</v>
      </c>
      <c r="AX201">
        <v>1.3533333333333333</v>
      </c>
      <c r="AY201">
        <v>825.97199999999998</v>
      </c>
      <c r="AZ201">
        <v>80</v>
      </c>
      <c r="BE201" t="s">
        <v>243</v>
      </c>
    </row>
    <row r="202" spans="1:57" x14ac:dyDescent="0.45">
      <c r="A202">
        <v>10201</v>
      </c>
      <c r="B202">
        <v>1</v>
      </c>
      <c r="C202">
        <v>67.53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4.8600000000000003</v>
      </c>
      <c r="K202">
        <v>27.61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J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7.7308000000000003</v>
      </c>
      <c r="AX202">
        <v>0.81</v>
      </c>
      <c r="AY202">
        <v>848.46600000000001</v>
      </c>
      <c r="AZ202">
        <v>65</v>
      </c>
      <c r="BE202" t="s">
        <v>244</v>
      </c>
    </row>
    <row r="203" spans="1:57" x14ac:dyDescent="0.45">
      <c r="A203">
        <v>10202</v>
      </c>
      <c r="B203">
        <v>1</v>
      </c>
      <c r="C203">
        <v>72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</v>
      </c>
      <c r="K203">
        <v>25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J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7.0000000000000009</v>
      </c>
      <c r="AX203">
        <v>0.5</v>
      </c>
      <c r="AY203">
        <v>861.3</v>
      </c>
      <c r="AZ203">
        <v>66</v>
      </c>
      <c r="BE203" t="s">
        <v>245</v>
      </c>
    </row>
    <row r="204" spans="1:57" x14ac:dyDescent="0.45">
      <c r="A204">
        <v>10203</v>
      </c>
      <c r="B204">
        <v>1</v>
      </c>
      <c r="C204">
        <v>71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</v>
      </c>
      <c r="K204">
        <v>25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J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7.0000000000000009</v>
      </c>
      <c r="AX204">
        <v>0.66666666666666663</v>
      </c>
      <c r="AY204">
        <v>854.4</v>
      </c>
      <c r="AZ204">
        <v>69</v>
      </c>
      <c r="BE204" t="s">
        <v>246</v>
      </c>
    </row>
    <row r="205" spans="1:57" x14ac:dyDescent="0.45">
      <c r="A205">
        <v>10204</v>
      </c>
      <c r="B205">
        <v>1</v>
      </c>
      <c r="C205">
        <v>69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6</v>
      </c>
      <c r="K205">
        <v>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J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7.0000000000000009</v>
      </c>
      <c r="AX205">
        <v>1</v>
      </c>
      <c r="AY205">
        <v>840.6</v>
      </c>
      <c r="AZ205">
        <v>68</v>
      </c>
      <c r="BE205" t="s">
        <v>247</v>
      </c>
    </row>
    <row r="206" spans="1:57" x14ac:dyDescent="0.45">
      <c r="A206">
        <v>10205</v>
      </c>
      <c r="B206">
        <v>1</v>
      </c>
      <c r="C206">
        <v>57.23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18.32</v>
      </c>
      <c r="K206">
        <v>24.45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J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6.8460000000000001</v>
      </c>
      <c r="AX206">
        <v>3.0533333333333332</v>
      </c>
      <c r="AY206">
        <v>755.59199999999998</v>
      </c>
      <c r="AZ206">
        <v>62</v>
      </c>
      <c r="BE206" t="s">
        <v>248</v>
      </c>
    </row>
    <row r="207" spans="1:57" x14ac:dyDescent="0.45">
      <c r="A207">
        <v>10206</v>
      </c>
      <c r="B207">
        <v>1</v>
      </c>
      <c r="C207">
        <v>75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</v>
      </c>
      <c r="K207">
        <v>20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J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5.6000000000000005</v>
      </c>
      <c r="AX207">
        <v>0.83333333333333337</v>
      </c>
      <c r="AY207">
        <v>847.5</v>
      </c>
      <c r="AZ207">
        <v>51.3</v>
      </c>
      <c r="BE207" t="s">
        <v>249</v>
      </c>
    </row>
    <row r="208" spans="1:57" x14ac:dyDescent="0.45">
      <c r="A208">
        <v>10207</v>
      </c>
      <c r="B208">
        <v>1</v>
      </c>
      <c r="C208">
        <v>60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20</v>
      </c>
      <c r="K208">
        <v>20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J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5.6000000000000005</v>
      </c>
      <c r="AX208">
        <v>3.3333333333333335</v>
      </c>
      <c r="AY208">
        <v>744</v>
      </c>
      <c r="AZ208">
        <v>47.3</v>
      </c>
    </row>
    <row r="209" spans="1:52" x14ac:dyDescent="0.45">
      <c r="A209">
        <v>10208</v>
      </c>
      <c r="B209">
        <v>1</v>
      </c>
      <c r="C209">
        <v>50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30</v>
      </c>
      <c r="K209">
        <v>20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J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5.6000000000000005</v>
      </c>
      <c r="AX209">
        <v>5</v>
      </c>
      <c r="AY209">
        <v>675</v>
      </c>
      <c r="AZ209">
        <v>52.7</v>
      </c>
    </row>
    <row r="210" spans="1:52" x14ac:dyDescent="0.45">
      <c r="A210">
        <v>10209</v>
      </c>
      <c r="B210">
        <v>1</v>
      </c>
      <c r="C210">
        <v>40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40</v>
      </c>
      <c r="K210">
        <v>20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J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5.6000000000000005</v>
      </c>
      <c r="AX210">
        <v>6.666666666666667</v>
      </c>
      <c r="AY210">
        <v>606</v>
      </c>
      <c r="AZ210">
        <v>50.5</v>
      </c>
    </row>
    <row r="211" spans="1:52" x14ac:dyDescent="0.45">
      <c r="A211">
        <v>10210</v>
      </c>
      <c r="B211">
        <v>1</v>
      </c>
      <c r="C211">
        <v>21.12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39.08</v>
      </c>
      <c r="K211">
        <v>39.799999999999997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J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11.144</v>
      </c>
      <c r="AX211">
        <v>6.5133333333333328</v>
      </c>
      <c r="AY211">
        <v>612.34799999999996</v>
      </c>
      <c r="AZ211">
        <v>78</v>
      </c>
    </row>
    <row r="212" spans="1:52" x14ac:dyDescent="0.45">
      <c r="A212">
        <v>10211</v>
      </c>
      <c r="B212">
        <v>1</v>
      </c>
      <c r="C212">
        <v>11.5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43.85</v>
      </c>
      <c r="K212">
        <v>44.65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J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12.502000000000001</v>
      </c>
      <c r="AX212">
        <v>7.3083333333333336</v>
      </c>
      <c r="AY212">
        <v>579.43499999999995</v>
      </c>
      <c r="AZ212">
        <v>75</v>
      </c>
    </row>
    <row r="213" spans="1:52" x14ac:dyDescent="0.45">
      <c r="A213">
        <v>10212</v>
      </c>
      <c r="B213">
        <v>1</v>
      </c>
      <c r="C213">
        <v>57.24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18.309999999999999</v>
      </c>
      <c r="K213">
        <v>24.45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J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6.8460000000000001</v>
      </c>
      <c r="AX213">
        <v>3.0516666666666663</v>
      </c>
      <c r="AY213">
        <v>755.66100000000006</v>
      </c>
      <c r="AZ213">
        <v>62</v>
      </c>
    </row>
    <row r="214" spans="1:52" x14ac:dyDescent="0.45">
      <c r="A214">
        <v>10213</v>
      </c>
      <c r="B214">
        <v>1</v>
      </c>
      <c r="C214">
        <v>54.1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23.9</v>
      </c>
      <c r="K214">
        <v>22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J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6.16</v>
      </c>
      <c r="AX214">
        <v>3.9833333333333329</v>
      </c>
      <c r="AY214">
        <v>717.09</v>
      </c>
      <c r="AZ214">
        <v>65</v>
      </c>
    </row>
    <row r="215" spans="1:52" x14ac:dyDescent="0.45">
      <c r="A215">
        <v>10214</v>
      </c>
      <c r="B215">
        <v>1</v>
      </c>
      <c r="C215">
        <v>52.58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26.69</v>
      </c>
      <c r="K215">
        <v>20.73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J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5.8044000000000011</v>
      </c>
      <c r="AX215">
        <v>4.4483333333333333</v>
      </c>
      <c r="AY215">
        <v>697.83899999999994</v>
      </c>
      <c r="AZ215">
        <v>64</v>
      </c>
    </row>
    <row r="216" spans="1:52" x14ac:dyDescent="0.45">
      <c r="A216">
        <v>10215</v>
      </c>
      <c r="B216">
        <v>1</v>
      </c>
      <c r="C216">
        <v>50.26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31.12</v>
      </c>
      <c r="K216">
        <v>18.62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J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5.2136000000000005</v>
      </c>
      <c r="AX216">
        <v>5.1866666666666665</v>
      </c>
      <c r="AY216">
        <v>667.27199999999993</v>
      </c>
      <c r="AZ216">
        <v>63</v>
      </c>
    </row>
    <row r="217" spans="1:52" x14ac:dyDescent="0.45">
      <c r="A217">
        <v>10216</v>
      </c>
      <c r="B217">
        <v>1</v>
      </c>
      <c r="C217">
        <v>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32</v>
      </c>
      <c r="K217">
        <v>30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J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8.4</v>
      </c>
      <c r="AX217">
        <v>5.333333333333333</v>
      </c>
      <c r="AY217">
        <v>661.2</v>
      </c>
      <c r="AZ217">
        <v>65</v>
      </c>
    </row>
    <row r="218" spans="1:52" x14ac:dyDescent="0.45">
      <c r="A218">
        <v>10217</v>
      </c>
      <c r="B218">
        <v>1</v>
      </c>
      <c r="C218">
        <v>41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25</v>
      </c>
      <c r="K218">
        <v>34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J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9.5200000000000014</v>
      </c>
      <c r="AX218">
        <v>4.166666666666667</v>
      </c>
      <c r="AY218">
        <v>709.5</v>
      </c>
      <c r="AZ218">
        <v>62</v>
      </c>
    </row>
    <row r="219" spans="1:52" x14ac:dyDescent="0.45">
      <c r="A219">
        <v>10218</v>
      </c>
      <c r="B219">
        <v>1</v>
      </c>
      <c r="C219">
        <v>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10</v>
      </c>
      <c r="K219">
        <v>35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J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9.8000000000000007</v>
      </c>
      <c r="AX219">
        <v>1.6666666666666667</v>
      </c>
      <c r="AY219">
        <v>813</v>
      </c>
      <c r="AZ219">
        <v>58.8</v>
      </c>
    </row>
    <row r="220" spans="1:52" x14ac:dyDescent="0.45">
      <c r="A220">
        <v>10219</v>
      </c>
      <c r="B220">
        <v>1</v>
      </c>
      <c r="C220">
        <v>60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35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J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9.8000000000000007</v>
      </c>
      <c r="AX220">
        <v>0.83333333333333337</v>
      </c>
      <c r="AY220">
        <v>847.5</v>
      </c>
      <c r="AZ220">
        <v>59.8</v>
      </c>
    </row>
    <row r="221" spans="1:52" x14ac:dyDescent="0.45">
      <c r="A221">
        <v>10220</v>
      </c>
      <c r="B221">
        <v>1</v>
      </c>
      <c r="C221">
        <v>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</v>
      </c>
      <c r="K221">
        <v>37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J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10.360000000000001</v>
      </c>
      <c r="AX221">
        <v>1</v>
      </c>
      <c r="AY221">
        <v>840.6</v>
      </c>
      <c r="AZ221">
        <v>60</v>
      </c>
    </row>
    <row r="222" spans="1:52" x14ac:dyDescent="0.45">
      <c r="A222">
        <v>10221</v>
      </c>
      <c r="B222">
        <v>1</v>
      </c>
      <c r="C222">
        <v>60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37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J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10.360000000000001</v>
      </c>
      <c r="AX222">
        <v>0.5</v>
      </c>
      <c r="AY222">
        <v>861.3</v>
      </c>
      <c r="AZ222">
        <v>58</v>
      </c>
    </row>
    <row r="223" spans="1:52" x14ac:dyDescent="0.45">
      <c r="A223">
        <v>10222</v>
      </c>
      <c r="B223">
        <v>1</v>
      </c>
      <c r="C223">
        <v>67.53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4.8600000000000003</v>
      </c>
      <c r="K223">
        <v>27.61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J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7.7308000000000003</v>
      </c>
      <c r="AX223">
        <v>0.81</v>
      </c>
      <c r="AY223">
        <v>848.46600000000001</v>
      </c>
      <c r="AZ223">
        <v>64.900000000000006</v>
      </c>
    </row>
    <row r="224" spans="1:52" x14ac:dyDescent="0.45">
      <c r="A224">
        <v>10223</v>
      </c>
      <c r="B224">
        <v>1</v>
      </c>
      <c r="C224">
        <v>80.38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7.44</v>
      </c>
      <c r="K224">
        <v>12.18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J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3.4104000000000001</v>
      </c>
      <c r="AX224">
        <v>1.24</v>
      </c>
      <c r="AY224">
        <v>830.66399999999999</v>
      </c>
      <c r="AZ224">
        <v>55</v>
      </c>
    </row>
    <row r="225" spans="1:58" x14ac:dyDescent="0.45">
      <c r="A225">
        <v>10224</v>
      </c>
      <c r="B225">
        <v>1</v>
      </c>
      <c r="C225">
        <v>73.59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3.27</v>
      </c>
      <c r="K225">
        <v>23.14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J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6.4792000000000005</v>
      </c>
      <c r="AX225">
        <v>0.54500000000000004</v>
      </c>
      <c r="AY225">
        <v>859.43700000000001</v>
      </c>
      <c r="AZ225">
        <v>76</v>
      </c>
    </row>
    <row r="226" spans="1:58" x14ac:dyDescent="0.45">
      <c r="A226">
        <v>10225</v>
      </c>
      <c r="B226">
        <v>1</v>
      </c>
      <c r="C226">
        <v>74.3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9.75</v>
      </c>
      <c r="K226">
        <v>15.95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J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4.4660000000000002</v>
      </c>
      <c r="AX226">
        <v>1.625</v>
      </c>
      <c r="AY226">
        <v>814.72500000000002</v>
      </c>
      <c r="AZ226">
        <v>75</v>
      </c>
    </row>
    <row r="227" spans="1:58" x14ac:dyDescent="0.45">
      <c r="A227">
        <v>10226</v>
      </c>
      <c r="B227">
        <v>1</v>
      </c>
      <c r="C227">
        <v>90</v>
      </c>
      <c r="D227">
        <v>0</v>
      </c>
      <c r="E227">
        <v>0</v>
      </c>
      <c r="F227">
        <v>8.5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20</v>
      </c>
      <c r="Y227">
        <v>95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900</v>
      </c>
      <c r="AF227">
        <v>0.5</v>
      </c>
      <c r="AG227">
        <v>1</v>
      </c>
      <c r="AH227">
        <v>0</v>
      </c>
      <c r="AI227">
        <v>0</v>
      </c>
      <c r="AJ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13.600000000000001</v>
      </c>
      <c r="AX227">
        <v>0.5</v>
      </c>
      <c r="AY227">
        <v>785.44999999999993</v>
      </c>
      <c r="BB227">
        <v>1264</v>
      </c>
      <c r="BC227">
        <v>36.049999999999997</v>
      </c>
      <c r="BF227" t="s">
        <v>112</v>
      </c>
    </row>
    <row r="228" spans="1:58" x14ac:dyDescent="0.45">
      <c r="A228">
        <v>10227</v>
      </c>
      <c r="B228">
        <v>1</v>
      </c>
      <c r="C228">
        <v>90</v>
      </c>
      <c r="D228">
        <v>0</v>
      </c>
      <c r="E228">
        <v>0</v>
      </c>
      <c r="F228">
        <v>8.52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1.48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Z228">
        <v>0</v>
      </c>
      <c r="AA228">
        <v>1</v>
      </c>
      <c r="AB228">
        <v>0</v>
      </c>
      <c r="AC228">
        <v>0</v>
      </c>
      <c r="AD228">
        <v>1</v>
      </c>
      <c r="AE228">
        <v>890</v>
      </c>
      <c r="AF228">
        <v>0.5</v>
      </c>
      <c r="AG228">
        <v>1</v>
      </c>
      <c r="AH228">
        <v>0</v>
      </c>
      <c r="AI228">
        <v>0</v>
      </c>
      <c r="AJ228">
        <v>1</v>
      </c>
      <c r="AK228">
        <v>760</v>
      </c>
      <c r="AL228">
        <v>0.5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13.632</v>
      </c>
      <c r="AX228">
        <v>0.49333333333333335</v>
      </c>
      <c r="AY228">
        <v>785.12400000000002</v>
      </c>
      <c r="BA228">
        <v>428.2</v>
      </c>
      <c r="BB228">
        <v>806.3</v>
      </c>
      <c r="BC228">
        <v>44.8</v>
      </c>
      <c r="BF228" t="s">
        <v>91</v>
      </c>
    </row>
    <row r="229" spans="1:58" x14ac:dyDescent="0.45">
      <c r="A229">
        <v>10228</v>
      </c>
      <c r="B229">
        <v>1</v>
      </c>
      <c r="C229">
        <v>90</v>
      </c>
      <c r="D229">
        <v>0</v>
      </c>
      <c r="E229">
        <v>0</v>
      </c>
      <c r="F229">
        <v>8.5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780</v>
      </c>
      <c r="AF229">
        <v>0.16666666666666699</v>
      </c>
      <c r="AG229">
        <v>1</v>
      </c>
      <c r="AH229">
        <v>0</v>
      </c>
      <c r="AI229">
        <v>0</v>
      </c>
      <c r="AJ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13.600000000000001</v>
      </c>
      <c r="AX229">
        <v>0.5</v>
      </c>
      <c r="AY229">
        <v>785.44999999999993</v>
      </c>
      <c r="BA229">
        <v>356.5</v>
      </c>
      <c r="BB229">
        <v>835.9</v>
      </c>
      <c r="BC229">
        <v>56</v>
      </c>
      <c r="BF229" t="s">
        <v>92</v>
      </c>
    </row>
    <row r="230" spans="1:58" x14ac:dyDescent="0.45">
      <c r="A230">
        <v>10229</v>
      </c>
      <c r="B230">
        <v>1</v>
      </c>
      <c r="C230">
        <v>90</v>
      </c>
      <c r="D230">
        <v>0</v>
      </c>
      <c r="E230">
        <v>0</v>
      </c>
      <c r="F230">
        <v>8.5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780</v>
      </c>
      <c r="AF230">
        <v>0.16666666666666699</v>
      </c>
      <c r="AG230">
        <v>1</v>
      </c>
      <c r="AH230">
        <v>0</v>
      </c>
      <c r="AI230">
        <v>0</v>
      </c>
      <c r="AJ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13.600000000000001</v>
      </c>
      <c r="AX230">
        <v>0.5</v>
      </c>
      <c r="AY230">
        <v>785.44999999999993</v>
      </c>
      <c r="BA230">
        <v>1019.2</v>
      </c>
      <c r="BB230">
        <v>1577.8</v>
      </c>
      <c r="BC230">
        <v>38.6</v>
      </c>
      <c r="BF230" t="s">
        <v>92</v>
      </c>
    </row>
    <row r="231" spans="1:58" x14ac:dyDescent="0.45">
      <c r="A231">
        <v>10230</v>
      </c>
      <c r="B231">
        <v>1</v>
      </c>
      <c r="C231">
        <v>91.44</v>
      </c>
      <c r="D231">
        <v>0</v>
      </c>
      <c r="E231">
        <v>0</v>
      </c>
      <c r="F231">
        <v>7.95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0.61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f>AY231</f>
        <v>788.36699999999996</v>
      </c>
      <c r="AF231">
        <v>0</v>
      </c>
      <c r="AG231">
        <v>1</v>
      </c>
      <c r="AH231">
        <v>0</v>
      </c>
      <c r="AI231">
        <v>0</v>
      </c>
      <c r="AJ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12.72</v>
      </c>
      <c r="AX231">
        <v>0.20333333333333334</v>
      </c>
      <c r="AY231">
        <v>788.36699999999996</v>
      </c>
      <c r="AZ231">
        <v>83</v>
      </c>
      <c r="BA231">
        <v>554</v>
      </c>
      <c r="BF231" t="s">
        <v>60</v>
      </c>
    </row>
    <row r="232" spans="1:58" x14ac:dyDescent="0.45">
      <c r="A232">
        <v>10231</v>
      </c>
      <c r="B232">
        <v>1</v>
      </c>
      <c r="C232">
        <v>90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20</v>
      </c>
      <c r="Y232">
        <v>60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850</v>
      </c>
      <c r="AF232">
        <v>0.33</v>
      </c>
      <c r="AG232">
        <v>0</v>
      </c>
      <c r="AH232">
        <v>1</v>
      </c>
      <c r="AI232">
        <v>0</v>
      </c>
      <c r="AJ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11.8</v>
      </c>
      <c r="AX232">
        <v>0</v>
      </c>
      <c r="AY232">
        <v>779.2</v>
      </c>
      <c r="BB232">
        <v>958.4</v>
      </c>
      <c r="BC232">
        <v>1.1000000000000001</v>
      </c>
      <c r="BF232" t="s">
        <v>93</v>
      </c>
    </row>
    <row r="233" spans="1:58" x14ac:dyDescent="0.45">
      <c r="A233">
        <v>10232</v>
      </c>
      <c r="B233">
        <v>1</v>
      </c>
      <c r="C233">
        <v>90</v>
      </c>
      <c r="D233">
        <v>0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20</v>
      </c>
      <c r="Y233">
        <v>60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850</v>
      </c>
      <c r="AF233">
        <v>0.33</v>
      </c>
      <c r="AG233">
        <v>1</v>
      </c>
      <c r="AH233">
        <v>0</v>
      </c>
      <c r="AI233">
        <v>0</v>
      </c>
      <c r="AJ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11.8</v>
      </c>
      <c r="AX233">
        <v>0</v>
      </c>
      <c r="AY233">
        <v>779.2</v>
      </c>
      <c r="BB233">
        <v>886.4</v>
      </c>
      <c r="BC233">
        <v>46.37</v>
      </c>
      <c r="BF233" t="s">
        <v>93</v>
      </c>
    </row>
    <row r="234" spans="1:58" x14ac:dyDescent="0.45">
      <c r="A234">
        <v>10233</v>
      </c>
      <c r="B234">
        <v>1</v>
      </c>
      <c r="C234">
        <v>77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22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f>AY234</f>
        <v>872.5</v>
      </c>
      <c r="AF234">
        <v>0</v>
      </c>
      <c r="AG234">
        <v>1</v>
      </c>
      <c r="AH234">
        <v>0</v>
      </c>
      <c r="AI234">
        <v>0</v>
      </c>
      <c r="AJ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7.16</v>
      </c>
      <c r="AX234">
        <v>0</v>
      </c>
      <c r="AY234">
        <v>872.5</v>
      </c>
      <c r="AZ234">
        <v>87</v>
      </c>
      <c r="BA234">
        <v>452</v>
      </c>
      <c r="BF234" t="s">
        <v>60</v>
      </c>
    </row>
    <row r="235" spans="1:58" x14ac:dyDescent="0.45">
      <c r="A235">
        <v>10234</v>
      </c>
      <c r="B235">
        <v>1</v>
      </c>
      <c r="C235">
        <v>91.86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1.67</v>
      </c>
      <c r="L235">
        <v>6.47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Z235">
        <v>0</v>
      </c>
      <c r="AA235">
        <v>1</v>
      </c>
      <c r="AB235">
        <v>0</v>
      </c>
      <c r="AC235">
        <v>0</v>
      </c>
      <c r="AD235">
        <v>1</v>
      </c>
      <c r="AE235">
        <f>AY235</f>
        <v>820.53499999999997</v>
      </c>
      <c r="AF235">
        <v>0</v>
      </c>
      <c r="AG235">
        <v>1</v>
      </c>
      <c r="AH235">
        <v>0</v>
      </c>
      <c r="AI235">
        <v>0</v>
      </c>
      <c r="AJ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6.9375999999999998</v>
      </c>
      <c r="AX235">
        <v>0</v>
      </c>
      <c r="AY235">
        <v>820.53499999999997</v>
      </c>
      <c r="AZ235">
        <v>105</v>
      </c>
      <c r="BA235">
        <v>449</v>
      </c>
      <c r="BF235" t="s">
        <v>60</v>
      </c>
    </row>
    <row r="236" spans="1:58" x14ac:dyDescent="0.45">
      <c r="A236">
        <v>10235</v>
      </c>
      <c r="B236">
        <v>1</v>
      </c>
      <c r="C236">
        <v>72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26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J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9.2800000000000011</v>
      </c>
      <c r="AX236">
        <v>0</v>
      </c>
      <c r="AY236">
        <v>863</v>
      </c>
      <c r="AZ236">
        <v>67</v>
      </c>
      <c r="BA236">
        <v>535</v>
      </c>
      <c r="BF236" t="s">
        <v>60</v>
      </c>
    </row>
    <row r="237" spans="1:58" x14ac:dyDescent="0.45">
      <c r="A237">
        <v>10236</v>
      </c>
      <c r="B237">
        <v>1</v>
      </c>
      <c r="C237">
        <v>70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26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J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11.280000000000001</v>
      </c>
      <c r="AX237">
        <v>0</v>
      </c>
      <c r="AY237">
        <v>844</v>
      </c>
      <c r="AZ237">
        <v>64</v>
      </c>
      <c r="BA237">
        <v>621</v>
      </c>
      <c r="BF237" t="s">
        <v>60</v>
      </c>
    </row>
    <row r="238" spans="1:58" x14ac:dyDescent="0.45">
      <c r="A238">
        <v>10237</v>
      </c>
      <c r="B238">
        <v>1</v>
      </c>
      <c r="C238">
        <v>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26</v>
      </c>
      <c r="L238">
        <v>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J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13.280000000000001</v>
      </c>
      <c r="AX238">
        <v>0</v>
      </c>
      <c r="AY238">
        <v>825</v>
      </c>
      <c r="AZ238">
        <v>56</v>
      </c>
      <c r="BA238">
        <v>634</v>
      </c>
      <c r="BF238" t="s">
        <v>60</v>
      </c>
    </row>
    <row r="239" spans="1:58" x14ac:dyDescent="0.45">
      <c r="A239">
        <v>10238</v>
      </c>
      <c r="B239">
        <v>1</v>
      </c>
      <c r="C239">
        <v>66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26</v>
      </c>
      <c r="L239">
        <v>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J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15.280000000000001</v>
      </c>
      <c r="AX239">
        <v>0</v>
      </c>
      <c r="AY239">
        <v>806</v>
      </c>
      <c r="AZ239">
        <v>55</v>
      </c>
      <c r="BA239">
        <v>663</v>
      </c>
      <c r="BF239" t="s">
        <v>60</v>
      </c>
    </row>
    <row r="240" spans="1:58" x14ac:dyDescent="0.45">
      <c r="A240">
        <v>10239</v>
      </c>
      <c r="B240">
        <v>1</v>
      </c>
      <c r="C240">
        <v>87.5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6.25</v>
      </c>
      <c r="L240">
        <v>6.25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J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8</v>
      </c>
      <c r="AX240">
        <v>0</v>
      </c>
      <c r="AY240">
        <v>822.625</v>
      </c>
      <c r="AZ240">
        <v>92</v>
      </c>
    </row>
    <row r="241" spans="1:58" x14ac:dyDescent="0.45">
      <c r="A241">
        <v>10240</v>
      </c>
      <c r="B241">
        <v>1</v>
      </c>
      <c r="C241">
        <v>90.1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1.7</v>
      </c>
      <c r="L241">
        <v>8.1999999999999993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J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8.6760000000000002</v>
      </c>
      <c r="AX241">
        <v>0</v>
      </c>
      <c r="AY241">
        <v>804.1</v>
      </c>
      <c r="AZ241">
        <v>82</v>
      </c>
    </row>
    <row r="242" spans="1:58" x14ac:dyDescent="0.45">
      <c r="A242">
        <v>10241</v>
      </c>
      <c r="B242">
        <v>1</v>
      </c>
      <c r="C242">
        <v>78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10.8</v>
      </c>
      <c r="L242">
        <v>11.2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J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14.224</v>
      </c>
      <c r="AX242">
        <v>0</v>
      </c>
      <c r="AY242">
        <v>775.6</v>
      </c>
      <c r="AZ242">
        <v>92</v>
      </c>
    </row>
    <row r="243" spans="1:58" x14ac:dyDescent="0.45">
      <c r="A243">
        <v>10242</v>
      </c>
      <c r="B243">
        <v>1</v>
      </c>
      <c r="C243">
        <v>70.400000000000006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19.5</v>
      </c>
      <c r="L243">
        <v>10.1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J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15.56</v>
      </c>
      <c r="AX243">
        <v>0</v>
      </c>
      <c r="AY243">
        <v>786.05</v>
      </c>
      <c r="AZ243">
        <v>83</v>
      </c>
    </row>
    <row r="244" spans="1:58" x14ac:dyDescent="0.45">
      <c r="A244">
        <v>10243</v>
      </c>
      <c r="B244">
        <v>1</v>
      </c>
      <c r="C244">
        <v>64.099999999999994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26.7</v>
      </c>
      <c r="L244">
        <v>9.1999999999999993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J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16.676000000000002</v>
      </c>
      <c r="AX244">
        <v>0</v>
      </c>
      <c r="AY244">
        <v>794.6</v>
      </c>
      <c r="AZ244">
        <v>73</v>
      </c>
    </row>
    <row r="245" spans="1:58" x14ac:dyDescent="0.45">
      <c r="A245">
        <v>10244</v>
      </c>
      <c r="B245">
        <v>1</v>
      </c>
      <c r="C245">
        <v>82.35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11.77</v>
      </c>
      <c r="L245">
        <v>5.88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J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9.1755999999999993</v>
      </c>
      <c r="AX245">
        <v>0</v>
      </c>
      <c r="AY245">
        <v>826.14</v>
      </c>
      <c r="AZ245">
        <v>83</v>
      </c>
    </row>
    <row r="246" spans="1:58" x14ac:dyDescent="0.45">
      <c r="A246">
        <v>10245</v>
      </c>
      <c r="B246">
        <v>1</v>
      </c>
      <c r="C246">
        <v>88.83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2.86</v>
      </c>
      <c r="L246">
        <v>8.31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J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9.1108000000000011</v>
      </c>
      <c r="AX246">
        <v>0</v>
      </c>
      <c r="AY246">
        <v>803.05499999999995</v>
      </c>
      <c r="AZ246">
        <v>78</v>
      </c>
    </row>
    <row r="247" spans="1:58" x14ac:dyDescent="0.45">
      <c r="A247">
        <v>10246</v>
      </c>
      <c r="B247">
        <v>1</v>
      </c>
      <c r="C247">
        <v>90.35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2.82</v>
      </c>
      <c r="L247">
        <v>6.83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J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7.6196000000000002</v>
      </c>
      <c r="AX247">
        <v>0</v>
      </c>
      <c r="AY247">
        <v>817.11500000000001</v>
      </c>
      <c r="AZ247">
        <v>89</v>
      </c>
    </row>
    <row r="248" spans="1:58" x14ac:dyDescent="0.45">
      <c r="A248">
        <v>10247</v>
      </c>
      <c r="B248">
        <v>1</v>
      </c>
      <c r="C248">
        <v>63.75</v>
      </c>
      <c r="D248">
        <v>0</v>
      </c>
      <c r="E248">
        <v>0</v>
      </c>
      <c r="F248">
        <v>0.9</v>
      </c>
      <c r="G248">
        <v>0</v>
      </c>
      <c r="H248">
        <v>0</v>
      </c>
      <c r="I248">
        <v>0</v>
      </c>
      <c r="J248">
        <v>0</v>
      </c>
      <c r="K248">
        <v>35.35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20</v>
      </c>
      <c r="Y248">
        <v>85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800</v>
      </c>
      <c r="AF248">
        <v>1</v>
      </c>
      <c r="AG248">
        <v>1</v>
      </c>
      <c r="AH248">
        <v>0</v>
      </c>
      <c r="AI248">
        <v>0</v>
      </c>
      <c r="AJ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11.338000000000001</v>
      </c>
      <c r="AX248">
        <v>0</v>
      </c>
      <c r="AY248">
        <v>871.11</v>
      </c>
      <c r="BB248">
        <v>503</v>
      </c>
      <c r="BC248">
        <v>35.799999999999997</v>
      </c>
      <c r="BF248" t="s">
        <v>53</v>
      </c>
    </row>
    <row r="249" spans="1:58" x14ac:dyDescent="0.45">
      <c r="A249">
        <v>10248</v>
      </c>
      <c r="B249">
        <v>1</v>
      </c>
      <c r="C249">
        <v>65.55</v>
      </c>
      <c r="D249">
        <v>0</v>
      </c>
      <c r="E249">
        <v>0</v>
      </c>
      <c r="F249">
        <v>1.83</v>
      </c>
      <c r="G249">
        <v>0</v>
      </c>
      <c r="H249">
        <v>0</v>
      </c>
      <c r="I249">
        <v>0</v>
      </c>
      <c r="J249">
        <v>0</v>
      </c>
      <c r="K249">
        <v>32.619999999999997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20</v>
      </c>
      <c r="Y249">
        <v>85</v>
      </c>
      <c r="Z249">
        <v>0</v>
      </c>
      <c r="AA249">
        <v>1</v>
      </c>
      <c r="AB249">
        <v>0</v>
      </c>
      <c r="AC249">
        <v>0</v>
      </c>
      <c r="AD249">
        <v>1</v>
      </c>
      <c r="AE249">
        <v>800</v>
      </c>
      <c r="AF249">
        <v>1</v>
      </c>
      <c r="AG249">
        <v>1</v>
      </c>
      <c r="AH249">
        <v>0</v>
      </c>
      <c r="AI249">
        <v>0</v>
      </c>
      <c r="AJ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12.0616</v>
      </c>
      <c r="AX249">
        <v>0</v>
      </c>
      <c r="AY249">
        <v>859.85699999999997</v>
      </c>
      <c r="BB249">
        <v>474</v>
      </c>
      <c r="BC249">
        <v>28.5</v>
      </c>
      <c r="BE249" t="s">
        <v>343</v>
      </c>
      <c r="BF249" t="s">
        <v>53</v>
      </c>
    </row>
    <row r="250" spans="1:58" x14ac:dyDescent="0.45">
      <c r="A250">
        <v>10249</v>
      </c>
      <c r="B250">
        <v>1</v>
      </c>
      <c r="C250">
        <v>67.41</v>
      </c>
      <c r="D250">
        <v>0</v>
      </c>
      <c r="E250">
        <v>0</v>
      </c>
      <c r="F250">
        <v>2.78</v>
      </c>
      <c r="G250">
        <v>0</v>
      </c>
      <c r="H250">
        <v>0</v>
      </c>
      <c r="I250">
        <v>0</v>
      </c>
      <c r="J250">
        <v>0</v>
      </c>
      <c r="K250">
        <v>29.81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20</v>
      </c>
      <c r="Y250">
        <v>85</v>
      </c>
      <c r="Z250">
        <v>0</v>
      </c>
      <c r="AA250">
        <v>1</v>
      </c>
      <c r="AB250">
        <v>0</v>
      </c>
      <c r="AC250">
        <v>0</v>
      </c>
      <c r="AD250">
        <v>1</v>
      </c>
      <c r="AE250">
        <v>800</v>
      </c>
      <c r="AF250">
        <v>1</v>
      </c>
      <c r="AG250">
        <v>1</v>
      </c>
      <c r="AH250">
        <v>0</v>
      </c>
      <c r="AI250">
        <v>0</v>
      </c>
      <c r="AJ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12.794799999999999</v>
      </c>
      <c r="AX250">
        <v>0</v>
      </c>
      <c r="AY250">
        <v>848.36199999999997</v>
      </c>
      <c r="BB250">
        <v>523</v>
      </c>
      <c r="BC250">
        <v>18.899999999999999</v>
      </c>
      <c r="BF250" t="s">
        <v>53</v>
      </c>
    </row>
    <row r="251" spans="1:58" x14ac:dyDescent="0.45">
      <c r="A251">
        <v>10250</v>
      </c>
      <c r="B251">
        <v>1</v>
      </c>
      <c r="C251">
        <v>69.319999999999993</v>
      </c>
      <c r="D251">
        <v>0</v>
      </c>
      <c r="E251">
        <v>0</v>
      </c>
      <c r="F251">
        <v>3.77</v>
      </c>
      <c r="G251">
        <v>0</v>
      </c>
      <c r="H251">
        <v>0</v>
      </c>
      <c r="I251">
        <v>0</v>
      </c>
      <c r="J251">
        <v>0</v>
      </c>
      <c r="K251">
        <v>26.91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20</v>
      </c>
      <c r="Y251">
        <v>85</v>
      </c>
      <c r="Z251">
        <v>0</v>
      </c>
      <c r="AA251">
        <v>1</v>
      </c>
      <c r="AB251">
        <v>0</v>
      </c>
      <c r="AC251">
        <v>0</v>
      </c>
      <c r="AD251">
        <v>1</v>
      </c>
      <c r="AE251">
        <v>800</v>
      </c>
      <c r="AF251">
        <v>1</v>
      </c>
      <c r="AG251">
        <v>1</v>
      </c>
      <c r="AH251">
        <v>0</v>
      </c>
      <c r="AI251">
        <v>0</v>
      </c>
      <c r="AJ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13.566800000000001</v>
      </c>
      <c r="AX251">
        <v>0</v>
      </c>
      <c r="AY251">
        <v>836.38300000000004</v>
      </c>
      <c r="BB251">
        <v>557</v>
      </c>
      <c r="BC251">
        <v>22.5</v>
      </c>
      <c r="BF251" t="s">
        <v>53</v>
      </c>
    </row>
    <row r="252" spans="1:58" x14ac:dyDescent="0.45">
      <c r="A252">
        <v>10251</v>
      </c>
      <c r="B252">
        <v>1</v>
      </c>
      <c r="C252">
        <v>71.3</v>
      </c>
      <c r="D252">
        <v>0</v>
      </c>
      <c r="E252">
        <v>0</v>
      </c>
      <c r="F252">
        <v>4.78</v>
      </c>
      <c r="G252">
        <v>0</v>
      </c>
      <c r="H252">
        <v>0</v>
      </c>
      <c r="I252">
        <v>0</v>
      </c>
      <c r="J252">
        <v>0</v>
      </c>
      <c r="K252">
        <v>23.92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20</v>
      </c>
      <c r="Y252">
        <v>85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800</v>
      </c>
      <c r="AF252">
        <v>1</v>
      </c>
      <c r="AG252">
        <v>1</v>
      </c>
      <c r="AH252">
        <v>0</v>
      </c>
      <c r="AI252">
        <v>0</v>
      </c>
      <c r="AJ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14.345600000000001</v>
      </c>
      <c r="AX252">
        <v>0</v>
      </c>
      <c r="AY252">
        <v>824.16200000000003</v>
      </c>
      <c r="BB252">
        <v>603</v>
      </c>
      <c r="BC252">
        <v>22.7</v>
      </c>
      <c r="BF252" t="s">
        <v>53</v>
      </c>
    </row>
    <row r="253" spans="1:58" x14ac:dyDescent="0.45">
      <c r="A253">
        <v>10252</v>
      </c>
      <c r="B253">
        <v>1</v>
      </c>
      <c r="C253">
        <v>65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30</v>
      </c>
      <c r="K253">
        <v>0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1000</v>
      </c>
      <c r="Y253">
        <v>70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850</v>
      </c>
      <c r="AF253">
        <v>1</v>
      </c>
      <c r="AG253">
        <v>1</v>
      </c>
      <c r="AH253">
        <v>0</v>
      </c>
      <c r="AI253">
        <v>0</v>
      </c>
      <c r="AJ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5</v>
      </c>
      <c r="AX253">
        <v>5</v>
      </c>
      <c r="AY253">
        <v>627.5</v>
      </c>
      <c r="BB253">
        <v>762</v>
      </c>
      <c r="BC253">
        <v>18.52</v>
      </c>
      <c r="BF253" t="s">
        <v>95</v>
      </c>
    </row>
    <row r="254" spans="1:58" x14ac:dyDescent="0.45">
      <c r="A254">
        <v>10253</v>
      </c>
      <c r="B254">
        <v>1</v>
      </c>
      <c r="C254">
        <v>64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30</v>
      </c>
      <c r="K254">
        <v>0</v>
      </c>
      <c r="L254">
        <v>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1000</v>
      </c>
      <c r="Y254">
        <v>70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850</v>
      </c>
      <c r="AF254">
        <v>1</v>
      </c>
      <c r="AG254">
        <v>1</v>
      </c>
      <c r="AH254">
        <v>0</v>
      </c>
      <c r="AI254">
        <v>0</v>
      </c>
      <c r="AJ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6</v>
      </c>
      <c r="AX254">
        <v>5</v>
      </c>
      <c r="AY254">
        <v>618</v>
      </c>
      <c r="BB254">
        <v>723</v>
      </c>
      <c r="BC254">
        <v>33.4</v>
      </c>
      <c r="BE254" t="s">
        <v>250</v>
      </c>
      <c r="BF254" t="s">
        <v>95</v>
      </c>
    </row>
    <row r="255" spans="1:58" x14ac:dyDescent="0.45">
      <c r="A255">
        <v>10254</v>
      </c>
      <c r="B255">
        <v>1</v>
      </c>
      <c r="C255">
        <v>63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30</v>
      </c>
      <c r="K255">
        <v>0</v>
      </c>
      <c r="L255">
        <v>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1000</v>
      </c>
      <c r="Y255">
        <v>70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850</v>
      </c>
      <c r="AF255">
        <v>1</v>
      </c>
      <c r="AG255">
        <v>1</v>
      </c>
      <c r="AH255">
        <v>0</v>
      </c>
      <c r="AI255">
        <v>0</v>
      </c>
      <c r="AJ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7</v>
      </c>
      <c r="AX255">
        <v>5</v>
      </c>
      <c r="AY255">
        <v>608.5</v>
      </c>
      <c r="BB255">
        <v>782</v>
      </c>
      <c r="BC255">
        <v>18.920000000000002</v>
      </c>
      <c r="BE255" t="s">
        <v>250</v>
      </c>
      <c r="BF255" t="s">
        <v>95</v>
      </c>
    </row>
    <row r="256" spans="1:58" x14ac:dyDescent="0.45">
      <c r="A256">
        <v>10255</v>
      </c>
      <c r="B256">
        <v>1</v>
      </c>
      <c r="C256">
        <v>90.600000000000009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2.86</v>
      </c>
      <c r="K256">
        <v>0</v>
      </c>
      <c r="L256">
        <v>6.54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Z256">
        <v>0</v>
      </c>
      <c r="AA256">
        <v>1</v>
      </c>
      <c r="AB256">
        <v>0</v>
      </c>
      <c r="AC256">
        <v>0</v>
      </c>
      <c r="AD256">
        <v>1</v>
      </c>
      <c r="AE256">
        <f>AY256</f>
        <v>800.13599999999997</v>
      </c>
      <c r="AF256">
        <v>0</v>
      </c>
      <c r="AG256">
        <v>1</v>
      </c>
      <c r="AH256">
        <v>0</v>
      </c>
      <c r="AI256">
        <v>0</v>
      </c>
      <c r="AJ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6.54</v>
      </c>
      <c r="AX256">
        <v>0.47666666666666663</v>
      </c>
      <c r="AY256">
        <v>800.13599999999997</v>
      </c>
      <c r="AZ256">
        <v>64.5</v>
      </c>
      <c r="BA256">
        <v>509</v>
      </c>
      <c r="BE256" t="s">
        <v>344</v>
      </c>
      <c r="BF256" t="s">
        <v>60</v>
      </c>
    </row>
    <row r="257" spans="1:58" x14ac:dyDescent="0.45">
      <c r="A257">
        <v>10256</v>
      </c>
      <c r="B257">
        <v>1</v>
      </c>
      <c r="C257">
        <v>77.86999999999999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18.98</v>
      </c>
      <c r="K257">
        <v>0</v>
      </c>
      <c r="L257">
        <v>3.2300000000000004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f>AY257</f>
        <v>720.35300000000007</v>
      </c>
      <c r="AF257">
        <v>0</v>
      </c>
      <c r="AG257">
        <v>1</v>
      </c>
      <c r="AH257">
        <v>0</v>
      </c>
      <c r="AI257">
        <v>0</v>
      </c>
      <c r="AJ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3.2300000000000004</v>
      </c>
      <c r="AX257">
        <v>3.1633333333333336</v>
      </c>
      <c r="AY257">
        <v>720.35300000000007</v>
      </c>
      <c r="AZ257">
        <v>75</v>
      </c>
      <c r="BA257">
        <v>383</v>
      </c>
      <c r="BE257" t="s">
        <v>345</v>
      </c>
      <c r="BF257" t="s">
        <v>60</v>
      </c>
    </row>
    <row r="258" spans="1:58" x14ac:dyDescent="0.45">
      <c r="A258">
        <v>10257</v>
      </c>
      <c r="B258">
        <v>1</v>
      </c>
      <c r="C258">
        <v>77.149999999999991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18.98</v>
      </c>
      <c r="K258">
        <v>0</v>
      </c>
      <c r="L258">
        <v>3.8699999999999997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f>AY258</f>
        <v>714.27300000000002</v>
      </c>
      <c r="AF258">
        <v>0</v>
      </c>
      <c r="AG258">
        <v>1</v>
      </c>
      <c r="AH258">
        <v>0</v>
      </c>
      <c r="AI258">
        <v>0</v>
      </c>
      <c r="AJ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3.8699999999999997</v>
      </c>
      <c r="AX258">
        <v>3.1633333333333336</v>
      </c>
      <c r="AY258">
        <v>714.27300000000002</v>
      </c>
      <c r="AZ258">
        <v>63</v>
      </c>
      <c r="BA258">
        <v>459</v>
      </c>
      <c r="BF258" t="s">
        <v>60</v>
      </c>
    </row>
    <row r="259" spans="1:58" x14ac:dyDescent="0.45">
      <c r="A259">
        <v>10258</v>
      </c>
      <c r="B259">
        <v>1</v>
      </c>
      <c r="C259">
        <v>76.429999999999993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19.29</v>
      </c>
      <c r="K259">
        <v>0</v>
      </c>
      <c r="L259">
        <v>4.2799999999999994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f>AY259</f>
        <v>708.23900000000003</v>
      </c>
      <c r="AF259">
        <v>0</v>
      </c>
      <c r="AG259">
        <v>1</v>
      </c>
      <c r="AH259">
        <v>0</v>
      </c>
      <c r="AI259">
        <v>0</v>
      </c>
      <c r="AJ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4.2799999999999994</v>
      </c>
      <c r="AX259">
        <v>3.2149999999999999</v>
      </c>
      <c r="AY259">
        <v>708.23900000000003</v>
      </c>
      <c r="AZ259">
        <v>66</v>
      </c>
      <c r="BA259">
        <v>674</v>
      </c>
      <c r="BF259" t="s">
        <v>60</v>
      </c>
    </row>
    <row r="260" spans="1:58" x14ac:dyDescent="0.45">
      <c r="A260">
        <v>10259</v>
      </c>
      <c r="B260">
        <v>1</v>
      </c>
      <c r="C260">
        <v>87.5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6.25</v>
      </c>
      <c r="K260">
        <v>0</v>
      </c>
      <c r="L260">
        <v>6.25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J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6.25</v>
      </c>
      <c r="AX260">
        <v>1.0416666666666667</v>
      </c>
      <c r="AY260">
        <v>779.5</v>
      </c>
      <c r="AZ260">
        <v>80</v>
      </c>
    </row>
    <row r="261" spans="1:58" x14ac:dyDescent="0.45">
      <c r="A261">
        <v>10260</v>
      </c>
      <c r="B261">
        <v>1</v>
      </c>
      <c r="C261">
        <v>86.7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7.7</v>
      </c>
      <c r="K261">
        <v>0</v>
      </c>
      <c r="L261">
        <v>5.6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J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5.6</v>
      </c>
      <c r="AX261">
        <v>1.2833333333333334</v>
      </c>
      <c r="AY261">
        <v>775.67</v>
      </c>
      <c r="AZ261">
        <v>74</v>
      </c>
    </row>
    <row r="262" spans="1:58" x14ac:dyDescent="0.45">
      <c r="A262">
        <v>10261</v>
      </c>
      <c r="B262">
        <v>1</v>
      </c>
      <c r="C262">
        <v>78.2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10.6</v>
      </c>
      <c r="K262">
        <v>0</v>
      </c>
      <c r="L262">
        <v>11.2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J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11.2</v>
      </c>
      <c r="AX262">
        <v>1.7666666666666666</v>
      </c>
      <c r="AY262">
        <v>702.46</v>
      </c>
      <c r="AZ262">
        <v>80</v>
      </c>
    </row>
    <row r="263" spans="1:58" x14ac:dyDescent="0.45">
      <c r="A263">
        <v>10262</v>
      </c>
      <c r="B263">
        <v>1</v>
      </c>
      <c r="C263">
        <v>85.36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8.9600000000000009</v>
      </c>
      <c r="K263">
        <v>0</v>
      </c>
      <c r="L263">
        <v>5.68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J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5.68</v>
      </c>
      <c r="AX263">
        <v>1.4933333333333334</v>
      </c>
      <c r="AY263">
        <v>766.21599999999989</v>
      </c>
      <c r="AZ263">
        <v>82</v>
      </c>
    </row>
    <row r="264" spans="1:58" x14ac:dyDescent="0.45">
      <c r="A264">
        <v>10263</v>
      </c>
      <c r="B264">
        <v>1</v>
      </c>
      <c r="C264">
        <v>72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26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20</v>
      </c>
      <c r="Y264">
        <v>84</v>
      </c>
      <c r="Z264">
        <v>0</v>
      </c>
      <c r="AA264">
        <v>1</v>
      </c>
      <c r="AB264">
        <v>0</v>
      </c>
      <c r="AC264">
        <v>0</v>
      </c>
      <c r="AD264">
        <v>1</v>
      </c>
      <c r="AE264">
        <v>800</v>
      </c>
      <c r="AF264">
        <v>1</v>
      </c>
      <c r="AG264">
        <v>1</v>
      </c>
      <c r="AH264">
        <v>0</v>
      </c>
      <c r="AI264">
        <v>0</v>
      </c>
      <c r="AJ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13.080000000000002</v>
      </c>
      <c r="AX264">
        <v>0</v>
      </c>
      <c r="AY264">
        <v>851.2</v>
      </c>
      <c r="BB264">
        <v>739</v>
      </c>
      <c r="BC264">
        <v>23.38</v>
      </c>
      <c r="BF264" t="s">
        <v>96</v>
      </c>
    </row>
    <row r="265" spans="1:58" x14ac:dyDescent="0.45">
      <c r="A265">
        <v>10264</v>
      </c>
      <c r="B265">
        <v>1</v>
      </c>
      <c r="C265">
        <v>72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0</v>
      </c>
      <c r="K265">
        <v>26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20</v>
      </c>
      <c r="Y265">
        <v>84</v>
      </c>
      <c r="Z265">
        <v>0</v>
      </c>
      <c r="AA265">
        <v>1</v>
      </c>
      <c r="AB265">
        <v>0</v>
      </c>
      <c r="AC265">
        <v>0</v>
      </c>
      <c r="AD265">
        <v>1</v>
      </c>
      <c r="AE265">
        <v>800</v>
      </c>
      <c r="AF265">
        <v>1</v>
      </c>
      <c r="AG265">
        <v>1</v>
      </c>
      <c r="AH265">
        <v>0</v>
      </c>
      <c r="AI265">
        <v>0</v>
      </c>
      <c r="AJ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13.080000000000002</v>
      </c>
      <c r="AX265">
        <v>0</v>
      </c>
      <c r="AY265">
        <v>851.2</v>
      </c>
      <c r="BB265">
        <v>739</v>
      </c>
      <c r="BC265">
        <v>24</v>
      </c>
      <c r="BF265" t="s">
        <v>97</v>
      </c>
    </row>
    <row r="266" spans="1:58" x14ac:dyDescent="0.45">
      <c r="A266">
        <v>10265</v>
      </c>
      <c r="B266">
        <v>1</v>
      </c>
      <c r="C266">
        <v>80.849999999999994</v>
      </c>
      <c r="D266">
        <v>0</v>
      </c>
      <c r="E266">
        <v>0</v>
      </c>
      <c r="F266">
        <v>0</v>
      </c>
      <c r="G266">
        <v>0</v>
      </c>
      <c r="H266">
        <v>1.0999999999999999</v>
      </c>
      <c r="I266">
        <v>0</v>
      </c>
      <c r="J266">
        <v>0</v>
      </c>
      <c r="K266">
        <v>18.05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Z266">
        <v>0</v>
      </c>
      <c r="AA266">
        <v>1</v>
      </c>
      <c r="AB266">
        <v>0</v>
      </c>
      <c r="AC266">
        <v>0</v>
      </c>
      <c r="AD266">
        <v>1</v>
      </c>
      <c r="AE266">
        <f t="shared" ref="AE266:AE275" si="1">AY266</f>
        <v>865.06</v>
      </c>
      <c r="AF266">
        <v>0</v>
      </c>
      <c r="AG266">
        <v>1</v>
      </c>
      <c r="AH266">
        <v>0</v>
      </c>
      <c r="AI266">
        <v>0</v>
      </c>
      <c r="AJ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8.2439999999999998</v>
      </c>
      <c r="AX266">
        <v>0</v>
      </c>
      <c r="AY266">
        <v>865.06</v>
      </c>
      <c r="AZ266">
        <v>81</v>
      </c>
      <c r="BA266">
        <v>477</v>
      </c>
      <c r="BF266" t="s">
        <v>60</v>
      </c>
    </row>
    <row r="267" spans="1:58" x14ac:dyDescent="0.45">
      <c r="A267">
        <v>10266</v>
      </c>
      <c r="B267">
        <v>1</v>
      </c>
      <c r="C267">
        <v>82.54</v>
      </c>
      <c r="D267">
        <v>0</v>
      </c>
      <c r="E267">
        <v>0</v>
      </c>
      <c r="F267">
        <v>0</v>
      </c>
      <c r="G267">
        <v>0</v>
      </c>
      <c r="H267">
        <v>1.6199999999999999</v>
      </c>
      <c r="I267">
        <v>0</v>
      </c>
      <c r="J267">
        <v>0</v>
      </c>
      <c r="K267">
        <v>15.840000000000002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Z267">
        <v>0</v>
      </c>
      <c r="AA267">
        <v>1</v>
      </c>
      <c r="AB267">
        <v>0</v>
      </c>
      <c r="AC267">
        <v>0</v>
      </c>
      <c r="AD267">
        <v>1</v>
      </c>
      <c r="AE267">
        <f t="shared" si="1"/>
        <v>857.05200000000002</v>
      </c>
      <c r="AF267">
        <v>0</v>
      </c>
      <c r="AG267">
        <v>1</v>
      </c>
      <c r="AH267">
        <v>0</v>
      </c>
      <c r="AI267">
        <v>0</v>
      </c>
      <c r="AJ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9.1332000000000004</v>
      </c>
      <c r="AX267">
        <v>0</v>
      </c>
      <c r="AY267">
        <v>857.05200000000002</v>
      </c>
      <c r="AZ267">
        <v>94</v>
      </c>
      <c r="BA267">
        <v>496</v>
      </c>
      <c r="BF267" t="s">
        <v>60</v>
      </c>
    </row>
    <row r="268" spans="1:58" x14ac:dyDescent="0.45">
      <c r="A268">
        <v>10267</v>
      </c>
      <c r="B268">
        <v>1</v>
      </c>
      <c r="C268">
        <v>84.58</v>
      </c>
      <c r="D268">
        <v>0</v>
      </c>
      <c r="E268">
        <v>0</v>
      </c>
      <c r="F268">
        <v>0</v>
      </c>
      <c r="G268">
        <v>0</v>
      </c>
      <c r="H268">
        <v>2.17</v>
      </c>
      <c r="I268">
        <v>0</v>
      </c>
      <c r="J268">
        <v>0</v>
      </c>
      <c r="K268">
        <v>13.25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Z268">
        <v>0</v>
      </c>
      <c r="AA268">
        <v>1</v>
      </c>
      <c r="AB268">
        <v>0</v>
      </c>
      <c r="AC268">
        <v>0</v>
      </c>
      <c r="AD268">
        <v>1</v>
      </c>
      <c r="AE268">
        <f t="shared" si="1"/>
        <v>848.58199999999999</v>
      </c>
      <c r="AF268">
        <v>0</v>
      </c>
      <c r="AG268">
        <v>1</v>
      </c>
      <c r="AH268">
        <v>0</v>
      </c>
      <c r="AI268">
        <v>0</v>
      </c>
      <c r="AJ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10.003</v>
      </c>
      <c r="AX268">
        <v>0</v>
      </c>
      <c r="AY268">
        <v>848.58199999999999</v>
      </c>
      <c r="AZ268">
        <v>95</v>
      </c>
      <c r="BA268">
        <v>604</v>
      </c>
      <c r="BF268" t="s">
        <v>60</v>
      </c>
    </row>
    <row r="269" spans="1:58" x14ac:dyDescent="0.45">
      <c r="A269">
        <v>10268</v>
      </c>
      <c r="B269">
        <v>1</v>
      </c>
      <c r="C269">
        <v>87.070000000000007</v>
      </c>
      <c r="D269">
        <v>0</v>
      </c>
      <c r="E269">
        <v>0</v>
      </c>
      <c r="F269">
        <v>0</v>
      </c>
      <c r="G269">
        <v>0</v>
      </c>
      <c r="H269">
        <v>2.54</v>
      </c>
      <c r="I269">
        <v>0</v>
      </c>
      <c r="J269">
        <v>0</v>
      </c>
      <c r="K269">
        <v>10.39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Z269">
        <v>0</v>
      </c>
      <c r="AA269">
        <v>1</v>
      </c>
      <c r="AB269">
        <v>0</v>
      </c>
      <c r="AC269">
        <v>0</v>
      </c>
      <c r="AD269">
        <v>1</v>
      </c>
      <c r="AE269">
        <f t="shared" si="1"/>
        <v>842.88400000000001</v>
      </c>
      <c r="AF269">
        <v>0</v>
      </c>
      <c r="AG269">
        <v>1</v>
      </c>
      <c r="AH269">
        <v>0</v>
      </c>
      <c r="AI269">
        <v>0</v>
      </c>
      <c r="AJ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10.2752</v>
      </c>
      <c r="AX269">
        <v>0</v>
      </c>
      <c r="AY269">
        <v>842.88400000000001</v>
      </c>
      <c r="AZ269">
        <v>90</v>
      </c>
      <c r="BA269">
        <v>672</v>
      </c>
      <c r="BF269" t="s">
        <v>60</v>
      </c>
    </row>
    <row r="270" spans="1:58" x14ac:dyDescent="0.45">
      <c r="A270">
        <v>10269</v>
      </c>
      <c r="B270">
        <v>1</v>
      </c>
      <c r="C270">
        <v>88.949999999999989</v>
      </c>
      <c r="D270">
        <v>0</v>
      </c>
      <c r="E270">
        <v>0</v>
      </c>
      <c r="F270">
        <v>0</v>
      </c>
      <c r="G270">
        <v>0</v>
      </c>
      <c r="H270">
        <v>2.8000000000000003</v>
      </c>
      <c r="I270">
        <v>0</v>
      </c>
      <c r="J270">
        <v>0</v>
      </c>
      <c r="K270">
        <v>8.25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Z270">
        <v>0</v>
      </c>
      <c r="AA270">
        <v>1</v>
      </c>
      <c r="AB270">
        <v>0</v>
      </c>
      <c r="AC270">
        <v>0</v>
      </c>
      <c r="AD270">
        <v>1</v>
      </c>
      <c r="AE270">
        <f t="shared" si="1"/>
        <v>838.88</v>
      </c>
      <c r="AF270">
        <v>0</v>
      </c>
      <c r="AG270">
        <v>1</v>
      </c>
      <c r="AH270">
        <v>0</v>
      </c>
      <c r="AI270">
        <v>0</v>
      </c>
      <c r="AJ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10.430000000000001</v>
      </c>
      <c r="AX270">
        <v>0</v>
      </c>
      <c r="AY270">
        <v>838.88</v>
      </c>
      <c r="AZ270">
        <v>94</v>
      </c>
      <c r="BA270">
        <v>695</v>
      </c>
      <c r="BF270" t="s">
        <v>60</v>
      </c>
    </row>
    <row r="271" spans="1:58" x14ac:dyDescent="0.45">
      <c r="A271">
        <v>10270</v>
      </c>
      <c r="B271">
        <v>1</v>
      </c>
      <c r="C271">
        <v>90.63</v>
      </c>
      <c r="D271">
        <v>0</v>
      </c>
      <c r="E271">
        <v>0</v>
      </c>
      <c r="F271">
        <v>0</v>
      </c>
      <c r="G271">
        <v>0</v>
      </c>
      <c r="H271">
        <v>3.35</v>
      </c>
      <c r="I271">
        <v>0</v>
      </c>
      <c r="J271">
        <v>0</v>
      </c>
      <c r="K271">
        <v>6.02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Z271">
        <v>0</v>
      </c>
      <c r="AA271">
        <v>1</v>
      </c>
      <c r="AB271">
        <v>0</v>
      </c>
      <c r="AC271">
        <v>0</v>
      </c>
      <c r="AD271">
        <v>1</v>
      </c>
      <c r="AE271">
        <f t="shared" si="1"/>
        <v>830.41</v>
      </c>
      <c r="AF271">
        <v>0</v>
      </c>
      <c r="AG271">
        <v>1</v>
      </c>
      <c r="AH271">
        <v>0</v>
      </c>
      <c r="AI271">
        <v>0</v>
      </c>
      <c r="AJ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11.400600000000001</v>
      </c>
      <c r="AX271">
        <v>0</v>
      </c>
      <c r="AY271">
        <v>830.41</v>
      </c>
      <c r="AZ271">
        <v>97</v>
      </c>
      <c r="BA271">
        <v>715</v>
      </c>
      <c r="BF271" t="s">
        <v>60</v>
      </c>
    </row>
    <row r="272" spans="1:58" x14ac:dyDescent="0.45">
      <c r="A272">
        <v>10271</v>
      </c>
      <c r="B272">
        <v>1</v>
      </c>
      <c r="C272">
        <v>80.63</v>
      </c>
      <c r="D272">
        <v>0</v>
      </c>
      <c r="E272">
        <v>0</v>
      </c>
      <c r="F272">
        <v>0</v>
      </c>
      <c r="G272">
        <v>0</v>
      </c>
      <c r="H272">
        <v>1.1100000000000001</v>
      </c>
      <c r="I272">
        <v>0</v>
      </c>
      <c r="J272">
        <v>0</v>
      </c>
      <c r="K272">
        <v>18.260000000000002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f t="shared" si="1"/>
        <v>864.90599999999995</v>
      </c>
      <c r="AF272">
        <v>0</v>
      </c>
      <c r="AG272">
        <v>1</v>
      </c>
      <c r="AH272">
        <v>0</v>
      </c>
      <c r="AI272">
        <v>0</v>
      </c>
      <c r="AJ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8.3318000000000012</v>
      </c>
      <c r="AX272">
        <v>0</v>
      </c>
      <c r="AY272">
        <v>864.90599999999995</v>
      </c>
      <c r="AZ272">
        <v>79</v>
      </c>
      <c r="BA272">
        <v>606</v>
      </c>
      <c r="BE272" t="s">
        <v>337</v>
      </c>
      <c r="BF272" t="s">
        <v>60</v>
      </c>
    </row>
    <row r="273" spans="1:58" x14ac:dyDescent="0.45">
      <c r="A273">
        <v>10272</v>
      </c>
      <c r="B273">
        <v>1</v>
      </c>
      <c r="C273">
        <v>79.12</v>
      </c>
      <c r="D273">
        <v>0</v>
      </c>
      <c r="E273">
        <v>0</v>
      </c>
      <c r="F273">
        <v>0</v>
      </c>
      <c r="G273">
        <v>0</v>
      </c>
      <c r="H273">
        <v>2.92</v>
      </c>
      <c r="I273">
        <v>0</v>
      </c>
      <c r="J273">
        <v>0</v>
      </c>
      <c r="K273">
        <v>17.96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f t="shared" si="1"/>
        <v>837.03200000000004</v>
      </c>
      <c r="AF273">
        <v>0</v>
      </c>
      <c r="AG273">
        <v>1</v>
      </c>
      <c r="AH273">
        <v>0</v>
      </c>
      <c r="AI273">
        <v>0</v>
      </c>
      <c r="AJ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13.4968</v>
      </c>
      <c r="AX273">
        <v>0</v>
      </c>
      <c r="AY273">
        <v>837.03200000000004</v>
      </c>
      <c r="AZ273">
        <v>78</v>
      </c>
      <c r="BA273">
        <v>625</v>
      </c>
      <c r="BE273" t="s">
        <v>337</v>
      </c>
      <c r="BF273" t="s">
        <v>60</v>
      </c>
    </row>
    <row r="274" spans="1:58" x14ac:dyDescent="0.45">
      <c r="A274">
        <v>10273</v>
      </c>
      <c r="B274">
        <v>1</v>
      </c>
      <c r="C274">
        <v>77.19</v>
      </c>
      <c r="D274">
        <v>0</v>
      </c>
      <c r="E274">
        <v>0</v>
      </c>
      <c r="F274">
        <v>0</v>
      </c>
      <c r="G274">
        <v>0</v>
      </c>
      <c r="H274">
        <v>5.1400000000000006</v>
      </c>
      <c r="I274">
        <v>0</v>
      </c>
      <c r="J274">
        <v>0</v>
      </c>
      <c r="K274">
        <v>17.68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f t="shared" si="1"/>
        <v>802.84400000000005</v>
      </c>
      <c r="AF274">
        <v>0</v>
      </c>
      <c r="AG274">
        <v>1</v>
      </c>
      <c r="AH274">
        <v>0</v>
      </c>
      <c r="AI274">
        <v>0</v>
      </c>
      <c r="AJ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19.856400000000001</v>
      </c>
      <c r="AX274">
        <v>0</v>
      </c>
      <c r="AY274">
        <v>802.84400000000005</v>
      </c>
      <c r="AZ274">
        <v>79</v>
      </c>
      <c r="BA274">
        <v>629</v>
      </c>
      <c r="BE274" t="s">
        <v>337</v>
      </c>
      <c r="BF274" t="s">
        <v>60</v>
      </c>
    </row>
    <row r="275" spans="1:58" x14ac:dyDescent="0.45">
      <c r="A275">
        <v>10274</v>
      </c>
      <c r="B275">
        <v>1</v>
      </c>
      <c r="C275">
        <v>88.9</v>
      </c>
      <c r="D275">
        <v>0</v>
      </c>
      <c r="E275">
        <v>0</v>
      </c>
      <c r="F275">
        <v>0</v>
      </c>
      <c r="G275">
        <v>0</v>
      </c>
      <c r="H275">
        <v>4.1399999999999997</v>
      </c>
      <c r="I275">
        <v>0</v>
      </c>
      <c r="J275">
        <v>0</v>
      </c>
      <c r="K275">
        <v>6.9599999999999991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Z275">
        <v>0</v>
      </c>
      <c r="AA275">
        <v>1</v>
      </c>
      <c r="AB275">
        <v>0</v>
      </c>
      <c r="AC275">
        <v>0</v>
      </c>
      <c r="AD275">
        <v>1</v>
      </c>
      <c r="AE275">
        <f t="shared" si="1"/>
        <v>818.24400000000003</v>
      </c>
      <c r="AF275">
        <v>0</v>
      </c>
      <c r="AG275">
        <v>1</v>
      </c>
      <c r="AH275">
        <v>0</v>
      </c>
      <c r="AI275">
        <v>0</v>
      </c>
      <c r="AJ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13.954799999999999</v>
      </c>
      <c r="AX275">
        <v>0</v>
      </c>
      <c r="AY275">
        <v>818.24400000000003</v>
      </c>
      <c r="AZ275">
        <v>90</v>
      </c>
      <c r="BA275">
        <v>740</v>
      </c>
      <c r="BE275" t="s">
        <v>337</v>
      </c>
      <c r="BF275" t="s">
        <v>60</v>
      </c>
    </row>
    <row r="276" spans="1:58" x14ac:dyDescent="0.45">
      <c r="A276">
        <v>10275</v>
      </c>
      <c r="B276">
        <v>1</v>
      </c>
      <c r="C276">
        <v>88.48</v>
      </c>
      <c r="D276">
        <v>0</v>
      </c>
      <c r="E276">
        <v>0</v>
      </c>
      <c r="F276">
        <v>0</v>
      </c>
      <c r="G276">
        <v>0</v>
      </c>
      <c r="H276">
        <v>5.48</v>
      </c>
      <c r="I276">
        <v>0</v>
      </c>
      <c r="J276">
        <v>0</v>
      </c>
      <c r="K276">
        <v>6.04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J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17.583200000000001</v>
      </c>
      <c r="AX276">
        <v>0</v>
      </c>
      <c r="AY276">
        <v>797.60799999999995</v>
      </c>
      <c r="AZ276">
        <v>89</v>
      </c>
      <c r="BA276">
        <v>1137</v>
      </c>
      <c r="BE276" t="s">
        <v>337</v>
      </c>
      <c r="BF276" t="s">
        <v>60</v>
      </c>
    </row>
    <row r="277" spans="1:58" x14ac:dyDescent="0.45">
      <c r="A277">
        <v>10276</v>
      </c>
      <c r="B277">
        <v>1</v>
      </c>
      <c r="C277">
        <v>85.67</v>
      </c>
      <c r="D277">
        <v>0</v>
      </c>
      <c r="E277">
        <v>0</v>
      </c>
      <c r="F277">
        <v>0</v>
      </c>
      <c r="G277">
        <v>0</v>
      </c>
      <c r="H277">
        <v>8.2600000000000016</v>
      </c>
      <c r="I277">
        <v>0</v>
      </c>
      <c r="J277">
        <v>0</v>
      </c>
      <c r="K277">
        <v>6.0699999999999994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J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25.653600000000004</v>
      </c>
      <c r="AX277">
        <v>0</v>
      </c>
      <c r="AY277">
        <v>754.79599999999994</v>
      </c>
      <c r="AZ277">
        <v>82</v>
      </c>
      <c r="BA277">
        <v>1078</v>
      </c>
      <c r="BE277" t="s">
        <v>301</v>
      </c>
      <c r="BF277" t="s">
        <v>60</v>
      </c>
    </row>
    <row r="278" spans="1:58" x14ac:dyDescent="0.45">
      <c r="A278">
        <v>10277</v>
      </c>
      <c r="B278">
        <v>1</v>
      </c>
      <c r="C278">
        <v>93.39</v>
      </c>
      <c r="D278">
        <v>0</v>
      </c>
      <c r="E278">
        <v>0</v>
      </c>
      <c r="F278">
        <v>0</v>
      </c>
      <c r="G278">
        <v>0</v>
      </c>
      <c r="H278">
        <v>6.09</v>
      </c>
      <c r="I278">
        <v>0</v>
      </c>
      <c r="J278">
        <v>0</v>
      </c>
      <c r="K278">
        <v>0.52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J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17.8066</v>
      </c>
      <c r="AX278">
        <v>0</v>
      </c>
      <c r="AY278">
        <v>788.21399999999994</v>
      </c>
      <c r="AZ278">
        <v>124</v>
      </c>
      <c r="BA278">
        <v>1785</v>
      </c>
      <c r="BE278" t="s">
        <v>301</v>
      </c>
      <c r="BF278" t="s">
        <v>60</v>
      </c>
    </row>
    <row r="279" spans="1:58" x14ac:dyDescent="0.45">
      <c r="A279">
        <v>10278</v>
      </c>
      <c r="B279">
        <v>1</v>
      </c>
      <c r="C279">
        <v>91.7</v>
      </c>
      <c r="D279">
        <v>0</v>
      </c>
      <c r="E279">
        <v>0</v>
      </c>
      <c r="F279">
        <v>0</v>
      </c>
      <c r="G279">
        <v>0</v>
      </c>
      <c r="H279">
        <v>6.18</v>
      </c>
      <c r="I279">
        <v>0</v>
      </c>
      <c r="J279">
        <v>0</v>
      </c>
      <c r="K279">
        <v>2.12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J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18.515599999999996</v>
      </c>
      <c r="AX279">
        <v>0</v>
      </c>
      <c r="AY279">
        <v>786.82799999999997</v>
      </c>
      <c r="AZ279">
        <v>115</v>
      </c>
      <c r="BA279">
        <v>1539</v>
      </c>
      <c r="BE279" t="s">
        <v>301</v>
      </c>
      <c r="BF279" t="s">
        <v>60</v>
      </c>
    </row>
    <row r="280" spans="1:58" x14ac:dyDescent="0.45">
      <c r="A280">
        <v>10279</v>
      </c>
      <c r="B280">
        <v>1</v>
      </c>
      <c r="C280">
        <v>90.539999999999992</v>
      </c>
      <c r="D280">
        <v>0</v>
      </c>
      <c r="E280">
        <v>0</v>
      </c>
      <c r="F280">
        <v>0</v>
      </c>
      <c r="G280">
        <v>0</v>
      </c>
      <c r="H280">
        <v>6.2399999999999993</v>
      </c>
      <c r="I280">
        <v>0</v>
      </c>
      <c r="J280">
        <v>0</v>
      </c>
      <c r="K280">
        <v>3.2199999999999998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J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18.997599999999995</v>
      </c>
      <c r="AX280">
        <v>0</v>
      </c>
      <c r="AY280">
        <v>785.904</v>
      </c>
      <c r="AZ280">
        <v>97</v>
      </c>
      <c r="BA280">
        <v>1144</v>
      </c>
      <c r="BF280" t="s">
        <v>60</v>
      </c>
    </row>
    <row r="281" spans="1:58" x14ac:dyDescent="0.45">
      <c r="A281">
        <v>10280</v>
      </c>
      <c r="B281">
        <v>1</v>
      </c>
      <c r="C281">
        <v>88.759999999999991</v>
      </c>
      <c r="D281">
        <v>0</v>
      </c>
      <c r="E281">
        <v>0</v>
      </c>
      <c r="F281">
        <v>0</v>
      </c>
      <c r="G281">
        <v>0</v>
      </c>
      <c r="H281">
        <v>6.34</v>
      </c>
      <c r="I281">
        <v>0</v>
      </c>
      <c r="J281">
        <v>0</v>
      </c>
      <c r="K281">
        <v>4.9000000000000004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J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19.757999999999999</v>
      </c>
      <c r="AX281">
        <v>0</v>
      </c>
      <c r="AY281">
        <v>784.36400000000003</v>
      </c>
      <c r="AZ281">
        <v>89</v>
      </c>
      <c r="BA281">
        <v>1010</v>
      </c>
      <c r="BF281" t="s">
        <v>60</v>
      </c>
    </row>
    <row r="282" spans="1:58" x14ac:dyDescent="0.45">
      <c r="A282">
        <v>10281</v>
      </c>
      <c r="B282">
        <v>1</v>
      </c>
      <c r="C282">
        <v>87.539999999999992</v>
      </c>
      <c r="D282">
        <v>0</v>
      </c>
      <c r="E282">
        <v>0</v>
      </c>
      <c r="F282">
        <v>0</v>
      </c>
      <c r="G282">
        <v>0</v>
      </c>
      <c r="H282">
        <v>6.41</v>
      </c>
      <c r="I282">
        <v>0</v>
      </c>
      <c r="J282">
        <v>0</v>
      </c>
      <c r="K282">
        <v>6.05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J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20.282999999999998</v>
      </c>
      <c r="AX282">
        <v>0</v>
      </c>
      <c r="AY282">
        <v>783.28600000000006</v>
      </c>
      <c r="AZ282">
        <v>86</v>
      </c>
      <c r="BA282">
        <v>985</v>
      </c>
      <c r="BF282" t="s">
        <v>60</v>
      </c>
    </row>
    <row r="283" spans="1:58" x14ac:dyDescent="0.45">
      <c r="A283">
        <v>10282</v>
      </c>
      <c r="B283">
        <v>1</v>
      </c>
      <c r="C283">
        <v>76.819999999999993</v>
      </c>
      <c r="D283">
        <v>0</v>
      </c>
      <c r="E283">
        <v>0</v>
      </c>
      <c r="F283">
        <v>0</v>
      </c>
      <c r="G283">
        <v>0</v>
      </c>
      <c r="H283">
        <v>6.98</v>
      </c>
      <c r="I283">
        <v>0</v>
      </c>
      <c r="J283">
        <v>0</v>
      </c>
      <c r="K283">
        <v>16.189999999999998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J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24.775200000000002</v>
      </c>
      <c r="AX283">
        <v>0</v>
      </c>
      <c r="AY283">
        <v>774.50800000000004</v>
      </c>
      <c r="AZ283">
        <v>116</v>
      </c>
      <c r="BA283">
        <v>784</v>
      </c>
      <c r="BF283" t="s">
        <v>60</v>
      </c>
    </row>
    <row r="284" spans="1:58" x14ac:dyDescent="0.45">
      <c r="A284">
        <v>10283</v>
      </c>
      <c r="B284">
        <v>1</v>
      </c>
      <c r="C284">
        <v>77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22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f>AY284</f>
        <v>866.6</v>
      </c>
      <c r="AF284">
        <v>0</v>
      </c>
      <c r="AG284">
        <v>1</v>
      </c>
      <c r="AH284">
        <v>0</v>
      </c>
      <c r="AI284">
        <v>0</v>
      </c>
      <c r="AJ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9.06</v>
      </c>
      <c r="AX284">
        <v>0</v>
      </c>
      <c r="AY284">
        <v>866.6</v>
      </c>
      <c r="AZ284">
        <v>79</v>
      </c>
      <c r="BA284">
        <v>600</v>
      </c>
      <c r="BF284" t="s">
        <v>60</v>
      </c>
    </row>
    <row r="285" spans="1:58" x14ac:dyDescent="0.45">
      <c r="A285">
        <v>10284</v>
      </c>
      <c r="B285">
        <v>1</v>
      </c>
      <c r="C285">
        <v>92.5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Z285">
        <v>1</v>
      </c>
      <c r="AA285">
        <v>0</v>
      </c>
      <c r="AB285">
        <v>0</v>
      </c>
      <c r="AC285">
        <v>0</v>
      </c>
      <c r="AD285">
        <v>1</v>
      </c>
      <c r="AE285">
        <v>1000</v>
      </c>
      <c r="AF285">
        <v>1</v>
      </c>
      <c r="AG285">
        <v>0</v>
      </c>
      <c r="AH285">
        <v>0</v>
      </c>
      <c r="AI285">
        <v>1</v>
      </c>
      <c r="AJ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-5</v>
      </c>
      <c r="AX285">
        <v>5.833333333333333</v>
      </c>
      <c r="AY285">
        <v>903</v>
      </c>
      <c r="BB285">
        <v>769</v>
      </c>
      <c r="BC285">
        <v>10.6</v>
      </c>
      <c r="BF285" t="s">
        <v>114</v>
      </c>
    </row>
    <row r="286" spans="1:58" x14ac:dyDescent="0.45">
      <c r="A286">
        <v>10285</v>
      </c>
      <c r="B286">
        <v>1</v>
      </c>
      <c r="C286">
        <v>92.5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J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-5</v>
      </c>
      <c r="AX286">
        <v>5.833333333333333</v>
      </c>
      <c r="AY286">
        <v>903</v>
      </c>
      <c r="BA286">
        <v>746</v>
      </c>
      <c r="BB286">
        <v>769</v>
      </c>
      <c r="BC286">
        <v>10.6</v>
      </c>
      <c r="BD286">
        <v>282</v>
      </c>
      <c r="BF286" t="s">
        <v>98</v>
      </c>
    </row>
    <row r="287" spans="1:58" x14ac:dyDescent="0.45">
      <c r="A287">
        <v>10286</v>
      </c>
      <c r="B287">
        <v>1</v>
      </c>
      <c r="C287">
        <v>61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35</v>
      </c>
      <c r="L287">
        <v>0</v>
      </c>
      <c r="M287">
        <v>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20</v>
      </c>
      <c r="Y287">
        <v>89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950</v>
      </c>
      <c r="AF287">
        <v>2</v>
      </c>
      <c r="AG287">
        <v>1</v>
      </c>
      <c r="AH287">
        <v>0</v>
      </c>
      <c r="AI287">
        <v>0</v>
      </c>
      <c r="AJ287">
        <v>1</v>
      </c>
      <c r="AK287">
        <f>0.5*AY290</f>
        <v>457.59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9.8000000000000007</v>
      </c>
      <c r="AX287">
        <v>1.3333333333333333</v>
      </c>
      <c r="AY287">
        <v>898.8</v>
      </c>
      <c r="BB287">
        <v>680</v>
      </c>
      <c r="BC287">
        <v>13.62</v>
      </c>
      <c r="BF287" t="s">
        <v>99</v>
      </c>
    </row>
    <row r="288" spans="1:58" x14ac:dyDescent="0.45">
      <c r="A288">
        <v>10287</v>
      </c>
      <c r="B288">
        <v>1</v>
      </c>
      <c r="C288">
        <v>61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35</v>
      </c>
      <c r="L288">
        <v>0</v>
      </c>
      <c r="M288">
        <v>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20</v>
      </c>
      <c r="Y288">
        <v>89</v>
      </c>
      <c r="Z288">
        <v>0</v>
      </c>
      <c r="AA288">
        <v>1</v>
      </c>
      <c r="AB288">
        <v>0</v>
      </c>
      <c r="AC288">
        <v>0</v>
      </c>
      <c r="AD288">
        <v>1</v>
      </c>
      <c r="AE288">
        <v>950</v>
      </c>
      <c r="AF288">
        <v>2</v>
      </c>
      <c r="AG288">
        <v>1</v>
      </c>
      <c r="AH288">
        <v>0</v>
      </c>
      <c r="AI288">
        <v>0</v>
      </c>
      <c r="AJ288">
        <v>1</v>
      </c>
      <c r="AK288">
        <v>250</v>
      </c>
      <c r="AL288">
        <v>2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9.8000000000000007</v>
      </c>
      <c r="AX288">
        <v>1.3333333333333333</v>
      </c>
      <c r="AY288">
        <v>898.8</v>
      </c>
      <c r="BB288">
        <v>830</v>
      </c>
      <c r="BC288">
        <v>6.5</v>
      </c>
      <c r="BE288" t="s">
        <v>251</v>
      </c>
      <c r="BF288" t="s">
        <v>100</v>
      </c>
    </row>
    <row r="289" spans="1:58" x14ac:dyDescent="0.45">
      <c r="A289">
        <v>10288</v>
      </c>
      <c r="B289">
        <v>1</v>
      </c>
      <c r="C289">
        <v>61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35</v>
      </c>
      <c r="L289">
        <v>0</v>
      </c>
      <c r="M289">
        <v>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20</v>
      </c>
      <c r="Y289">
        <v>89</v>
      </c>
      <c r="Z289">
        <v>0</v>
      </c>
      <c r="AA289">
        <v>1</v>
      </c>
      <c r="AB289">
        <v>0</v>
      </c>
      <c r="AC289">
        <v>0</v>
      </c>
      <c r="AD289">
        <v>1</v>
      </c>
      <c r="AE289">
        <v>950</v>
      </c>
      <c r="AF289">
        <v>2</v>
      </c>
      <c r="AG289">
        <v>1</v>
      </c>
      <c r="AH289">
        <v>0</v>
      </c>
      <c r="AI289">
        <v>0</v>
      </c>
      <c r="AJ289">
        <v>1</v>
      </c>
      <c r="AK289">
        <v>300</v>
      </c>
      <c r="AL289">
        <v>2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9.8000000000000007</v>
      </c>
      <c r="AX289">
        <v>1.3333333333333333</v>
      </c>
      <c r="AY289">
        <v>898.8</v>
      </c>
      <c r="BB289">
        <v>1000</v>
      </c>
      <c r="BC289">
        <v>8.9499999999999993</v>
      </c>
      <c r="BE289" t="s">
        <v>251</v>
      </c>
      <c r="BF289" t="s">
        <v>101</v>
      </c>
    </row>
    <row r="290" spans="1:58" x14ac:dyDescent="0.45">
      <c r="A290">
        <v>10289</v>
      </c>
      <c r="B290">
        <v>1</v>
      </c>
      <c r="C290">
        <v>57.1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35</v>
      </c>
      <c r="L290">
        <v>0</v>
      </c>
      <c r="M290">
        <v>7.9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20</v>
      </c>
      <c r="Y290">
        <v>89</v>
      </c>
      <c r="Z290">
        <v>0</v>
      </c>
      <c r="AA290">
        <v>1</v>
      </c>
      <c r="AB290">
        <v>0</v>
      </c>
      <c r="AC290">
        <v>0</v>
      </c>
      <c r="AD290">
        <v>1</v>
      </c>
      <c r="AE290">
        <v>950</v>
      </c>
      <c r="AF290">
        <v>2</v>
      </c>
      <c r="AG290">
        <v>1</v>
      </c>
      <c r="AH290">
        <v>0</v>
      </c>
      <c r="AI290">
        <v>0</v>
      </c>
      <c r="AJ290">
        <v>1</v>
      </c>
      <c r="AK290">
        <f>0.5*AY293</f>
        <v>445.2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9.8000000000000007</v>
      </c>
      <c r="AX290">
        <v>2.6333333333333333</v>
      </c>
      <c r="AY290">
        <v>915.18</v>
      </c>
      <c r="BB290">
        <v>600</v>
      </c>
      <c r="BC290">
        <v>13.59</v>
      </c>
      <c r="BF290" t="s">
        <v>102</v>
      </c>
    </row>
    <row r="291" spans="1:58" x14ac:dyDescent="0.45">
      <c r="A291">
        <v>10290</v>
      </c>
      <c r="B291">
        <v>1</v>
      </c>
      <c r="C291">
        <v>57.1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35</v>
      </c>
      <c r="L291">
        <v>0</v>
      </c>
      <c r="M291">
        <v>7.9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20</v>
      </c>
      <c r="Y291">
        <v>89</v>
      </c>
      <c r="Z291">
        <v>0</v>
      </c>
      <c r="AA291">
        <v>1</v>
      </c>
      <c r="AB291">
        <v>0</v>
      </c>
      <c r="AC291">
        <v>0</v>
      </c>
      <c r="AD291">
        <v>1</v>
      </c>
      <c r="AE291">
        <v>950</v>
      </c>
      <c r="AF291">
        <v>2</v>
      </c>
      <c r="AG291">
        <v>1</v>
      </c>
      <c r="AH291">
        <v>0</v>
      </c>
      <c r="AI291">
        <v>0</v>
      </c>
      <c r="AJ291">
        <v>1</v>
      </c>
      <c r="AK291">
        <v>250</v>
      </c>
      <c r="AL291">
        <v>2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9.8000000000000007</v>
      </c>
      <c r="AX291">
        <v>2.6333333333333333</v>
      </c>
      <c r="AY291">
        <v>915.18</v>
      </c>
      <c r="BB291">
        <v>670</v>
      </c>
      <c r="BC291">
        <v>15.05</v>
      </c>
      <c r="BF291" t="s">
        <v>103</v>
      </c>
    </row>
    <row r="292" spans="1:58" x14ac:dyDescent="0.45">
      <c r="A292">
        <v>10291</v>
      </c>
      <c r="B292">
        <v>1</v>
      </c>
      <c r="C292">
        <v>57.1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35</v>
      </c>
      <c r="L292">
        <v>0</v>
      </c>
      <c r="M292">
        <v>7.9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20</v>
      </c>
      <c r="Y292">
        <v>89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950</v>
      </c>
      <c r="AF292">
        <v>2</v>
      </c>
      <c r="AG292">
        <v>1</v>
      </c>
      <c r="AH292">
        <v>0</v>
      </c>
      <c r="AI292">
        <v>0</v>
      </c>
      <c r="AJ292">
        <v>1</v>
      </c>
      <c r="AK292">
        <v>300</v>
      </c>
      <c r="AL292">
        <v>2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9.8000000000000007</v>
      </c>
      <c r="AX292">
        <v>2.6333333333333333</v>
      </c>
      <c r="AY292">
        <v>915.18</v>
      </c>
      <c r="BB292">
        <v>710</v>
      </c>
      <c r="BC292">
        <v>12.26</v>
      </c>
      <c r="BF292" t="s">
        <v>104</v>
      </c>
    </row>
    <row r="293" spans="1:58" x14ac:dyDescent="0.45">
      <c r="A293">
        <v>10292</v>
      </c>
      <c r="B293">
        <v>1</v>
      </c>
      <c r="C293">
        <v>66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32</v>
      </c>
      <c r="L293">
        <v>0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950</v>
      </c>
      <c r="AF293">
        <v>0.5</v>
      </c>
      <c r="AG293">
        <v>1</v>
      </c>
      <c r="AH293">
        <v>0</v>
      </c>
      <c r="AI293">
        <v>0</v>
      </c>
      <c r="AJ293">
        <v>1</v>
      </c>
      <c r="AK293">
        <f>0.5*AY296</f>
        <v>464.1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8.9600000000000009</v>
      </c>
      <c r="AX293">
        <v>0.66666666666666663</v>
      </c>
      <c r="AY293">
        <v>890.4</v>
      </c>
      <c r="BA293">
        <v>665</v>
      </c>
      <c r="BB293">
        <v>780</v>
      </c>
      <c r="BC293">
        <v>32</v>
      </c>
      <c r="BD293">
        <v>60</v>
      </c>
      <c r="BF293" t="s">
        <v>105</v>
      </c>
    </row>
    <row r="294" spans="1:58" x14ac:dyDescent="0.45">
      <c r="A294">
        <v>10293</v>
      </c>
      <c r="B294">
        <v>1</v>
      </c>
      <c r="C294">
        <v>66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32</v>
      </c>
      <c r="L294">
        <v>0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950</v>
      </c>
      <c r="AF294">
        <v>0.5</v>
      </c>
      <c r="AG294">
        <v>1</v>
      </c>
      <c r="AH294">
        <v>0</v>
      </c>
      <c r="AI294">
        <v>0</v>
      </c>
      <c r="AJ294">
        <v>1</v>
      </c>
      <c r="AK294">
        <v>500</v>
      </c>
      <c r="AL294">
        <v>6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8.9600000000000009</v>
      </c>
      <c r="AX294">
        <v>0.66666666666666663</v>
      </c>
      <c r="AY294">
        <v>890.4</v>
      </c>
      <c r="BA294">
        <v>960</v>
      </c>
      <c r="BB294">
        <v>1070</v>
      </c>
      <c r="BC294">
        <v>8</v>
      </c>
      <c r="BD294">
        <v>82</v>
      </c>
      <c r="BF294" t="s">
        <v>106</v>
      </c>
    </row>
    <row r="295" spans="1:58" x14ac:dyDescent="0.45">
      <c r="A295">
        <v>10294</v>
      </c>
      <c r="B295">
        <v>1</v>
      </c>
      <c r="C295">
        <v>66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32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950</v>
      </c>
      <c r="AF295">
        <v>0.5</v>
      </c>
      <c r="AG295">
        <v>1</v>
      </c>
      <c r="AH295">
        <v>0</v>
      </c>
      <c r="AI295">
        <v>0</v>
      </c>
      <c r="AJ295">
        <v>1</v>
      </c>
      <c r="AK295">
        <v>600</v>
      </c>
      <c r="AL295">
        <v>6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8.9600000000000009</v>
      </c>
      <c r="AX295">
        <v>0.66666666666666663</v>
      </c>
      <c r="AY295">
        <v>890.4</v>
      </c>
      <c r="BA295">
        <v>560</v>
      </c>
      <c r="BB295">
        <v>685</v>
      </c>
      <c r="BC295">
        <v>7</v>
      </c>
      <c r="BF295" t="s">
        <v>107</v>
      </c>
    </row>
    <row r="296" spans="1:58" x14ac:dyDescent="0.45">
      <c r="A296">
        <v>10295</v>
      </c>
      <c r="B296">
        <v>1</v>
      </c>
      <c r="C296">
        <v>62.8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26.2</v>
      </c>
      <c r="L296">
        <v>0</v>
      </c>
      <c r="M296">
        <v>11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J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7.3360000000000003</v>
      </c>
      <c r="AX296">
        <v>3.6666666666666665</v>
      </c>
      <c r="AY296">
        <v>928.2</v>
      </c>
      <c r="BA296">
        <v>397</v>
      </c>
      <c r="BB296">
        <v>447</v>
      </c>
      <c r="BC296">
        <v>16.899999999999999</v>
      </c>
      <c r="BF296" t="s">
        <v>108</v>
      </c>
    </row>
    <row r="297" spans="1:58" x14ac:dyDescent="0.45">
      <c r="A297">
        <v>10296</v>
      </c>
      <c r="B297">
        <v>1</v>
      </c>
      <c r="C297">
        <v>62.8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26.2</v>
      </c>
      <c r="L297">
        <v>0</v>
      </c>
      <c r="M297">
        <v>11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90</v>
      </c>
      <c r="Z297">
        <v>0</v>
      </c>
      <c r="AA297">
        <v>1</v>
      </c>
      <c r="AB297">
        <v>0</v>
      </c>
      <c r="AC297">
        <v>0</v>
      </c>
      <c r="AD297">
        <v>0</v>
      </c>
      <c r="AJ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7.3360000000000003</v>
      </c>
      <c r="AX297">
        <v>3.6666666666666665</v>
      </c>
      <c r="AY297">
        <v>928.2</v>
      </c>
      <c r="BA297">
        <v>641</v>
      </c>
      <c r="BB297">
        <v>855</v>
      </c>
      <c r="BC297">
        <v>6.3</v>
      </c>
      <c r="BF297" t="s">
        <v>108</v>
      </c>
    </row>
    <row r="298" spans="1:58" x14ac:dyDescent="0.45">
      <c r="A298">
        <v>10297</v>
      </c>
      <c r="B298">
        <v>1</v>
      </c>
      <c r="C298">
        <v>62.8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26.2</v>
      </c>
      <c r="L298">
        <v>0</v>
      </c>
      <c r="M298">
        <v>11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J298">
        <v>1</v>
      </c>
      <c r="AK298">
        <v>400</v>
      </c>
      <c r="AL298">
        <v>0.33333333300000001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7.3360000000000003</v>
      </c>
      <c r="AX298">
        <v>3.6666666666666665</v>
      </c>
      <c r="AY298">
        <v>928.2</v>
      </c>
      <c r="BA298">
        <v>934</v>
      </c>
      <c r="BB298">
        <v>1049</v>
      </c>
      <c r="BC298">
        <v>3.7</v>
      </c>
      <c r="BF298" t="s">
        <v>108</v>
      </c>
    </row>
    <row r="299" spans="1:58" x14ac:dyDescent="0.45">
      <c r="A299">
        <v>10298</v>
      </c>
      <c r="B299">
        <v>1</v>
      </c>
      <c r="C299">
        <v>62.8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26.2</v>
      </c>
      <c r="L299">
        <v>0</v>
      </c>
      <c r="M299">
        <v>11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J299">
        <v>1</v>
      </c>
      <c r="AK299">
        <v>450</v>
      </c>
      <c r="AL299">
        <v>0.33333333300000001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7.3360000000000003</v>
      </c>
      <c r="AX299">
        <v>3.6666666666666665</v>
      </c>
      <c r="AY299">
        <v>928.2</v>
      </c>
      <c r="BA299">
        <v>786</v>
      </c>
      <c r="BB299">
        <v>799</v>
      </c>
      <c r="BC299">
        <v>4</v>
      </c>
      <c r="BF299" t="s">
        <v>108</v>
      </c>
    </row>
    <row r="300" spans="1:58" x14ac:dyDescent="0.45">
      <c r="A300">
        <v>10299</v>
      </c>
      <c r="B300">
        <v>1</v>
      </c>
      <c r="C300">
        <v>62.8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26.2</v>
      </c>
      <c r="L300">
        <v>0</v>
      </c>
      <c r="M300">
        <v>11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950</v>
      </c>
      <c r="AF300">
        <v>1</v>
      </c>
      <c r="AG300">
        <v>1</v>
      </c>
      <c r="AH300">
        <v>0</v>
      </c>
      <c r="AI300">
        <v>0</v>
      </c>
      <c r="AJ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7.3360000000000003</v>
      </c>
      <c r="AX300">
        <v>3.6666666666666665</v>
      </c>
      <c r="AY300">
        <v>928.2</v>
      </c>
      <c r="BA300">
        <v>579</v>
      </c>
      <c r="BB300">
        <v>590</v>
      </c>
      <c r="BC300">
        <v>27.8</v>
      </c>
      <c r="BF300" t="s">
        <v>108</v>
      </c>
    </row>
    <row r="301" spans="1:58" x14ac:dyDescent="0.45">
      <c r="A301">
        <v>10300</v>
      </c>
      <c r="B301">
        <v>1</v>
      </c>
      <c r="C301">
        <v>62.8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26.2</v>
      </c>
      <c r="L301">
        <v>0</v>
      </c>
      <c r="M301">
        <v>11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950</v>
      </c>
      <c r="AF301">
        <v>1</v>
      </c>
      <c r="AG301">
        <v>1</v>
      </c>
      <c r="AH301">
        <v>0</v>
      </c>
      <c r="AI301">
        <v>0</v>
      </c>
      <c r="AJ301">
        <v>1</v>
      </c>
      <c r="AK301">
        <v>400</v>
      </c>
      <c r="AL301">
        <v>0.33333333300000001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7.3360000000000003</v>
      </c>
      <c r="AX301">
        <v>3.6666666666666665</v>
      </c>
      <c r="AY301">
        <v>928.2</v>
      </c>
      <c r="BA301">
        <v>543</v>
      </c>
      <c r="BB301">
        <v>576</v>
      </c>
      <c r="BC301">
        <v>19.5</v>
      </c>
      <c r="BF301" t="s">
        <v>108</v>
      </c>
    </row>
    <row r="302" spans="1:58" x14ac:dyDescent="0.45">
      <c r="A302">
        <v>10301</v>
      </c>
      <c r="B302">
        <v>1</v>
      </c>
      <c r="C302">
        <v>62.8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26.2</v>
      </c>
      <c r="L302">
        <v>0</v>
      </c>
      <c r="M302">
        <v>11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>
        <v>950</v>
      </c>
      <c r="AF302">
        <v>1</v>
      </c>
      <c r="AG302">
        <v>1</v>
      </c>
      <c r="AH302">
        <v>0</v>
      </c>
      <c r="AI302">
        <v>0</v>
      </c>
      <c r="AJ302">
        <v>1</v>
      </c>
      <c r="AK302">
        <v>450</v>
      </c>
      <c r="AL302">
        <v>0.33333333300000001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7.3360000000000003</v>
      </c>
      <c r="AX302">
        <v>3.6666666666666665</v>
      </c>
      <c r="AY302">
        <v>928.2</v>
      </c>
      <c r="BA302">
        <v>581</v>
      </c>
      <c r="BB302">
        <v>587</v>
      </c>
      <c r="BC302">
        <v>14.1</v>
      </c>
      <c r="BF302" t="s">
        <v>108</v>
      </c>
    </row>
    <row r="303" spans="1:58" x14ac:dyDescent="0.45">
      <c r="A303">
        <v>10302</v>
      </c>
      <c r="B303">
        <v>1</v>
      </c>
      <c r="C303">
        <v>79.239999999999995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19.79</v>
      </c>
      <c r="L303">
        <v>0</v>
      </c>
      <c r="M303">
        <v>0.97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Z303">
        <v>0</v>
      </c>
      <c r="AA303">
        <v>1</v>
      </c>
      <c r="AB303">
        <v>0</v>
      </c>
      <c r="AC303">
        <v>0</v>
      </c>
      <c r="AD303">
        <v>1</v>
      </c>
      <c r="AE303">
        <f t="shared" ref="AE303:AE309" si="2">AY303</f>
        <v>886.07399999999996</v>
      </c>
      <c r="AF303">
        <v>0</v>
      </c>
      <c r="AG303">
        <v>1</v>
      </c>
      <c r="AH303">
        <v>0</v>
      </c>
      <c r="AI303">
        <v>0</v>
      </c>
      <c r="AJ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5.5411999999999999</v>
      </c>
      <c r="AX303">
        <v>0.32333333333333331</v>
      </c>
      <c r="AY303">
        <v>886.07399999999996</v>
      </c>
      <c r="AZ303">
        <v>60</v>
      </c>
      <c r="BA303">
        <v>665</v>
      </c>
      <c r="BF303" t="s">
        <v>60</v>
      </c>
    </row>
    <row r="304" spans="1:58" x14ac:dyDescent="0.45">
      <c r="A304">
        <v>10303</v>
      </c>
      <c r="B304">
        <v>1</v>
      </c>
      <c r="C304">
        <v>75.64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22.36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f t="shared" si="2"/>
        <v>890.4</v>
      </c>
      <c r="AF304">
        <v>0</v>
      </c>
      <c r="AG304">
        <v>1</v>
      </c>
      <c r="AH304">
        <v>0</v>
      </c>
      <c r="AI304">
        <v>0</v>
      </c>
      <c r="AJ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6.2608000000000006</v>
      </c>
      <c r="AX304">
        <v>0.66666666666666663</v>
      </c>
      <c r="AY304">
        <v>890.4</v>
      </c>
      <c r="AZ304">
        <v>55</v>
      </c>
      <c r="BA304">
        <v>376</v>
      </c>
      <c r="BF304" t="s">
        <v>60</v>
      </c>
    </row>
    <row r="305" spans="1:58" x14ac:dyDescent="0.45">
      <c r="A305">
        <v>10304</v>
      </c>
      <c r="B305">
        <v>1</v>
      </c>
      <c r="C305">
        <v>72.91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23.02</v>
      </c>
      <c r="L305">
        <v>0</v>
      </c>
      <c r="M305">
        <v>4.07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Z305">
        <v>0</v>
      </c>
      <c r="AA305">
        <v>1</v>
      </c>
      <c r="AB305">
        <v>0</v>
      </c>
      <c r="AC305">
        <v>0</v>
      </c>
      <c r="AD305">
        <v>1</v>
      </c>
      <c r="AE305">
        <f t="shared" si="2"/>
        <v>899.09400000000005</v>
      </c>
      <c r="AF305">
        <v>0</v>
      </c>
      <c r="AG305">
        <v>1</v>
      </c>
      <c r="AH305">
        <v>0</v>
      </c>
      <c r="AI305">
        <v>0</v>
      </c>
      <c r="AJ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6.4456000000000007</v>
      </c>
      <c r="AX305">
        <v>1.3566666666666667</v>
      </c>
      <c r="AY305">
        <v>899.09400000000005</v>
      </c>
      <c r="AZ305">
        <v>61</v>
      </c>
      <c r="BA305">
        <v>444</v>
      </c>
      <c r="BF305" t="s">
        <v>60</v>
      </c>
    </row>
    <row r="306" spans="1:58" x14ac:dyDescent="0.45">
      <c r="A306">
        <v>10305</v>
      </c>
      <c r="B306">
        <v>1</v>
      </c>
      <c r="C306">
        <v>76.649999999999991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22.11</v>
      </c>
      <c r="L306">
        <v>0</v>
      </c>
      <c r="M306">
        <v>1.24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Z306">
        <v>0</v>
      </c>
      <c r="AA306">
        <v>1</v>
      </c>
      <c r="AB306">
        <v>0</v>
      </c>
      <c r="AC306">
        <v>0</v>
      </c>
      <c r="AD306">
        <v>1</v>
      </c>
      <c r="AE306">
        <f t="shared" si="2"/>
        <v>887.20799999999997</v>
      </c>
      <c r="AF306">
        <v>0</v>
      </c>
      <c r="AG306">
        <v>1</v>
      </c>
      <c r="AH306">
        <v>0</v>
      </c>
      <c r="AI306">
        <v>0</v>
      </c>
      <c r="AJ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6.1908000000000003</v>
      </c>
      <c r="AX306">
        <v>0.41333333333333333</v>
      </c>
      <c r="AY306">
        <v>887.20799999999997</v>
      </c>
      <c r="AZ306">
        <v>65.8</v>
      </c>
      <c r="BA306">
        <v>237</v>
      </c>
      <c r="BF306" t="s">
        <v>60</v>
      </c>
    </row>
    <row r="307" spans="1:58" x14ac:dyDescent="0.45">
      <c r="A307">
        <v>10306</v>
      </c>
      <c r="B307">
        <v>1</v>
      </c>
      <c r="C307">
        <v>74.95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22.53</v>
      </c>
      <c r="L307">
        <v>0</v>
      </c>
      <c r="M307">
        <v>2.52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f t="shared" si="2"/>
        <v>892.58399999999995</v>
      </c>
      <c r="AF307">
        <v>0</v>
      </c>
      <c r="AG307">
        <v>1</v>
      </c>
      <c r="AH307">
        <v>0</v>
      </c>
      <c r="AI307">
        <v>0</v>
      </c>
      <c r="AJ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6.3084000000000007</v>
      </c>
      <c r="AX307">
        <v>0.84</v>
      </c>
      <c r="AY307">
        <v>892.58399999999995</v>
      </c>
      <c r="AZ307">
        <v>68.2</v>
      </c>
      <c r="BA307">
        <v>216</v>
      </c>
      <c r="BF307" t="s">
        <v>60</v>
      </c>
    </row>
    <row r="308" spans="1:58" x14ac:dyDescent="0.45">
      <c r="A308">
        <v>10307</v>
      </c>
      <c r="B308">
        <v>1</v>
      </c>
      <c r="C308">
        <v>73.2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22.95</v>
      </c>
      <c r="L308">
        <v>0</v>
      </c>
      <c r="M308">
        <v>3.85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f t="shared" si="2"/>
        <v>898.17</v>
      </c>
      <c r="AF308">
        <v>0</v>
      </c>
      <c r="AG308">
        <v>1</v>
      </c>
      <c r="AH308">
        <v>0</v>
      </c>
      <c r="AI308">
        <v>0</v>
      </c>
      <c r="AJ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6.4260000000000002</v>
      </c>
      <c r="AX308">
        <v>1.2833333333333334</v>
      </c>
      <c r="AY308">
        <v>898.17</v>
      </c>
      <c r="AZ308">
        <v>86.4</v>
      </c>
      <c r="BA308">
        <v>262</v>
      </c>
      <c r="BF308" t="s">
        <v>60</v>
      </c>
    </row>
    <row r="309" spans="1:58" x14ac:dyDescent="0.45">
      <c r="A309">
        <v>10308</v>
      </c>
      <c r="B309">
        <v>1</v>
      </c>
      <c r="C309">
        <v>77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22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Z309">
        <v>0</v>
      </c>
      <c r="AA309">
        <v>1</v>
      </c>
      <c r="AB309">
        <v>0</v>
      </c>
      <c r="AC309">
        <v>0</v>
      </c>
      <c r="AD309">
        <v>1</v>
      </c>
      <c r="AE309">
        <f t="shared" si="2"/>
        <v>886.2</v>
      </c>
      <c r="AF309">
        <v>0</v>
      </c>
      <c r="AG309">
        <v>1</v>
      </c>
      <c r="AH309">
        <v>0</v>
      </c>
      <c r="AI309">
        <v>0</v>
      </c>
      <c r="AJ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6.16</v>
      </c>
      <c r="AX309">
        <v>0.33333333333333331</v>
      </c>
      <c r="AY309">
        <v>886.2</v>
      </c>
      <c r="AZ309">
        <v>65</v>
      </c>
      <c r="BA309">
        <v>503</v>
      </c>
      <c r="BE309" t="s">
        <v>252</v>
      </c>
      <c r="BF309" t="s">
        <v>60</v>
      </c>
    </row>
    <row r="310" spans="1:58" x14ac:dyDescent="0.45">
      <c r="A310">
        <v>10309</v>
      </c>
      <c r="B310">
        <v>1</v>
      </c>
      <c r="C310">
        <v>77.78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16.66</v>
      </c>
      <c r="L310">
        <v>0</v>
      </c>
      <c r="M310">
        <v>5.56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J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4.6648000000000005</v>
      </c>
      <c r="AX310">
        <v>1.8533333333333333</v>
      </c>
      <c r="AY310">
        <v>905.35199999999998</v>
      </c>
      <c r="AZ310">
        <v>56</v>
      </c>
      <c r="BE310" t="s">
        <v>252</v>
      </c>
    </row>
    <row r="311" spans="1:58" x14ac:dyDescent="0.45">
      <c r="A311">
        <v>10310</v>
      </c>
      <c r="B311">
        <v>1</v>
      </c>
      <c r="C311">
        <v>62.8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26.2</v>
      </c>
      <c r="L311">
        <v>0</v>
      </c>
      <c r="M311">
        <v>11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J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7.3360000000000003</v>
      </c>
      <c r="AX311">
        <v>3.6666666666666665</v>
      </c>
      <c r="AY311">
        <v>928.2</v>
      </c>
      <c r="AZ311">
        <v>56</v>
      </c>
      <c r="BE311" t="s">
        <v>253</v>
      </c>
    </row>
    <row r="312" spans="1:58" x14ac:dyDescent="0.45">
      <c r="A312">
        <v>10311</v>
      </c>
      <c r="B312">
        <v>1</v>
      </c>
      <c r="C312">
        <v>80.7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18.34</v>
      </c>
      <c r="L312">
        <v>0</v>
      </c>
      <c r="M312">
        <v>0.96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J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5.1352000000000002</v>
      </c>
      <c r="AX312">
        <v>0.32</v>
      </c>
      <c r="AY312">
        <v>886.03200000000004</v>
      </c>
      <c r="AZ312">
        <v>77.400000000000006</v>
      </c>
      <c r="BE312" t="s">
        <v>254</v>
      </c>
    </row>
    <row r="313" spans="1:58" x14ac:dyDescent="0.45">
      <c r="A313">
        <v>10312</v>
      </c>
      <c r="B313">
        <v>1</v>
      </c>
      <c r="C313">
        <v>79.45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18.61</v>
      </c>
      <c r="L313">
        <v>0</v>
      </c>
      <c r="M313">
        <v>1.94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J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5.2108000000000008</v>
      </c>
      <c r="AX313">
        <v>0.64666666666666661</v>
      </c>
      <c r="AY313">
        <v>890.14800000000002</v>
      </c>
      <c r="AZ313">
        <v>72.2</v>
      </c>
      <c r="BE313" t="s">
        <v>255</v>
      </c>
    </row>
    <row r="314" spans="1:58" x14ac:dyDescent="0.45">
      <c r="A314">
        <v>10313</v>
      </c>
      <c r="B314">
        <v>1</v>
      </c>
      <c r="C314">
        <v>78.17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18.88</v>
      </c>
      <c r="L314">
        <v>0</v>
      </c>
      <c r="M314">
        <v>2.95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J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5.2864000000000004</v>
      </c>
      <c r="AX314">
        <v>0.98333333333333339</v>
      </c>
      <c r="AY314">
        <v>894.39</v>
      </c>
      <c r="AZ314">
        <v>67</v>
      </c>
      <c r="BE314" t="s">
        <v>256</v>
      </c>
    </row>
    <row r="315" spans="1:58" x14ac:dyDescent="0.45">
      <c r="A315">
        <v>10314</v>
      </c>
      <c r="B315">
        <v>1</v>
      </c>
      <c r="C315">
        <v>76.84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19.16</v>
      </c>
      <c r="L315">
        <v>0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J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5.3648000000000007</v>
      </c>
      <c r="AX315">
        <v>1.3333333333333333</v>
      </c>
      <c r="AY315">
        <v>898.8</v>
      </c>
      <c r="AZ315">
        <v>74</v>
      </c>
      <c r="BE315" t="s">
        <v>257</v>
      </c>
    </row>
    <row r="316" spans="1:58" x14ac:dyDescent="0.45">
      <c r="A316">
        <v>10315</v>
      </c>
      <c r="B316">
        <v>1</v>
      </c>
      <c r="C316">
        <v>75.48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19.45</v>
      </c>
      <c r="L316">
        <v>0</v>
      </c>
      <c r="M316">
        <v>5.07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J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5.4460000000000006</v>
      </c>
      <c r="AX316">
        <v>1.6900000000000002</v>
      </c>
      <c r="AY316">
        <v>903.29399999999998</v>
      </c>
      <c r="AZ316">
        <v>92</v>
      </c>
      <c r="BE316" t="s">
        <v>258</v>
      </c>
    </row>
    <row r="317" spans="1:58" x14ac:dyDescent="0.45">
      <c r="A317">
        <v>10316</v>
      </c>
      <c r="B317">
        <v>1</v>
      </c>
      <c r="C317">
        <v>75.64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22.36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J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6.2608000000000006</v>
      </c>
      <c r="AX317">
        <v>0.66666666666666663</v>
      </c>
      <c r="AY317">
        <v>890.4</v>
      </c>
      <c r="AZ317">
        <v>54.86</v>
      </c>
      <c r="BE317" t="s">
        <v>259</v>
      </c>
    </row>
    <row r="318" spans="1:58" x14ac:dyDescent="0.45">
      <c r="A318">
        <v>10317</v>
      </c>
      <c r="B318">
        <v>1</v>
      </c>
      <c r="C318">
        <v>45.74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49.72</v>
      </c>
      <c r="L318">
        <v>0</v>
      </c>
      <c r="M318">
        <v>4.54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J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13.921600000000002</v>
      </c>
      <c r="AX318">
        <v>1.5133333333333334</v>
      </c>
      <c r="AY318">
        <v>901.06799999999998</v>
      </c>
      <c r="AZ318">
        <v>63.55</v>
      </c>
      <c r="BE318" t="s">
        <v>260</v>
      </c>
    </row>
    <row r="319" spans="1:58" x14ac:dyDescent="0.45">
      <c r="A319">
        <v>10318</v>
      </c>
      <c r="B319">
        <v>1</v>
      </c>
      <c r="C319">
        <v>78.709999999999994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15.84</v>
      </c>
      <c r="L319">
        <v>0</v>
      </c>
      <c r="M319">
        <v>5.45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J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4.4352</v>
      </c>
      <c r="AX319">
        <v>1.8166666666666667</v>
      </c>
      <c r="AY319">
        <v>904.89</v>
      </c>
      <c r="AZ319">
        <v>55</v>
      </c>
      <c r="BE319" t="s">
        <v>261</v>
      </c>
    </row>
    <row r="320" spans="1:58" x14ac:dyDescent="0.45">
      <c r="A320">
        <v>10319</v>
      </c>
      <c r="B320">
        <v>1</v>
      </c>
      <c r="C320">
        <v>79.349999999999994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15.73</v>
      </c>
      <c r="L320">
        <v>0</v>
      </c>
      <c r="M320">
        <v>4.92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J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4.4044000000000008</v>
      </c>
      <c r="AX320">
        <v>1.64</v>
      </c>
      <c r="AY320">
        <v>902.66399999999999</v>
      </c>
      <c r="AZ320">
        <v>72</v>
      </c>
    </row>
    <row r="321" spans="1:58" x14ac:dyDescent="0.45">
      <c r="A321">
        <v>10320</v>
      </c>
      <c r="B321">
        <v>1</v>
      </c>
      <c r="C321">
        <v>80.62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15.5</v>
      </c>
      <c r="L321">
        <v>0</v>
      </c>
      <c r="M321">
        <v>3.88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J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4.3400000000000007</v>
      </c>
      <c r="AX321">
        <v>1.2933333333333332</v>
      </c>
      <c r="AY321">
        <v>898.29600000000005</v>
      </c>
      <c r="AZ321">
        <v>52</v>
      </c>
    </row>
    <row r="322" spans="1:58" x14ac:dyDescent="0.45">
      <c r="A322">
        <v>10321</v>
      </c>
      <c r="B322">
        <v>1</v>
      </c>
      <c r="C322">
        <v>79.989999999999995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15.61</v>
      </c>
      <c r="L322">
        <v>0</v>
      </c>
      <c r="M322">
        <v>4.4000000000000004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J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4.3708</v>
      </c>
      <c r="AX322">
        <v>1.4666666666666668</v>
      </c>
      <c r="AY322">
        <v>900.48</v>
      </c>
      <c r="AZ322">
        <v>53</v>
      </c>
    </row>
    <row r="323" spans="1:58" x14ac:dyDescent="0.45">
      <c r="A323">
        <v>10322</v>
      </c>
      <c r="B323">
        <v>1</v>
      </c>
      <c r="C323">
        <v>72.91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23.03</v>
      </c>
      <c r="L323">
        <v>0</v>
      </c>
      <c r="M323">
        <v>4.0599999999999996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J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6.4484000000000012</v>
      </c>
      <c r="AX323">
        <v>1.3533333333333333</v>
      </c>
      <c r="AY323">
        <v>899.05200000000002</v>
      </c>
      <c r="AZ323">
        <v>61</v>
      </c>
    </row>
    <row r="324" spans="1:58" x14ac:dyDescent="0.45">
      <c r="A324">
        <v>10323</v>
      </c>
      <c r="B324">
        <v>1</v>
      </c>
      <c r="C324">
        <v>76.98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22.03</v>
      </c>
      <c r="L324">
        <v>0</v>
      </c>
      <c r="M324">
        <v>0.99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J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6.168400000000001</v>
      </c>
      <c r="AX324">
        <v>0.33</v>
      </c>
      <c r="AY324">
        <v>886.15800000000002</v>
      </c>
      <c r="AZ324">
        <v>51</v>
      </c>
    </row>
    <row r="325" spans="1:58" x14ac:dyDescent="0.45">
      <c r="A325">
        <v>10324</v>
      </c>
      <c r="B325">
        <v>1</v>
      </c>
      <c r="C325">
        <v>90</v>
      </c>
      <c r="D325">
        <v>6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J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-3.32</v>
      </c>
      <c r="AX325">
        <v>6</v>
      </c>
      <c r="AY325">
        <v>847.4</v>
      </c>
      <c r="AZ325">
        <v>113</v>
      </c>
      <c r="BA325">
        <v>999</v>
      </c>
      <c r="BB325">
        <v>1173</v>
      </c>
      <c r="BC325">
        <v>6</v>
      </c>
      <c r="BF325" t="s">
        <v>115</v>
      </c>
    </row>
    <row r="326" spans="1:58" x14ac:dyDescent="0.45">
      <c r="A326">
        <v>10325</v>
      </c>
      <c r="B326">
        <v>0</v>
      </c>
      <c r="C326">
        <v>90</v>
      </c>
      <c r="D326">
        <v>5.9</v>
      </c>
      <c r="E326">
        <v>4.0999999999999996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Z326">
        <v>1</v>
      </c>
      <c r="AA326">
        <v>0</v>
      </c>
      <c r="AB326">
        <v>0</v>
      </c>
      <c r="AC326">
        <v>0</v>
      </c>
      <c r="AD326">
        <v>1</v>
      </c>
      <c r="AE326">
        <v>700</v>
      </c>
      <c r="AF326">
        <v>4</v>
      </c>
      <c r="AJ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-3.1530000000000005</v>
      </c>
      <c r="AX326">
        <v>5.9</v>
      </c>
      <c r="AY326">
        <v>846.01</v>
      </c>
      <c r="BF326" t="s">
        <v>116</v>
      </c>
    </row>
    <row r="327" spans="1:58" x14ac:dyDescent="0.45">
      <c r="A327">
        <v>10326</v>
      </c>
      <c r="B327">
        <v>0</v>
      </c>
      <c r="C327">
        <v>90</v>
      </c>
      <c r="D327">
        <v>5.9</v>
      </c>
      <c r="E327">
        <v>4.0999999999999996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700</v>
      </c>
      <c r="AF327">
        <v>4</v>
      </c>
      <c r="AJ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-3.1530000000000005</v>
      </c>
      <c r="AX327">
        <v>5.9</v>
      </c>
      <c r="AY327">
        <v>846.01</v>
      </c>
      <c r="BF327" t="s">
        <v>116</v>
      </c>
    </row>
    <row r="328" spans="1:58" x14ac:dyDescent="0.45">
      <c r="A328">
        <v>10327</v>
      </c>
      <c r="B328">
        <v>0</v>
      </c>
      <c r="C328">
        <v>90</v>
      </c>
      <c r="D328">
        <v>5.9</v>
      </c>
      <c r="E328">
        <v>4.0999999999999996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Z328">
        <v>1</v>
      </c>
      <c r="AA328">
        <v>0</v>
      </c>
      <c r="AB328">
        <v>0</v>
      </c>
      <c r="AC328">
        <v>0</v>
      </c>
      <c r="AD328">
        <v>1</v>
      </c>
      <c r="AE328">
        <v>700</v>
      </c>
      <c r="AF328">
        <v>4</v>
      </c>
      <c r="AJ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-3.1530000000000005</v>
      </c>
      <c r="AX328">
        <v>5.9</v>
      </c>
      <c r="AY328">
        <v>846.01</v>
      </c>
      <c r="BF328" t="s">
        <v>116</v>
      </c>
    </row>
    <row r="329" spans="1:58" x14ac:dyDescent="0.45">
      <c r="A329">
        <v>10328</v>
      </c>
      <c r="B329">
        <v>1</v>
      </c>
      <c r="C329">
        <v>72.959999999999994</v>
      </c>
      <c r="D329">
        <v>5.2</v>
      </c>
      <c r="E329">
        <v>21.67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Z329">
        <v>1</v>
      </c>
      <c r="AA329">
        <v>0</v>
      </c>
      <c r="AB329">
        <v>0</v>
      </c>
      <c r="AC329">
        <v>0</v>
      </c>
      <c r="AD329">
        <v>1</v>
      </c>
      <c r="AE329">
        <v>900</v>
      </c>
      <c r="AF329">
        <v>0.5</v>
      </c>
      <c r="AG329">
        <v>1</v>
      </c>
      <c r="AH329">
        <v>0</v>
      </c>
      <c r="AI329">
        <v>0</v>
      </c>
      <c r="AJ329">
        <v>1</v>
      </c>
      <c r="AK329">
        <v>600</v>
      </c>
      <c r="AL329">
        <v>4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9.3189000000000028</v>
      </c>
      <c r="AX329">
        <v>5.2</v>
      </c>
      <c r="AY329">
        <v>637.21399999999994</v>
      </c>
      <c r="BA329">
        <v>956.67</v>
      </c>
      <c r="BB329">
        <v>1076.67</v>
      </c>
      <c r="BC329">
        <v>19.5</v>
      </c>
      <c r="BF329" t="s">
        <v>108</v>
      </c>
    </row>
    <row r="330" spans="1:58" x14ac:dyDescent="0.45">
      <c r="A330">
        <v>10329</v>
      </c>
      <c r="B330">
        <v>1</v>
      </c>
      <c r="C330">
        <v>72.959999999999994</v>
      </c>
      <c r="D330">
        <v>5.2</v>
      </c>
      <c r="E330">
        <v>21.67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>
        <v>900</v>
      </c>
      <c r="AF330">
        <v>0.5</v>
      </c>
      <c r="AG330">
        <v>1</v>
      </c>
      <c r="AH330">
        <v>0</v>
      </c>
      <c r="AI330">
        <v>0</v>
      </c>
      <c r="AJ330">
        <v>1</v>
      </c>
      <c r="AK330">
        <v>700</v>
      </c>
      <c r="AL330">
        <v>4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9.3189000000000028</v>
      </c>
      <c r="AX330">
        <v>5.2</v>
      </c>
      <c r="AY330">
        <v>637.21399999999994</v>
      </c>
      <c r="BA330">
        <v>816.67</v>
      </c>
      <c r="BB330">
        <v>875</v>
      </c>
      <c r="BC330">
        <v>15.83</v>
      </c>
      <c r="BF330" t="s">
        <v>108</v>
      </c>
    </row>
    <row r="331" spans="1:58" x14ac:dyDescent="0.45">
      <c r="A331">
        <v>10330</v>
      </c>
      <c r="B331">
        <v>1</v>
      </c>
      <c r="C331">
        <v>86.2</v>
      </c>
      <c r="D331">
        <v>10.199999999999999</v>
      </c>
      <c r="E331">
        <v>3.5999999999999996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f>AY331</f>
        <v>860.93999999999994</v>
      </c>
      <c r="AF331">
        <v>0</v>
      </c>
      <c r="AG331">
        <v>0</v>
      </c>
      <c r="AH331">
        <v>1</v>
      </c>
      <c r="AI331">
        <v>0</v>
      </c>
      <c r="AJ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-7.7879999999999994</v>
      </c>
      <c r="AX331">
        <v>10.199999999999999</v>
      </c>
      <c r="AY331">
        <v>860.93999999999994</v>
      </c>
      <c r="AZ331">
        <v>110</v>
      </c>
      <c r="BA331">
        <v>760</v>
      </c>
      <c r="BF331" t="s">
        <v>60</v>
      </c>
    </row>
    <row r="332" spans="1:58" x14ac:dyDescent="0.45">
      <c r="A332">
        <v>10331</v>
      </c>
      <c r="B332">
        <v>1</v>
      </c>
      <c r="C332">
        <v>89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8</v>
      </c>
      <c r="M332">
        <v>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20</v>
      </c>
      <c r="Y332">
        <v>94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900</v>
      </c>
      <c r="AF332">
        <v>0.5</v>
      </c>
      <c r="AG332">
        <v>1</v>
      </c>
      <c r="AH332">
        <v>0</v>
      </c>
      <c r="AI332">
        <v>0</v>
      </c>
      <c r="AJ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8</v>
      </c>
      <c r="AX332">
        <v>1</v>
      </c>
      <c r="AY332">
        <v>818.6</v>
      </c>
      <c r="AZ332">
        <v>66.900000000000006</v>
      </c>
      <c r="BA332">
        <v>365</v>
      </c>
      <c r="BB332">
        <v>768</v>
      </c>
      <c r="BC332">
        <v>30.29</v>
      </c>
      <c r="BF332" t="s">
        <v>64</v>
      </c>
    </row>
    <row r="333" spans="1:58" x14ac:dyDescent="0.45">
      <c r="A333">
        <v>10332</v>
      </c>
      <c r="B333">
        <v>1</v>
      </c>
      <c r="C333">
        <v>87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8</v>
      </c>
      <c r="M333">
        <v>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20</v>
      </c>
      <c r="Y333">
        <v>94</v>
      </c>
      <c r="Z333">
        <v>0</v>
      </c>
      <c r="AA333">
        <v>1</v>
      </c>
      <c r="AB333">
        <v>0</v>
      </c>
      <c r="AC333">
        <v>0</v>
      </c>
      <c r="AD333">
        <v>1</v>
      </c>
      <c r="AE333">
        <v>900</v>
      </c>
      <c r="AF333">
        <v>0.5</v>
      </c>
      <c r="AG333">
        <v>1</v>
      </c>
      <c r="AH333">
        <v>0</v>
      </c>
      <c r="AI333">
        <v>0</v>
      </c>
      <c r="AJ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8</v>
      </c>
      <c r="AX333">
        <v>1.6666666666666667</v>
      </c>
      <c r="AY333">
        <v>827</v>
      </c>
      <c r="AZ333">
        <v>74.8</v>
      </c>
      <c r="BA333">
        <v>361</v>
      </c>
      <c r="BB333">
        <v>743</v>
      </c>
      <c r="BC333">
        <v>29.44</v>
      </c>
      <c r="BF333" t="s">
        <v>64</v>
      </c>
    </row>
    <row r="334" spans="1:58" x14ac:dyDescent="0.45">
      <c r="A334">
        <v>10333</v>
      </c>
      <c r="B334">
        <v>1</v>
      </c>
      <c r="C334">
        <v>85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8</v>
      </c>
      <c r="M334">
        <v>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20</v>
      </c>
      <c r="Y334">
        <v>94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900</v>
      </c>
      <c r="AF334">
        <v>0.5</v>
      </c>
      <c r="AG334">
        <v>1</v>
      </c>
      <c r="AH334">
        <v>0</v>
      </c>
      <c r="AI334">
        <v>0</v>
      </c>
      <c r="AJ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8</v>
      </c>
      <c r="AX334">
        <v>2.3333333333333335</v>
      </c>
      <c r="AY334">
        <v>835.4</v>
      </c>
      <c r="AZ334">
        <v>76.8</v>
      </c>
      <c r="BA334">
        <v>335</v>
      </c>
      <c r="BB334">
        <v>738</v>
      </c>
      <c r="BC334">
        <v>24.527000000000001</v>
      </c>
      <c r="BF334" t="s">
        <v>64</v>
      </c>
    </row>
    <row r="335" spans="1:58" x14ac:dyDescent="0.45">
      <c r="A335">
        <v>10334</v>
      </c>
      <c r="B335">
        <v>1</v>
      </c>
      <c r="C335">
        <v>83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20</v>
      </c>
      <c r="Y335">
        <v>94</v>
      </c>
      <c r="Z335">
        <v>0</v>
      </c>
      <c r="AA335">
        <v>1</v>
      </c>
      <c r="AB335">
        <v>0</v>
      </c>
      <c r="AC335">
        <v>0</v>
      </c>
      <c r="AD335">
        <v>1</v>
      </c>
      <c r="AE335">
        <v>900</v>
      </c>
      <c r="AF335">
        <v>0.5</v>
      </c>
      <c r="AG335">
        <v>1</v>
      </c>
      <c r="AH335">
        <v>0</v>
      </c>
      <c r="AI335">
        <v>0</v>
      </c>
      <c r="AJ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8</v>
      </c>
      <c r="AX335">
        <v>3</v>
      </c>
      <c r="AY335">
        <v>843.8</v>
      </c>
      <c r="AZ335">
        <v>68.7</v>
      </c>
      <c r="BA335">
        <v>303</v>
      </c>
      <c r="BB335">
        <v>813</v>
      </c>
      <c r="BC335">
        <v>10.81</v>
      </c>
      <c r="BF335" t="s">
        <v>64</v>
      </c>
    </row>
    <row r="336" spans="1:58" x14ac:dyDescent="0.45">
      <c r="A336">
        <v>10335</v>
      </c>
      <c r="B336">
        <v>1</v>
      </c>
      <c r="C336">
        <v>81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20</v>
      </c>
      <c r="Y336">
        <v>94</v>
      </c>
      <c r="Z336">
        <v>0</v>
      </c>
      <c r="AA336">
        <v>1</v>
      </c>
      <c r="AB336">
        <v>0</v>
      </c>
      <c r="AC336">
        <v>0</v>
      </c>
      <c r="AD336">
        <v>1</v>
      </c>
      <c r="AE336">
        <v>900</v>
      </c>
      <c r="AF336">
        <v>0.5</v>
      </c>
      <c r="AG336">
        <v>1</v>
      </c>
      <c r="AH336">
        <v>0</v>
      </c>
      <c r="AI336">
        <v>0</v>
      </c>
      <c r="AJ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8</v>
      </c>
      <c r="AX336">
        <v>3.6666666666666665</v>
      </c>
      <c r="AY336">
        <v>852.2</v>
      </c>
      <c r="AZ336">
        <v>58.4</v>
      </c>
      <c r="BA336">
        <v>193</v>
      </c>
      <c r="BB336">
        <v>827</v>
      </c>
      <c r="BC336">
        <v>6.44</v>
      </c>
      <c r="BF336" t="s">
        <v>64</v>
      </c>
    </row>
    <row r="337" spans="1:58" x14ac:dyDescent="0.45">
      <c r="A337">
        <v>10336</v>
      </c>
      <c r="B337">
        <v>1</v>
      </c>
      <c r="C337">
        <v>79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8</v>
      </c>
      <c r="M337">
        <v>13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20</v>
      </c>
      <c r="Y337">
        <v>94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900</v>
      </c>
      <c r="AF337">
        <v>0.5</v>
      </c>
      <c r="AG337">
        <v>1</v>
      </c>
      <c r="AH337">
        <v>0</v>
      </c>
      <c r="AI337">
        <v>0</v>
      </c>
      <c r="AJ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8</v>
      </c>
      <c r="AX337">
        <v>4.333333333333333</v>
      </c>
      <c r="AY337">
        <v>860.6</v>
      </c>
      <c r="AZ337">
        <v>50.2</v>
      </c>
      <c r="BA337">
        <v>512</v>
      </c>
      <c r="BB337">
        <v>899</v>
      </c>
      <c r="BC337">
        <v>11.11</v>
      </c>
      <c r="BF337" t="s">
        <v>64</v>
      </c>
    </row>
    <row r="338" spans="1:58" x14ac:dyDescent="0.45">
      <c r="A338">
        <v>10337</v>
      </c>
      <c r="B338">
        <v>1</v>
      </c>
      <c r="C338">
        <v>77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8</v>
      </c>
      <c r="M338">
        <v>15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20</v>
      </c>
      <c r="Y338">
        <v>94</v>
      </c>
      <c r="Z338">
        <v>0</v>
      </c>
      <c r="AA338">
        <v>1</v>
      </c>
      <c r="AB338">
        <v>0</v>
      </c>
      <c r="AC338">
        <v>0</v>
      </c>
      <c r="AD338">
        <v>1</v>
      </c>
      <c r="AE338">
        <v>900</v>
      </c>
      <c r="AF338">
        <v>0.5</v>
      </c>
      <c r="AG338">
        <v>1</v>
      </c>
      <c r="AH338">
        <v>0</v>
      </c>
      <c r="AI338">
        <v>0</v>
      </c>
      <c r="AJ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8</v>
      </c>
      <c r="AX338">
        <v>5</v>
      </c>
      <c r="AY338">
        <v>869</v>
      </c>
      <c r="AZ338">
        <v>46.8</v>
      </c>
      <c r="BA338">
        <v>732</v>
      </c>
      <c r="BB338">
        <v>801</v>
      </c>
      <c r="BC338">
        <v>19.739999999999998</v>
      </c>
      <c r="BF338" t="s">
        <v>117</v>
      </c>
    </row>
    <row r="339" spans="1:58" x14ac:dyDescent="0.45">
      <c r="A339">
        <v>10338</v>
      </c>
      <c r="B339">
        <v>1</v>
      </c>
      <c r="C339">
        <v>89.84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7.24</v>
      </c>
      <c r="M339">
        <v>2.92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f>AY339</f>
        <v>825.48400000000004</v>
      </c>
      <c r="AF339">
        <v>0</v>
      </c>
      <c r="AG339">
        <v>1</v>
      </c>
      <c r="AH339">
        <v>0</v>
      </c>
      <c r="AI339">
        <v>0</v>
      </c>
      <c r="AJ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7.24</v>
      </c>
      <c r="AX339">
        <v>0.97333333333333327</v>
      </c>
      <c r="AY339">
        <v>825.48400000000004</v>
      </c>
      <c r="AZ339">
        <v>66</v>
      </c>
      <c r="BA339">
        <v>650</v>
      </c>
      <c r="BF339" t="s">
        <v>60</v>
      </c>
    </row>
    <row r="340" spans="1:58" x14ac:dyDescent="0.45">
      <c r="A340">
        <v>10339</v>
      </c>
      <c r="B340">
        <v>1</v>
      </c>
      <c r="C340">
        <v>94.36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4.87</v>
      </c>
      <c r="M340">
        <v>0.77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f>AY340</f>
        <v>838.96900000000005</v>
      </c>
      <c r="AF340">
        <v>0</v>
      </c>
      <c r="AG340">
        <v>1</v>
      </c>
      <c r="AH340">
        <v>0</v>
      </c>
      <c r="AI340">
        <v>0</v>
      </c>
      <c r="AJ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4.87</v>
      </c>
      <c r="AX340">
        <v>0.25666666666666665</v>
      </c>
      <c r="AY340">
        <v>838.96900000000005</v>
      </c>
      <c r="AZ340">
        <v>89</v>
      </c>
      <c r="BA340">
        <v>511</v>
      </c>
      <c r="BF340" t="s">
        <v>60</v>
      </c>
    </row>
    <row r="341" spans="1:58" x14ac:dyDescent="0.45">
      <c r="A341">
        <v>10340</v>
      </c>
      <c r="B341">
        <v>1</v>
      </c>
      <c r="C341">
        <v>92.41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4.7300000000000004</v>
      </c>
      <c r="M341">
        <v>2.86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f>AY341</f>
        <v>849.077</v>
      </c>
      <c r="AF341">
        <v>0</v>
      </c>
      <c r="AG341">
        <v>1</v>
      </c>
      <c r="AH341">
        <v>0</v>
      </c>
      <c r="AI341">
        <v>0</v>
      </c>
      <c r="AJ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4.7300000000000004</v>
      </c>
      <c r="AX341">
        <v>0.95333333333333325</v>
      </c>
      <c r="AY341">
        <v>849.077</v>
      </c>
      <c r="AZ341">
        <v>78</v>
      </c>
      <c r="BA341">
        <v>441</v>
      </c>
      <c r="BF341" t="s">
        <v>60</v>
      </c>
    </row>
    <row r="342" spans="1:58" x14ac:dyDescent="0.45">
      <c r="A342">
        <v>10341</v>
      </c>
      <c r="B342">
        <v>1</v>
      </c>
      <c r="C342">
        <v>87.5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6.25</v>
      </c>
      <c r="M342">
        <v>6.25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J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6.25</v>
      </c>
      <c r="AX342">
        <v>2.0833333333333335</v>
      </c>
      <c r="AY342">
        <v>848.875</v>
      </c>
      <c r="AZ342">
        <v>70</v>
      </c>
    </row>
    <row r="343" spans="1:58" x14ac:dyDescent="0.45">
      <c r="A343">
        <v>10342</v>
      </c>
      <c r="B343">
        <v>1</v>
      </c>
      <c r="C343">
        <v>75.8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10.8</v>
      </c>
      <c r="M343">
        <v>13.4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J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10.8</v>
      </c>
      <c r="AX343">
        <v>4.4666666666666668</v>
      </c>
      <c r="AY343">
        <v>835.68</v>
      </c>
      <c r="AZ343">
        <v>70</v>
      </c>
    </row>
    <row r="344" spans="1:58" x14ac:dyDescent="0.45">
      <c r="A344">
        <v>10343</v>
      </c>
      <c r="B344">
        <v>1</v>
      </c>
      <c r="C344">
        <v>92.5</v>
      </c>
      <c r="D344">
        <v>5</v>
      </c>
      <c r="E344">
        <v>0</v>
      </c>
      <c r="F344">
        <v>0</v>
      </c>
      <c r="G344">
        <v>0</v>
      </c>
      <c r="H344">
        <v>2.5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Z344">
        <v>0</v>
      </c>
      <c r="AA344">
        <v>1</v>
      </c>
      <c r="AB344">
        <v>0</v>
      </c>
      <c r="AC344">
        <v>0</v>
      </c>
      <c r="AD344">
        <v>0</v>
      </c>
      <c r="AJ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2.25</v>
      </c>
      <c r="AX344">
        <v>5</v>
      </c>
      <c r="AY344">
        <v>854</v>
      </c>
      <c r="AZ344">
        <v>112</v>
      </c>
      <c r="BA344">
        <v>895</v>
      </c>
      <c r="BB344">
        <v>1020</v>
      </c>
      <c r="BC344">
        <v>15</v>
      </c>
      <c r="BF344" t="s">
        <v>118</v>
      </c>
    </row>
    <row r="345" spans="1:58" x14ac:dyDescent="0.45">
      <c r="A345">
        <v>10344</v>
      </c>
      <c r="B345">
        <v>0</v>
      </c>
      <c r="C345">
        <v>94.688000000000002</v>
      </c>
      <c r="D345">
        <v>3.79</v>
      </c>
      <c r="E345">
        <v>0</v>
      </c>
      <c r="F345">
        <v>0</v>
      </c>
      <c r="G345">
        <v>0</v>
      </c>
      <c r="H345">
        <v>3.5999999999999997E-2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945</v>
      </c>
      <c r="AF345">
        <v>0.5</v>
      </c>
      <c r="AG345">
        <v>0</v>
      </c>
      <c r="AH345">
        <v>1</v>
      </c>
      <c r="AI345">
        <v>0</v>
      </c>
      <c r="AJ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-3.6856</v>
      </c>
      <c r="AX345">
        <v>3.79</v>
      </c>
      <c r="AY345">
        <v>889.40459999999996</v>
      </c>
      <c r="BF345" t="s">
        <v>119</v>
      </c>
    </row>
    <row r="346" spans="1:58" x14ac:dyDescent="0.45">
      <c r="A346">
        <v>10345</v>
      </c>
      <c r="B346">
        <v>0</v>
      </c>
      <c r="C346">
        <v>94.688000000000002</v>
      </c>
      <c r="D346">
        <v>3.79</v>
      </c>
      <c r="E346">
        <v>0</v>
      </c>
      <c r="F346">
        <v>0</v>
      </c>
      <c r="G346">
        <v>0</v>
      </c>
      <c r="H346">
        <v>3.5999999999999997E-2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Z346">
        <v>1</v>
      </c>
      <c r="AA346">
        <v>0</v>
      </c>
      <c r="AB346">
        <v>0</v>
      </c>
      <c r="AC346">
        <v>0</v>
      </c>
      <c r="AD346">
        <v>1</v>
      </c>
      <c r="AE346">
        <v>955</v>
      </c>
      <c r="AF346">
        <v>0.5</v>
      </c>
      <c r="AG346">
        <v>0</v>
      </c>
      <c r="AH346">
        <v>1</v>
      </c>
      <c r="AI346">
        <v>0</v>
      </c>
      <c r="AJ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-3.6856</v>
      </c>
      <c r="AX346">
        <v>3.79</v>
      </c>
      <c r="AY346">
        <v>889.40459999999996</v>
      </c>
      <c r="BF346" t="s">
        <v>119</v>
      </c>
    </row>
    <row r="347" spans="1:58" x14ac:dyDescent="0.45">
      <c r="A347">
        <v>10346</v>
      </c>
      <c r="B347">
        <v>0</v>
      </c>
      <c r="C347">
        <v>94.688000000000002</v>
      </c>
      <c r="D347">
        <v>3.79</v>
      </c>
      <c r="E347">
        <v>0</v>
      </c>
      <c r="F347">
        <v>0</v>
      </c>
      <c r="G347">
        <v>0</v>
      </c>
      <c r="H347">
        <v>3.5999999999999997E-2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Z347">
        <v>1</v>
      </c>
      <c r="AA347">
        <v>0</v>
      </c>
      <c r="AB347">
        <v>0</v>
      </c>
      <c r="AC347">
        <v>0</v>
      </c>
      <c r="AD347">
        <v>1</v>
      </c>
      <c r="AE347">
        <v>965</v>
      </c>
      <c r="AF347">
        <v>0.5</v>
      </c>
      <c r="AG347">
        <v>0</v>
      </c>
      <c r="AH347">
        <v>1</v>
      </c>
      <c r="AI347">
        <v>0</v>
      </c>
      <c r="AJ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-3.6856</v>
      </c>
      <c r="AX347">
        <v>3.79</v>
      </c>
      <c r="AY347">
        <v>889.40459999999996</v>
      </c>
      <c r="BF347" t="s">
        <v>119</v>
      </c>
    </row>
    <row r="348" spans="1:58" x14ac:dyDescent="0.45">
      <c r="A348">
        <v>10347</v>
      </c>
      <c r="B348">
        <v>1</v>
      </c>
      <c r="C348">
        <v>95.114999999999995</v>
      </c>
      <c r="D348">
        <v>2.92</v>
      </c>
      <c r="E348">
        <v>0</v>
      </c>
      <c r="F348">
        <v>0</v>
      </c>
      <c r="G348">
        <v>0</v>
      </c>
      <c r="H348">
        <v>1.84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845</v>
      </c>
      <c r="AF348">
        <v>0.5</v>
      </c>
      <c r="AG348">
        <v>1</v>
      </c>
      <c r="AH348">
        <v>0</v>
      </c>
      <c r="AI348">
        <v>0</v>
      </c>
      <c r="AJ348">
        <v>1</v>
      </c>
      <c r="AK348">
        <v>520</v>
      </c>
      <c r="AL348">
        <v>8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2.4160000000000004</v>
      </c>
      <c r="AX348">
        <v>2.92</v>
      </c>
      <c r="AY348">
        <v>859.79599999999994</v>
      </c>
      <c r="BA348">
        <v>1245</v>
      </c>
      <c r="BB348">
        <v>1300</v>
      </c>
      <c r="BC348">
        <v>3.8</v>
      </c>
      <c r="BF348" t="s">
        <v>108</v>
      </c>
    </row>
    <row r="349" spans="1:58" x14ac:dyDescent="0.45">
      <c r="A349">
        <v>10348</v>
      </c>
      <c r="B349">
        <v>1</v>
      </c>
      <c r="C349">
        <v>95.114999999999995</v>
      </c>
      <c r="D349">
        <v>2.92</v>
      </c>
      <c r="E349">
        <v>0</v>
      </c>
      <c r="F349">
        <v>0</v>
      </c>
      <c r="G349">
        <v>0</v>
      </c>
      <c r="H349">
        <v>1.84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845</v>
      </c>
      <c r="AF349">
        <v>0.5</v>
      </c>
      <c r="AG349">
        <v>1</v>
      </c>
      <c r="AH349">
        <v>0</v>
      </c>
      <c r="AI349">
        <v>0</v>
      </c>
      <c r="AJ349">
        <v>1</v>
      </c>
      <c r="AK349">
        <v>300</v>
      </c>
      <c r="AL349">
        <v>8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2.4160000000000004</v>
      </c>
      <c r="AX349">
        <v>2.92</v>
      </c>
      <c r="AY349">
        <v>859.79599999999994</v>
      </c>
      <c r="BA349">
        <v>1230</v>
      </c>
      <c r="BB349">
        <v>1300</v>
      </c>
      <c r="BC349">
        <v>4</v>
      </c>
      <c r="BE349" t="s">
        <v>262</v>
      </c>
      <c r="BF349" t="s">
        <v>108</v>
      </c>
    </row>
    <row r="350" spans="1:58" x14ac:dyDescent="0.45">
      <c r="A350">
        <v>10349</v>
      </c>
      <c r="B350">
        <v>1</v>
      </c>
      <c r="C350">
        <v>95.114999999999995</v>
      </c>
      <c r="D350">
        <v>2.92</v>
      </c>
      <c r="E350">
        <v>0</v>
      </c>
      <c r="F350">
        <v>0</v>
      </c>
      <c r="G350">
        <v>0</v>
      </c>
      <c r="H350">
        <v>1.84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Z350">
        <v>1</v>
      </c>
      <c r="AA350">
        <v>0</v>
      </c>
      <c r="AB350">
        <v>0</v>
      </c>
      <c r="AC350">
        <v>0</v>
      </c>
      <c r="AD350">
        <v>1</v>
      </c>
      <c r="AE350">
        <v>760</v>
      </c>
      <c r="AF350">
        <v>2</v>
      </c>
      <c r="AG350">
        <v>1</v>
      </c>
      <c r="AH350">
        <v>0</v>
      </c>
      <c r="AI350">
        <v>0</v>
      </c>
      <c r="AJ350">
        <v>1</v>
      </c>
      <c r="AK350">
        <v>520</v>
      </c>
      <c r="AL350">
        <v>8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2.4160000000000004</v>
      </c>
      <c r="AX350">
        <v>2.92</v>
      </c>
      <c r="AY350">
        <v>859.79599999999994</v>
      </c>
      <c r="BA350">
        <v>1150</v>
      </c>
      <c r="BB350">
        <v>1170</v>
      </c>
      <c r="BC350">
        <v>12</v>
      </c>
      <c r="BF350" t="s">
        <v>108</v>
      </c>
    </row>
    <row r="351" spans="1:58" x14ac:dyDescent="0.45">
      <c r="A351">
        <v>10350</v>
      </c>
      <c r="B351">
        <v>1</v>
      </c>
      <c r="C351">
        <v>95.114999999999995</v>
      </c>
      <c r="D351">
        <v>2.92</v>
      </c>
      <c r="E351">
        <v>0</v>
      </c>
      <c r="F351">
        <v>0</v>
      </c>
      <c r="G351">
        <v>0</v>
      </c>
      <c r="H351">
        <v>1.84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740</v>
      </c>
      <c r="Y351">
        <v>40</v>
      </c>
      <c r="Z351">
        <v>0</v>
      </c>
      <c r="AA351">
        <v>1</v>
      </c>
      <c r="AB351">
        <v>0</v>
      </c>
      <c r="AC351">
        <v>0</v>
      </c>
      <c r="AD351">
        <v>0</v>
      </c>
      <c r="AJ351">
        <v>1</v>
      </c>
      <c r="AK351">
        <v>500</v>
      </c>
      <c r="AL351">
        <v>8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2.4160000000000004</v>
      </c>
      <c r="AX351">
        <v>2.92</v>
      </c>
      <c r="AY351">
        <v>859.79599999999994</v>
      </c>
      <c r="BA351">
        <v>1096.01</v>
      </c>
      <c r="BB351">
        <v>1104.43</v>
      </c>
      <c r="BC351">
        <v>12.867800000000001</v>
      </c>
      <c r="BF351" t="s">
        <v>108</v>
      </c>
    </row>
    <row r="352" spans="1:58" x14ac:dyDescent="0.45">
      <c r="A352">
        <v>10351</v>
      </c>
      <c r="B352">
        <v>1</v>
      </c>
      <c r="C352">
        <v>95.114999999999995</v>
      </c>
      <c r="D352">
        <v>2.92</v>
      </c>
      <c r="E352">
        <v>0</v>
      </c>
      <c r="F352">
        <v>0</v>
      </c>
      <c r="G352">
        <v>0</v>
      </c>
      <c r="H352">
        <v>1.84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780</v>
      </c>
      <c r="Y352">
        <v>40</v>
      </c>
      <c r="Z352">
        <v>0</v>
      </c>
      <c r="AA352">
        <v>1</v>
      </c>
      <c r="AB352">
        <v>0</v>
      </c>
      <c r="AC352">
        <v>0</v>
      </c>
      <c r="AD352">
        <v>0</v>
      </c>
      <c r="AJ352">
        <v>1</v>
      </c>
      <c r="AK352">
        <v>500</v>
      </c>
      <c r="AL352">
        <v>8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2.4160000000000004</v>
      </c>
      <c r="AX352">
        <v>2.92</v>
      </c>
      <c r="AY352">
        <v>859.79599999999994</v>
      </c>
      <c r="BA352">
        <v>1113.93</v>
      </c>
      <c r="BB352">
        <v>1149.71</v>
      </c>
      <c r="BC352">
        <v>11.575699999999999</v>
      </c>
      <c r="BF352" t="s">
        <v>108</v>
      </c>
    </row>
    <row r="353" spans="1:58" x14ac:dyDescent="0.45">
      <c r="A353">
        <v>10352</v>
      </c>
      <c r="B353">
        <v>1</v>
      </c>
      <c r="C353">
        <v>95.114999999999995</v>
      </c>
      <c r="D353">
        <v>2.92</v>
      </c>
      <c r="E353">
        <v>0</v>
      </c>
      <c r="F353">
        <v>0</v>
      </c>
      <c r="G353">
        <v>0</v>
      </c>
      <c r="H353">
        <v>1.84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845</v>
      </c>
      <c r="Y353">
        <v>40</v>
      </c>
      <c r="Z353">
        <v>0</v>
      </c>
      <c r="AA353">
        <v>1</v>
      </c>
      <c r="AB353">
        <v>0</v>
      </c>
      <c r="AC353">
        <v>0</v>
      </c>
      <c r="AD353">
        <v>0</v>
      </c>
      <c r="AJ353">
        <v>1</v>
      </c>
      <c r="AK353">
        <v>500</v>
      </c>
      <c r="AL353">
        <v>8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2.4160000000000004</v>
      </c>
      <c r="AX353">
        <v>2.92</v>
      </c>
      <c r="AY353">
        <v>859.79599999999994</v>
      </c>
      <c r="BA353">
        <v>1270.0999999999999</v>
      </c>
      <c r="BB353">
        <v>1327.61</v>
      </c>
      <c r="BC353">
        <v>2.5588600000000001</v>
      </c>
      <c r="BF353" t="s">
        <v>108</v>
      </c>
    </row>
    <row r="354" spans="1:58" x14ac:dyDescent="0.45">
      <c r="A354">
        <v>10353</v>
      </c>
      <c r="B354">
        <v>1</v>
      </c>
      <c r="C354">
        <v>95.114999999999995</v>
      </c>
      <c r="D354">
        <v>2.92</v>
      </c>
      <c r="E354">
        <v>0</v>
      </c>
      <c r="F354">
        <v>0</v>
      </c>
      <c r="G354">
        <v>0</v>
      </c>
      <c r="H354">
        <v>1.84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700</v>
      </c>
      <c r="Y354">
        <v>35</v>
      </c>
      <c r="Z354">
        <v>0</v>
      </c>
      <c r="AA354">
        <v>1</v>
      </c>
      <c r="AB354">
        <v>0</v>
      </c>
      <c r="AC354">
        <v>0</v>
      </c>
      <c r="AD354">
        <v>0</v>
      </c>
      <c r="AJ354">
        <v>1</v>
      </c>
      <c r="AK354">
        <v>500</v>
      </c>
      <c r="AL354">
        <v>8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2.4160000000000004</v>
      </c>
      <c r="AX354">
        <v>2.92</v>
      </c>
      <c r="AY354">
        <v>859.79599999999994</v>
      </c>
      <c r="BA354">
        <v>1105.03</v>
      </c>
      <c r="BB354">
        <v>1124.68</v>
      </c>
      <c r="BC354">
        <v>13.8583</v>
      </c>
      <c r="BF354" t="s">
        <v>108</v>
      </c>
    </row>
    <row r="355" spans="1:58" x14ac:dyDescent="0.45">
      <c r="A355">
        <v>10354</v>
      </c>
      <c r="B355">
        <v>1</v>
      </c>
      <c r="C355">
        <v>95.114999999999995</v>
      </c>
      <c r="D355">
        <v>2.92</v>
      </c>
      <c r="E355">
        <v>0</v>
      </c>
      <c r="F355">
        <v>0</v>
      </c>
      <c r="G355">
        <v>0</v>
      </c>
      <c r="H355">
        <v>1.84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700</v>
      </c>
      <c r="Y355">
        <v>45</v>
      </c>
      <c r="Z355">
        <v>0</v>
      </c>
      <c r="AA355">
        <v>1</v>
      </c>
      <c r="AB355">
        <v>0</v>
      </c>
      <c r="AC355">
        <v>0</v>
      </c>
      <c r="AD355">
        <v>0</v>
      </c>
      <c r="AJ355">
        <v>1</v>
      </c>
      <c r="AK355">
        <v>500</v>
      </c>
      <c r="AL355">
        <v>8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2.4160000000000004</v>
      </c>
      <c r="AX355">
        <v>2.92</v>
      </c>
      <c r="AY355">
        <v>859.79599999999994</v>
      </c>
      <c r="BA355">
        <v>1115.05</v>
      </c>
      <c r="BB355">
        <v>1145.02</v>
      </c>
      <c r="BC355">
        <v>16.062999999999999</v>
      </c>
      <c r="BF355" t="s">
        <v>108</v>
      </c>
    </row>
    <row r="356" spans="1:58" x14ac:dyDescent="0.45">
      <c r="A356">
        <v>10355</v>
      </c>
      <c r="B356">
        <v>1</v>
      </c>
      <c r="C356">
        <v>95.114999999999995</v>
      </c>
      <c r="D356">
        <v>2.92</v>
      </c>
      <c r="E356">
        <v>0</v>
      </c>
      <c r="F356">
        <v>0</v>
      </c>
      <c r="G356">
        <v>0</v>
      </c>
      <c r="H356">
        <v>1.84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780</v>
      </c>
      <c r="Y356">
        <v>45</v>
      </c>
      <c r="Z356">
        <v>0</v>
      </c>
      <c r="AA356">
        <v>1</v>
      </c>
      <c r="AB356">
        <v>0</v>
      </c>
      <c r="AC356">
        <v>0</v>
      </c>
      <c r="AD356">
        <v>0</v>
      </c>
      <c r="AJ356">
        <v>1</v>
      </c>
      <c r="AK356">
        <v>500</v>
      </c>
      <c r="AL356">
        <v>8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2.4160000000000004</v>
      </c>
      <c r="AX356">
        <v>2.92</v>
      </c>
      <c r="AY356">
        <v>859.79599999999994</v>
      </c>
      <c r="BA356">
        <v>1120</v>
      </c>
      <c r="BB356">
        <v>1155</v>
      </c>
      <c r="BC356">
        <v>16.8</v>
      </c>
      <c r="BE356" t="s">
        <v>263</v>
      </c>
      <c r="BF356" t="s">
        <v>108</v>
      </c>
    </row>
    <row r="357" spans="1:58" x14ac:dyDescent="0.45">
      <c r="A357">
        <v>10356</v>
      </c>
      <c r="B357">
        <v>1</v>
      </c>
      <c r="C357">
        <v>95.114999999999995</v>
      </c>
      <c r="D357">
        <v>2.92</v>
      </c>
      <c r="E357">
        <v>0</v>
      </c>
      <c r="F357">
        <v>0</v>
      </c>
      <c r="G357">
        <v>0</v>
      </c>
      <c r="H357">
        <v>1.84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845</v>
      </c>
      <c r="Y357">
        <v>45</v>
      </c>
      <c r="Z357">
        <v>0</v>
      </c>
      <c r="AA357">
        <v>1</v>
      </c>
      <c r="AB357">
        <v>0</v>
      </c>
      <c r="AC357">
        <v>0</v>
      </c>
      <c r="AD357">
        <v>0</v>
      </c>
      <c r="AJ357">
        <v>1</v>
      </c>
      <c r="AK357">
        <v>500</v>
      </c>
      <c r="AL357">
        <v>8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2.4160000000000004</v>
      </c>
      <c r="AX357">
        <v>2.92</v>
      </c>
      <c r="AY357">
        <v>859.79599999999994</v>
      </c>
      <c r="BA357">
        <v>1270</v>
      </c>
      <c r="BB357">
        <v>1330</v>
      </c>
      <c r="BC357">
        <v>7.5</v>
      </c>
      <c r="BE357" t="s">
        <v>264</v>
      </c>
      <c r="BF357" t="s">
        <v>108</v>
      </c>
    </row>
    <row r="358" spans="1:58" x14ac:dyDescent="0.45">
      <c r="A358">
        <v>10357</v>
      </c>
      <c r="B358">
        <v>1</v>
      </c>
      <c r="C358">
        <v>95.114999999999995</v>
      </c>
      <c r="D358">
        <v>2.92</v>
      </c>
      <c r="E358">
        <v>0</v>
      </c>
      <c r="F358">
        <v>0</v>
      </c>
      <c r="G358">
        <v>0</v>
      </c>
      <c r="H358">
        <v>1.84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700</v>
      </c>
      <c r="Y358">
        <v>50</v>
      </c>
      <c r="Z358">
        <v>0</v>
      </c>
      <c r="AA358">
        <v>1</v>
      </c>
      <c r="AB358">
        <v>0</v>
      </c>
      <c r="AC358">
        <v>0</v>
      </c>
      <c r="AD358">
        <v>0</v>
      </c>
      <c r="AJ358">
        <v>1</v>
      </c>
      <c r="AK358">
        <v>500</v>
      </c>
      <c r="AL358">
        <v>8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2.4160000000000004</v>
      </c>
      <c r="AX358">
        <v>2.92</v>
      </c>
      <c r="AY358">
        <v>859.79599999999994</v>
      </c>
      <c r="BA358">
        <v>1120.31</v>
      </c>
      <c r="BB358">
        <v>1134.8499999999999</v>
      </c>
      <c r="BC358">
        <v>15.7874</v>
      </c>
      <c r="BE358" t="s">
        <v>265</v>
      </c>
      <c r="BF358" t="s">
        <v>108</v>
      </c>
    </row>
    <row r="359" spans="1:58" x14ac:dyDescent="0.45">
      <c r="A359">
        <v>10358</v>
      </c>
      <c r="B359">
        <v>1</v>
      </c>
      <c r="C359">
        <v>95.114999999999995</v>
      </c>
      <c r="D359">
        <v>2.92</v>
      </c>
      <c r="E359">
        <v>0</v>
      </c>
      <c r="F359">
        <v>0</v>
      </c>
      <c r="G359">
        <v>0</v>
      </c>
      <c r="H359">
        <v>1.84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780</v>
      </c>
      <c r="Y359">
        <v>45</v>
      </c>
      <c r="Z359">
        <v>0</v>
      </c>
      <c r="AA359">
        <v>1</v>
      </c>
      <c r="AB359">
        <v>0</v>
      </c>
      <c r="AC359">
        <v>0</v>
      </c>
      <c r="AD359">
        <v>0</v>
      </c>
      <c r="AJ359">
        <v>1</v>
      </c>
      <c r="AK359">
        <v>300</v>
      </c>
      <c r="AL359">
        <v>8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2.4160000000000004</v>
      </c>
      <c r="AX359">
        <v>2.92</v>
      </c>
      <c r="AY359">
        <v>859.79599999999994</v>
      </c>
      <c r="BA359">
        <v>1233</v>
      </c>
      <c r="BB359">
        <v>1260</v>
      </c>
      <c r="BC359">
        <v>13.2</v>
      </c>
      <c r="BE359" t="s">
        <v>266</v>
      </c>
      <c r="BF359" t="s">
        <v>108</v>
      </c>
    </row>
    <row r="360" spans="1:58" x14ac:dyDescent="0.45">
      <c r="A360">
        <v>10359</v>
      </c>
      <c r="B360">
        <v>1</v>
      </c>
      <c r="C360">
        <v>95.114999999999995</v>
      </c>
      <c r="D360">
        <v>2.92</v>
      </c>
      <c r="E360">
        <v>0</v>
      </c>
      <c r="F360">
        <v>0</v>
      </c>
      <c r="G360">
        <v>0</v>
      </c>
      <c r="H360">
        <v>1.84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780</v>
      </c>
      <c r="Y360">
        <v>45</v>
      </c>
      <c r="Z360">
        <v>0</v>
      </c>
      <c r="AA360">
        <v>1</v>
      </c>
      <c r="AB360">
        <v>0</v>
      </c>
      <c r="AC360">
        <v>0</v>
      </c>
      <c r="AD360">
        <v>0</v>
      </c>
      <c r="AJ360">
        <v>1</v>
      </c>
      <c r="AK360">
        <v>300</v>
      </c>
      <c r="AL360">
        <v>8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2.4160000000000004</v>
      </c>
      <c r="AX360">
        <v>2.92</v>
      </c>
      <c r="AY360">
        <v>859.79599999999994</v>
      </c>
      <c r="BA360">
        <v>1195</v>
      </c>
      <c r="BB360">
        <v>1230</v>
      </c>
      <c r="BC360">
        <v>16</v>
      </c>
      <c r="BE360" t="s">
        <v>267</v>
      </c>
      <c r="BF360" t="s">
        <v>108</v>
      </c>
    </row>
    <row r="361" spans="1:58" x14ac:dyDescent="0.45">
      <c r="A361">
        <v>10360</v>
      </c>
      <c r="B361">
        <v>1</v>
      </c>
      <c r="C361">
        <v>95.114999999999995</v>
      </c>
      <c r="D361">
        <v>2.92</v>
      </c>
      <c r="E361">
        <v>0</v>
      </c>
      <c r="F361">
        <v>0</v>
      </c>
      <c r="G361">
        <v>0</v>
      </c>
      <c r="H361">
        <v>1.84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845</v>
      </c>
      <c r="Y361">
        <v>45</v>
      </c>
      <c r="Z361">
        <v>0</v>
      </c>
      <c r="AA361">
        <v>1</v>
      </c>
      <c r="AB361">
        <v>0</v>
      </c>
      <c r="AC361">
        <v>0</v>
      </c>
      <c r="AD361">
        <v>0</v>
      </c>
      <c r="AJ361">
        <v>1</v>
      </c>
      <c r="AK361">
        <v>300</v>
      </c>
      <c r="AL361">
        <v>8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2.4160000000000004</v>
      </c>
      <c r="AX361">
        <v>2.92</v>
      </c>
      <c r="AY361">
        <v>859.79599999999994</v>
      </c>
      <c r="BA361">
        <v>1265</v>
      </c>
      <c r="BB361">
        <v>1355</v>
      </c>
      <c r="BC361">
        <v>2.8</v>
      </c>
      <c r="BE361" t="s">
        <v>268</v>
      </c>
      <c r="BF361" t="s">
        <v>108</v>
      </c>
    </row>
    <row r="362" spans="1:58" x14ac:dyDescent="0.45">
      <c r="A362">
        <v>10361</v>
      </c>
      <c r="B362">
        <v>1</v>
      </c>
      <c r="C362">
        <v>95.114999999999995</v>
      </c>
      <c r="D362">
        <v>2.92</v>
      </c>
      <c r="E362">
        <v>0</v>
      </c>
      <c r="F362">
        <v>0</v>
      </c>
      <c r="G362">
        <v>0</v>
      </c>
      <c r="H362">
        <v>1.84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845</v>
      </c>
      <c r="Y362">
        <v>45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780</v>
      </c>
      <c r="AF362">
        <v>1</v>
      </c>
      <c r="AG362">
        <v>1</v>
      </c>
      <c r="AH362">
        <v>0</v>
      </c>
      <c r="AI362">
        <v>0</v>
      </c>
      <c r="AJ362">
        <v>1</v>
      </c>
      <c r="AK362">
        <v>520</v>
      </c>
      <c r="AL362">
        <v>8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2.4160000000000004</v>
      </c>
      <c r="AX362">
        <v>2.92</v>
      </c>
      <c r="AY362">
        <v>859.79599999999994</v>
      </c>
      <c r="BA362">
        <v>1200</v>
      </c>
      <c r="BB362">
        <v>1250</v>
      </c>
      <c r="BC362">
        <v>10.5</v>
      </c>
      <c r="BE362" t="s">
        <v>269</v>
      </c>
      <c r="BF362" t="s">
        <v>108</v>
      </c>
    </row>
    <row r="363" spans="1:58" x14ac:dyDescent="0.45">
      <c r="A363">
        <v>10362</v>
      </c>
      <c r="B363">
        <v>1</v>
      </c>
      <c r="C363">
        <v>95.114999999999995</v>
      </c>
      <c r="D363">
        <v>2.92</v>
      </c>
      <c r="E363">
        <v>0</v>
      </c>
      <c r="F363">
        <v>0</v>
      </c>
      <c r="G363">
        <v>0</v>
      </c>
      <c r="H363">
        <v>1.84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845</v>
      </c>
      <c r="Y363">
        <v>45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780</v>
      </c>
      <c r="AF363">
        <v>1</v>
      </c>
      <c r="AG363">
        <v>1</v>
      </c>
      <c r="AH363">
        <v>0</v>
      </c>
      <c r="AI363">
        <v>0</v>
      </c>
      <c r="AJ363">
        <v>1</v>
      </c>
      <c r="AK363">
        <v>520</v>
      </c>
      <c r="AL363">
        <v>8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2.4160000000000004</v>
      </c>
      <c r="AX363">
        <v>2.92</v>
      </c>
      <c r="AY363">
        <v>859.79599999999994</v>
      </c>
      <c r="BA363">
        <v>1203.3</v>
      </c>
      <c r="BB363">
        <v>1263.3</v>
      </c>
      <c r="BC363">
        <v>10.199999999999999</v>
      </c>
      <c r="BF363" t="s">
        <v>108</v>
      </c>
    </row>
    <row r="364" spans="1:58" x14ac:dyDescent="0.45">
      <c r="A364">
        <v>10363</v>
      </c>
      <c r="B364">
        <v>1</v>
      </c>
      <c r="C364">
        <v>95.114999999999995</v>
      </c>
      <c r="D364">
        <v>2.92</v>
      </c>
      <c r="E364">
        <v>0</v>
      </c>
      <c r="F364">
        <v>0</v>
      </c>
      <c r="G364">
        <v>0</v>
      </c>
      <c r="H364">
        <v>1.84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Y364">
        <v>45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780</v>
      </c>
      <c r="AF364">
        <v>1</v>
      </c>
      <c r="AG364">
        <v>0</v>
      </c>
      <c r="AH364">
        <v>1</v>
      </c>
      <c r="AI364">
        <v>0</v>
      </c>
      <c r="AJ364">
        <v>1</v>
      </c>
      <c r="AK364">
        <v>520</v>
      </c>
      <c r="AL364">
        <v>8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2.4160000000000004</v>
      </c>
      <c r="AX364">
        <v>2.92</v>
      </c>
      <c r="AY364">
        <v>859.79599999999994</v>
      </c>
      <c r="BA364">
        <v>1223.3</v>
      </c>
      <c r="BB364">
        <v>1280</v>
      </c>
      <c r="BC364">
        <v>9.5</v>
      </c>
      <c r="BF364" t="s">
        <v>108</v>
      </c>
    </row>
    <row r="365" spans="1:58" x14ac:dyDescent="0.45">
      <c r="A365">
        <v>10364</v>
      </c>
      <c r="B365">
        <v>1</v>
      </c>
      <c r="C365">
        <v>95.114999999999995</v>
      </c>
      <c r="D365">
        <v>2.92</v>
      </c>
      <c r="E365">
        <v>0</v>
      </c>
      <c r="F365">
        <v>0</v>
      </c>
      <c r="G365">
        <v>0</v>
      </c>
      <c r="H365">
        <v>1.84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Y365">
        <v>45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760</v>
      </c>
      <c r="AF365">
        <v>2</v>
      </c>
      <c r="AG365">
        <v>1</v>
      </c>
      <c r="AH365">
        <v>0</v>
      </c>
      <c r="AI365">
        <v>0</v>
      </c>
      <c r="AJ365">
        <v>1</v>
      </c>
      <c r="AK365">
        <v>520</v>
      </c>
      <c r="AL365">
        <v>8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2.4160000000000004</v>
      </c>
      <c r="AX365">
        <v>2.92</v>
      </c>
      <c r="AY365">
        <v>859.79599999999994</v>
      </c>
      <c r="BA365">
        <v>1188</v>
      </c>
      <c r="BB365">
        <v>1245</v>
      </c>
      <c r="BC365">
        <v>10.3</v>
      </c>
      <c r="BF365" t="s">
        <v>108</v>
      </c>
    </row>
    <row r="366" spans="1:58" x14ac:dyDescent="0.45">
      <c r="A366">
        <v>10365</v>
      </c>
      <c r="B366">
        <v>1</v>
      </c>
      <c r="C366">
        <v>95.114999999999995</v>
      </c>
      <c r="D366">
        <v>2.92</v>
      </c>
      <c r="E366">
        <v>0</v>
      </c>
      <c r="F366">
        <v>0</v>
      </c>
      <c r="G366">
        <v>0</v>
      </c>
      <c r="H366">
        <v>1.84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Y366">
        <v>45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760</v>
      </c>
      <c r="AF366">
        <v>2</v>
      </c>
      <c r="AG366">
        <v>1</v>
      </c>
      <c r="AH366">
        <v>0</v>
      </c>
      <c r="AI366">
        <v>0</v>
      </c>
      <c r="AJ366">
        <v>1</v>
      </c>
      <c r="AK366">
        <v>540</v>
      </c>
      <c r="AL366">
        <v>8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2.4160000000000004</v>
      </c>
      <c r="AX366">
        <v>2.92</v>
      </c>
      <c r="AY366">
        <v>859.79599999999994</v>
      </c>
      <c r="BA366">
        <v>1170</v>
      </c>
      <c r="BB366">
        <v>1222</v>
      </c>
      <c r="BC366">
        <v>11.6</v>
      </c>
      <c r="BF366" t="s">
        <v>108</v>
      </c>
    </row>
    <row r="367" spans="1:58" x14ac:dyDescent="0.45">
      <c r="A367">
        <v>10366</v>
      </c>
      <c r="B367">
        <v>1</v>
      </c>
      <c r="C367">
        <v>95.114999999999995</v>
      </c>
      <c r="D367">
        <v>2.92</v>
      </c>
      <c r="E367">
        <v>0</v>
      </c>
      <c r="F367">
        <v>0</v>
      </c>
      <c r="G367">
        <v>0</v>
      </c>
      <c r="H367">
        <v>1.84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Y367">
        <v>45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760</v>
      </c>
      <c r="AF367">
        <v>2</v>
      </c>
      <c r="AG367">
        <v>1</v>
      </c>
      <c r="AH367">
        <v>0</v>
      </c>
      <c r="AI367">
        <v>0</v>
      </c>
      <c r="AJ367">
        <v>1</v>
      </c>
      <c r="AK367">
        <v>580</v>
      </c>
      <c r="AL367">
        <v>8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2.4160000000000004</v>
      </c>
      <c r="AX367">
        <v>2.92</v>
      </c>
      <c r="AY367">
        <v>859.79599999999994</v>
      </c>
      <c r="BA367">
        <v>1018</v>
      </c>
      <c r="BB367">
        <v>1048</v>
      </c>
      <c r="BC367">
        <v>17.3</v>
      </c>
      <c r="BF367" t="s">
        <v>108</v>
      </c>
    </row>
    <row r="368" spans="1:58" x14ac:dyDescent="0.45">
      <c r="A368">
        <v>10367</v>
      </c>
      <c r="B368">
        <v>1</v>
      </c>
      <c r="C368">
        <v>95.114999999999995</v>
      </c>
      <c r="D368">
        <v>2.92</v>
      </c>
      <c r="E368">
        <v>0</v>
      </c>
      <c r="F368">
        <v>0</v>
      </c>
      <c r="G368">
        <v>0</v>
      </c>
      <c r="H368">
        <v>1.84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Y368">
        <v>45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760</v>
      </c>
      <c r="AF368">
        <v>2</v>
      </c>
      <c r="AG368">
        <v>1</v>
      </c>
      <c r="AH368">
        <v>0</v>
      </c>
      <c r="AI368">
        <v>0</v>
      </c>
      <c r="AJ368">
        <v>1</v>
      </c>
      <c r="AK368">
        <v>620</v>
      </c>
      <c r="AL368">
        <v>8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2.4160000000000004</v>
      </c>
      <c r="AX368">
        <v>2.92</v>
      </c>
      <c r="AY368">
        <v>859.79599999999994</v>
      </c>
      <c r="BA368">
        <v>986</v>
      </c>
      <c r="BB368">
        <v>1018</v>
      </c>
      <c r="BC368">
        <v>20</v>
      </c>
      <c r="BE368" t="s">
        <v>270</v>
      </c>
      <c r="BF368" t="s">
        <v>108</v>
      </c>
    </row>
    <row r="369" spans="1:58" x14ac:dyDescent="0.45">
      <c r="A369">
        <v>10368</v>
      </c>
      <c r="B369">
        <v>1</v>
      </c>
      <c r="C369">
        <v>87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Z369">
        <v>0</v>
      </c>
      <c r="AA369">
        <v>1</v>
      </c>
      <c r="AB369">
        <v>0</v>
      </c>
      <c r="AC369">
        <v>0</v>
      </c>
      <c r="AD369">
        <v>0</v>
      </c>
      <c r="AJ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-4.04</v>
      </c>
      <c r="AX369">
        <v>6</v>
      </c>
      <c r="AY369">
        <v>894.6</v>
      </c>
      <c r="BB369">
        <v>933</v>
      </c>
      <c r="BC369">
        <v>7.1</v>
      </c>
      <c r="BF369" t="s">
        <v>118</v>
      </c>
    </row>
    <row r="370" spans="1:58" x14ac:dyDescent="0.45">
      <c r="A370">
        <v>10369</v>
      </c>
      <c r="B370">
        <v>1</v>
      </c>
      <c r="C370">
        <v>85.929999999999993</v>
      </c>
      <c r="D370">
        <v>10.51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3.56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f>AY370</f>
        <v>904.07100000000003</v>
      </c>
      <c r="AF370">
        <v>0</v>
      </c>
      <c r="AG370">
        <v>0</v>
      </c>
      <c r="AH370">
        <v>1</v>
      </c>
      <c r="AI370">
        <v>0</v>
      </c>
      <c r="AJ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-9.5131999999999994</v>
      </c>
      <c r="AX370">
        <v>10.51</v>
      </c>
      <c r="AY370">
        <v>904.07100000000003</v>
      </c>
      <c r="AZ370">
        <v>110</v>
      </c>
      <c r="BA370">
        <v>800</v>
      </c>
      <c r="BF370" t="s">
        <v>60</v>
      </c>
    </row>
    <row r="371" spans="1:58" x14ac:dyDescent="0.45">
      <c r="A371">
        <v>10370</v>
      </c>
      <c r="B371">
        <v>1</v>
      </c>
      <c r="C371">
        <v>88</v>
      </c>
      <c r="D371">
        <v>0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20</v>
      </c>
      <c r="Y371">
        <v>86</v>
      </c>
      <c r="Z371">
        <v>0</v>
      </c>
      <c r="AA371">
        <v>1</v>
      </c>
      <c r="AB371">
        <v>0</v>
      </c>
      <c r="AC371">
        <v>0</v>
      </c>
      <c r="AD371">
        <v>1</v>
      </c>
      <c r="AE371">
        <v>950</v>
      </c>
      <c r="AF371">
        <v>2.5</v>
      </c>
      <c r="AG371">
        <v>1</v>
      </c>
      <c r="AH371">
        <v>0</v>
      </c>
      <c r="AI371">
        <v>0</v>
      </c>
      <c r="AJ371">
        <v>1</v>
      </c>
      <c r="AK371">
        <f>0.5*AY374</f>
        <v>332.87</v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5.36</v>
      </c>
      <c r="AX371">
        <v>1.3333333333333333</v>
      </c>
      <c r="AY371">
        <v>804.4</v>
      </c>
      <c r="BB371">
        <v>1040</v>
      </c>
      <c r="BC371">
        <v>6</v>
      </c>
      <c r="BF371" t="s">
        <v>120</v>
      </c>
    </row>
    <row r="372" spans="1:58" x14ac:dyDescent="0.45">
      <c r="A372">
        <v>10371</v>
      </c>
      <c r="B372">
        <v>1</v>
      </c>
      <c r="C372">
        <v>88</v>
      </c>
      <c r="D372">
        <v>0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20</v>
      </c>
      <c r="Y372">
        <v>86</v>
      </c>
      <c r="Z372">
        <v>0</v>
      </c>
      <c r="AA372">
        <v>1</v>
      </c>
      <c r="AB372">
        <v>0</v>
      </c>
      <c r="AC372">
        <v>0</v>
      </c>
      <c r="AD372">
        <v>1</v>
      </c>
      <c r="AE372">
        <v>950</v>
      </c>
      <c r="AF372">
        <v>2.5</v>
      </c>
      <c r="AG372">
        <v>1</v>
      </c>
      <c r="AH372">
        <v>0</v>
      </c>
      <c r="AI372">
        <v>0</v>
      </c>
      <c r="AJ372">
        <v>1</v>
      </c>
      <c r="AK372">
        <v>250</v>
      </c>
      <c r="AL372">
        <v>1.5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5.36</v>
      </c>
      <c r="AX372">
        <v>1.3333333333333333</v>
      </c>
      <c r="AY372">
        <v>804.4</v>
      </c>
      <c r="BB372">
        <v>1157.51</v>
      </c>
      <c r="BC372">
        <v>4.79</v>
      </c>
      <c r="BF372" t="s">
        <v>120</v>
      </c>
    </row>
    <row r="373" spans="1:58" x14ac:dyDescent="0.45">
      <c r="A373">
        <v>10372</v>
      </c>
      <c r="B373">
        <v>1</v>
      </c>
      <c r="C373">
        <v>75.3</v>
      </c>
      <c r="D373">
        <v>0</v>
      </c>
      <c r="E373">
        <v>20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4.7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20</v>
      </c>
      <c r="Y373">
        <v>86</v>
      </c>
      <c r="Z373">
        <v>0</v>
      </c>
      <c r="AA373">
        <v>1</v>
      </c>
      <c r="AB373">
        <v>0</v>
      </c>
      <c r="AC373">
        <v>0</v>
      </c>
      <c r="AD373">
        <v>1</v>
      </c>
      <c r="AE373">
        <v>950</v>
      </c>
      <c r="AF373">
        <v>2.5</v>
      </c>
      <c r="AG373">
        <v>1</v>
      </c>
      <c r="AH373">
        <v>0</v>
      </c>
      <c r="AI373">
        <v>0</v>
      </c>
      <c r="AJ373">
        <v>1</v>
      </c>
      <c r="AK373">
        <f>0.5*AY376</f>
        <v>381.02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13.4</v>
      </c>
      <c r="AX373">
        <v>1.5666666666666667</v>
      </c>
      <c r="AY373">
        <v>665.74</v>
      </c>
      <c r="BB373">
        <v>867.08</v>
      </c>
      <c r="BC373">
        <v>8.2899999999999991</v>
      </c>
      <c r="BF373" t="s">
        <v>120</v>
      </c>
    </row>
    <row r="374" spans="1:58" x14ac:dyDescent="0.45">
      <c r="A374">
        <v>10373</v>
      </c>
      <c r="B374">
        <v>1</v>
      </c>
      <c r="C374">
        <v>75.3</v>
      </c>
      <c r="D374">
        <v>0</v>
      </c>
      <c r="E374">
        <v>20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4.7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20</v>
      </c>
      <c r="Y374">
        <v>86</v>
      </c>
      <c r="Z374">
        <v>0</v>
      </c>
      <c r="AA374">
        <v>1</v>
      </c>
      <c r="AB374">
        <v>0</v>
      </c>
      <c r="AC374">
        <v>0</v>
      </c>
      <c r="AD374">
        <v>1</v>
      </c>
      <c r="AE374">
        <v>950</v>
      </c>
      <c r="AF374">
        <v>2.5</v>
      </c>
      <c r="AG374">
        <v>1</v>
      </c>
      <c r="AH374">
        <v>0</v>
      </c>
      <c r="AI374">
        <v>0</v>
      </c>
      <c r="AJ374">
        <v>1</v>
      </c>
      <c r="AK374">
        <v>250</v>
      </c>
      <c r="AL374">
        <v>1.5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13.4</v>
      </c>
      <c r="AX374">
        <v>1.5666666666666667</v>
      </c>
      <c r="AY374">
        <v>665.74</v>
      </c>
      <c r="BB374">
        <v>1264.1199999999999</v>
      </c>
      <c r="BC374">
        <v>0.5</v>
      </c>
      <c r="BF374" t="s">
        <v>120</v>
      </c>
    </row>
    <row r="375" spans="1:58" x14ac:dyDescent="0.45">
      <c r="A375">
        <v>10374</v>
      </c>
      <c r="B375">
        <v>1</v>
      </c>
      <c r="C375">
        <v>81.849999999999994</v>
      </c>
      <c r="D375">
        <v>4.4000000000000004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13.6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900</v>
      </c>
      <c r="AF375">
        <v>0.5</v>
      </c>
      <c r="AG375">
        <v>1</v>
      </c>
      <c r="AH375">
        <v>0</v>
      </c>
      <c r="AI375">
        <v>0</v>
      </c>
      <c r="AJ375">
        <v>1</v>
      </c>
      <c r="AK375">
        <v>500</v>
      </c>
      <c r="AL375">
        <v>4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9.1999999999999993</v>
      </c>
      <c r="AX375">
        <v>4.4000000000000004</v>
      </c>
      <c r="AY375">
        <v>762.04</v>
      </c>
      <c r="BA375">
        <v>1290</v>
      </c>
      <c r="BB375">
        <v>1393.33</v>
      </c>
      <c r="BC375">
        <v>5.67</v>
      </c>
      <c r="BF375" t="s">
        <v>108</v>
      </c>
    </row>
    <row r="376" spans="1:58" x14ac:dyDescent="0.45">
      <c r="A376">
        <v>10375</v>
      </c>
      <c r="B376">
        <v>1</v>
      </c>
      <c r="C376">
        <v>81.849999999999994</v>
      </c>
      <c r="D376">
        <v>4.4000000000000004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13.6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Z376">
        <v>1</v>
      </c>
      <c r="AA376">
        <v>0</v>
      </c>
      <c r="AB376">
        <v>0</v>
      </c>
      <c r="AC376">
        <v>0</v>
      </c>
      <c r="AD376">
        <v>1</v>
      </c>
      <c r="AE376">
        <v>900</v>
      </c>
      <c r="AF376">
        <v>0.5</v>
      </c>
      <c r="AG376">
        <v>1</v>
      </c>
      <c r="AH376">
        <v>0</v>
      </c>
      <c r="AI376">
        <v>0</v>
      </c>
      <c r="AJ376">
        <v>1</v>
      </c>
      <c r="AK376">
        <v>600</v>
      </c>
      <c r="AL376">
        <v>4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9.1999999999999993</v>
      </c>
      <c r="AX376">
        <v>4.4000000000000004</v>
      </c>
      <c r="AY376">
        <v>762.04</v>
      </c>
      <c r="BA376">
        <v>1020</v>
      </c>
      <c r="BB376">
        <v>1116.67</v>
      </c>
      <c r="BC376">
        <v>12.5</v>
      </c>
      <c r="BF376" t="s">
        <v>108</v>
      </c>
    </row>
    <row r="377" spans="1:58" x14ac:dyDescent="0.45">
      <c r="A377">
        <v>10376</v>
      </c>
      <c r="B377">
        <v>1</v>
      </c>
      <c r="C377">
        <v>81.849999999999994</v>
      </c>
      <c r="D377">
        <v>4.4000000000000004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13.6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900</v>
      </c>
      <c r="AF377">
        <v>0.5</v>
      </c>
      <c r="AG377">
        <v>1</v>
      </c>
      <c r="AH377">
        <v>0</v>
      </c>
      <c r="AI377">
        <v>0</v>
      </c>
      <c r="AJ377">
        <v>1</v>
      </c>
      <c r="AK377">
        <v>700</v>
      </c>
      <c r="AL377">
        <v>4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9.1999999999999993</v>
      </c>
      <c r="AX377">
        <v>4.4000000000000004</v>
      </c>
      <c r="AY377">
        <v>762.04</v>
      </c>
      <c r="BA377">
        <v>898.33</v>
      </c>
      <c r="BB377">
        <v>945</v>
      </c>
      <c r="BC377">
        <v>18.670000000000002</v>
      </c>
      <c r="BF377" t="s">
        <v>108</v>
      </c>
    </row>
    <row r="378" spans="1:58" x14ac:dyDescent="0.45">
      <c r="A378">
        <v>10377</v>
      </c>
      <c r="B378">
        <v>1</v>
      </c>
      <c r="C378">
        <v>93.61</v>
      </c>
      <c r="D378">
        <v>0</v>
      </c>
      <c r="E378">
        <v>0</v>
      </c>
      <c r="F378">
        <v>0</v>
      </c>
      <c r="G378">
        <v>0</v>
      </c>
      <c r="H378">
        <v>3.9800000000000004</v>
      </c>
      <c r="I378">
        <v>0</v>
      </c>
      <c r="J378">
        <v>0</v>
      </c>
      <c r="K378">
        <v>0</v>
      </c>
      <c r="L378">
        <v>2.42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f>AY378</f>
        <v>797.71799999999996</v>
      </c>
      <c r="AF378">
        <v>0</v>
      </c>
      <c r="AG378">
        <v>1</v>
      </c>
      <c r="AH378">
        <v>0</v>
      </c>
      <c r="AI378">
        <v>0</v>
      </c>
      <c r="AJ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13.962000000000002</v>
      </c>
      <c r="AX378">
        <v>0</v>
      </c>
      <c r="AY378">
        <v>797.71799999999996</v>
      </c>
      <c r="AZ378">
        <v>83</v>
      </c>
      <c r="BA378">
        <v>936</v>
      </c>
      <c r="BF378" t="s">
        <v>60</v>
      </c>
    </row>
    <row r="379" spans="1:58" x14ac:dyDescent="0.45">
      <c r="A379">
        <v>10378</v>
      </c>
      <c r="B379">
        <v>1</v>
      </c>
      <c r="C379">
        <v>93.44</v>
      </c>
      <c r="D379">
        <v>0</v>
      </c>
      <c r="E379">
        <v>0</v>
      </c>
      <c r="F379">
        <v>0</v>
      </c>
      <c r="G379">
        <v>0</v>
      </c>
      <c r="H379">
        <v>0.02</v>
      </c>
      <c r="I379">
        <v>0</v>
      </c>
      <c r="J379">
        <v>0</v>
      </c>
      <c r="K379">
        <v>0</v>
      </c>
      <c r="L379">
        <v>6.54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Z379">
        <v>0</v>
      </c>
      <c r="AA379">
        <v>1</v>
      </c>
      <c r="AB379">
        <v>0</v>
      </c>
      <c r="AC379">
        <v>0</v>
      </c>
      <c r="AD379">
        <v>1</v>
      </c>
      <c r="AE379">
        <f>AY379</f>
        <v>819.56200000000001</v>
      </c>
      <c r="AF379">
        <v>0</v>
      </c>
      <c r="AG379">
        <v>1</v>
      </c>
      <c r="AH379">
        <v>0</v>
      </c>
      <c r="AI379">
        <v>0</v>
      </c>
      <c r="AJ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6.5979999999999999</v>
      </c>
      <c r="AX379">
        <v>0</v>
      </c>
      <c r="AY379">
        <v>819.56200000000001</v>
      </c>
      <c r="AZ379">
        <v>78</v>
      </c>
      <c r="BA379">
        <v>481</v>
      </c>
      <c r="BF379" t="s">
        <v>60</v>
      </c>
    </row>
    <row r="380" spans="1:58" x14ac:dyDescent="0.45">
      <c r="A380">
        <v>10379</v>
      </c>
      <c r="B380">
        <v>1</v>
      </c>
      <c r="C380">
        <v>93.61</v>
      </c>
      <c r="D380">
        <v>0</v>
      </c>
      <c r="E380">
        <v>0</v>
      </c>
      <c r="F380">
        <v>0</v>
      </c>
      <c r="G380">
        <v>0</v>
      </c>
      <c r="H380">
        <v>0.02</v>
      </c>
      <c r="I380">
        <v>0</v>
      </c>
      <c r="J380">
        <v>0</v>
      </c>
      <c r="K380">
        <v>0</v>
      </c>
      <c r="L380">
        <v>6.370000000000001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Z380">
        <v>0</v>
      </c>
      <c r="AA380">
        <v>1</v>
      </c>
      <c r="AB380">
        <v>0</v>
      </c>
      <c r="AC380">
        <v>0</v>
      </c>
      <c r="AD380">
        <v>1</v>
      </c>
      <c r="AE380">
        <f>AY380</f>
        <v>821.17700000000002</v>
      </c>
      <c r="AF380">
        <v>0</v>
      </c>
      <c r="AG380">
        <v>1</v>
      </c>
      <c r="AH380">
        <v>0</v>
      </c>
      <c r="AI380">
        <v>0</v>
      </c>
      <c r="AJ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6.4280000000000008</v>
      </c>
      <c r="AX380">
        <v>0</v>
      </c>
      <c r="AY380">
        <v>821.17700000000002</v>
      </c>
      <c r="AZ380">
        <v>84</v>
      </c>
      <c r="BA380">
        <v>480</v>
      </c>
      <c r="BF380" t="s">
        <v>60</v>
      </c>
    </row>
    <row r="381" spans="1:58" x14ac:dyDescent="0.45">
      <c r="A381">
        <v>10380</v>
      </c>
      <c r="B381">
        <v>1</v>
      </c>
      <c r="C381">
        <v>85.11</v>
      </c>
      <c r="D381">
        <v>5.0599999999999996</v>
      </c>
      <c r="E381">
        <v>0</v>
      </c>
      <c r="F381">
        <v>9.68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>
        <v>900</v>
      </c>
      <c r="AF381">
        <v>0.5</v>
      </c>
      <c r="AG381">
        <v>1</v>
      </c>
      <c r="AH381">
        <v>0</v>
      </c>
      <c r="AI381">
        <v>0</v>
      </c>
      <c r="AJ381">
        <v>1</v>
      </c>
      <c r="AK381">
        <v>600</v>
      </c>
      <c r="AL381">
        <v>4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10.428000000000001</v>
      </c>
      <c r="AX381">
        <v>5.0599999999999996</v>
      </c>
      <c r="AY381">
        <v>775.49799999999993</v>
      </c>
      <c r="BB381">
        <v>1043.33</v>
      </c>
      <c r="BF381" t="s">
        <v>108</v>
      </c>
    </row>
    <row r="382" spans="1:58" x14ac:dyDescent="0.45">
      <c r="A382">
        <v>10381</v>
      </c>
      <c r="B382">
        <v>1</v>
      </c>
      <c r="C382">
        <v>85.11</v>
      </c>
      <c r="D382">
        <v>5.0599999999999996</v>
      </c>
      <c r="E382">
        <v>0</v>
      </c>
      <c r="F382">
        <v>9.68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900</v>
      </c>
      <c r="AF382">
        <v>0.5</v>
      </c>
      <c r="AG382">
        <v>1</v>
      </c>
      <c r="AH382">
        <v>0</v>
      </c>
      <c r="AI382">
        <v>0</v>
      </c>
      <c r="AJ382">
        <v>1</v>
      </c>
      <c r="AK382">
        <v>700</v>
      </c>
      <c r="AL382">
        <v>4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10.428000000000001</v>
      </c>
      <c r="AX382">
        <v>5.0599999999999996</v>
      </c>
      <c r="AY382">
        <v>775.49799999999993</v>
      </c>
      <c r="BB382">
        <v>1143.3</v>
      </c>
      <c r="BF382" t="s">
        <v>108</v>
      </c>
    </row>
    <row r="383" spans="1:58" x14ac:dyDescent="0.45">
      <c r="A383">
        <v>10382</v>
      </c>
      <c r="B383">
        <v>1</v>
      </c>
      <c r="C383">
        <v>94.64</v>
      </c>
      <c r="D383">
        <v>0</v>
      </c>
      <c r="E383">
        <v>0</v>
      </c>
      <c r="F383">
        <v>0</v>
      </c>
      <c r="G383">
        <v>0</v>
      </c>
      <c r="H383">
        <v>3.2800000000000002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2.08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f>AY383</f>
        <v>831.48799999999994</v>
      </c>
      <c r="AF383">
        <v>0</v>
      </c>
      <c r="AG383">
        <v>1</v>
      </c>
      <c r="AH383">
        <v>0</v>
      </c>
      <c r="AI383">
        <v>0</v>
      </c>
      <c r="AJ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9.9695999999999998</v>
      </c>
      <c r="AX383">
        <v>0</v>
      </c>
      <c r="AY383">
        <v>831.48799999999994</v>
      </c>
      <c r="AZ383">
        <v>110</v>
      </c>
      <c r="BA383">
        <v>1250</v>
      </c>
      <c r="BF383" t="s">
        <v>60</v>
      </c>
    </row>
    <row r="384" spans="1:58" x14ac:dyDescent="0.45">
      <c r="A384">
        <v>10383</v>
      </c>
      <c r="B384">
        <v>1</v>
      </c>
      <c r="C384">
        <v>93.820000000000007</v>
      </c>
      <c r="D384">
        <v>0</v>
      </c>
      <c r="E384">
        <v>0</v>
      </c>
      <c r="F384">
        <v>0</v>
      </c>
      <c r="G384">
        <v>0</v>
      </c>
      <c r="H384">
        <v>3.4299999999999997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2.75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Z384">
        <v>0</v>
      </c>
      <c r="AA384">
        <v>1</v>
      </c>
      <c r="AB384">
        <v>0</v>
      </c>
      <c r="AC384">
        <v>0</v>
      </c>
      <c r="AD384">
        <v>1</v>
      </c>
      <c r="AE384">
        <f>AY384</f>
        <v>829.178</v>
      </c>
      <c r="AF384">
        <v>0</v>
      </c>
      <c r="AG384">
        <v>1</v>
      </c>
      <c r="AH384">
        <v>0</v>
      </c>
      <c r="AI384">
        <v>0</v>
      </c>
      <c r="AJ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10.552</v>
      </c>
      <c r="AX384">
        <v>0</v>
      </c>
      <c r="AY384">
        <v>829.178</v>
      </c>
      <c r="AZ384">
        <v>121</v>
      </c>
      <c r="BA384">
        <v>1360</v>
      </c>
      <c r="BF384" t="s">
        <v>60</v>
      </c>
    </row>
    <row r="385" spans="1:58" x14ac:dyDescent="0.45">
      <c r="A385">
        <v>10384</v>
      </c>
      <c r="B385">
        <v>1</v>
      </c>
      <c r="C385">
        <v>91.41</v>
      </c>
      <c r="D385">
        <v>0</v>
      </c>
      <c r="E385">
        <v>0</v>
      </c>
      <c r="F385">
        <v>0</v>
      </c>
      <c r="G385">
        <v>0</v>
      </c>
      <c r="H385">
        <v>7.1999999999999993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1.39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J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21.1858</v>
      </c>
      <c r="AX385">
        <v>0</v>
      </c>
      <c r="AY385">
        <v>771.12</v>
      </c>
      <c r="AZ385">
        <v>120</v>
      </c>
      <c r="BA385">
        <v>1103</v>
      </c>
      <c r="BF385" t="s">
        <v>60</v>
      </c>
    </row>
    <row r="386" spans="1:58" x14ac:dyDescent="0.45">
      <c r="A386">
        <v>10385</v>
      </c>
      <c r="B386">
        <v>1</v>
      </c>
      <c r="C386">
        <v>90.35</v>
      </c>
      <c r="D386">
        <v>0</v>
      </c>
      <c r="E386">
        <v>0</v>
      </c>
      <c r="F386">
        <v>0</v>
      </c>
      <c r="G386">
        <v>0</v>
      </c>
      <c r="H386">
        <v>7.3800000000000008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2.2800000000000002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J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21.903600000000001</v>
      </c>
      <c r="AX386">
        <v>0</v>
      </c>
      <c r="AY386">
        <v>768.34799999999996</v>
      </c>
      <c r="AZ386">
        <v>106</v>
      </c>
      <c r="BA386">
        <v>1050</v>
      </c>
      <c r="BF386" t="s">
        <v>60</v>
      </c>
    </row>
    <row r="387" spans="1:58" x14ac:dyDescent="0.45">
      <c r="A387">
        <v>10386</v>
      </c>
      <c r="B387">
        <v>1</v>
      </c>
      <c r="C387">
        <v>91.52</v>
      </c>
      <c r="D387">
        <v>0</v>
      </c>
      <c r="E387">
        <v>0</v>
      </c>
      <c r="F387">
        <v>0</v>
      </c>
      <c r="G387">
        <v>0</v>
      </c>
      <c r="H387">
        <v>7.93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J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23.1158</v>
      </c>
      <c r="AX387">
        <v>0</v>
      </c>
      <c r="AY387">
        <v>759.87800000000004</v>
      </c>
      <c r="AZ387">
        <v>110</v>
      </c>
      <c r="BA387">
        <v>1143</v>
      </c>
      <c r="BF387" t="s">
        <v>60</v>
      </c>
    </row>
    <row r="388" spans="1:58" x14ac:dyDescent="0.45">
      <c r="A388">
        <v>10387</v>
      </c>
      <c r="B388">
        <v>1</v>
      </c>
      <c r="C388">
        <v>90.490000000000009</v>
      </c>
      <c r="D388">
        <v>0</v>
      </c>
      <c r="E388">
        <v>0</v>
      </c>
      <c r="F388">
        <v>0</v>
      </c>
      <c r="G388">
        <v>0</v>
      </c>
      <c r="H388">
        <v>8.1199999999999992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1.39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J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23.8538</v>
      </c>
      <c r="AX388">
        <v>0</v>
      </c>
      <c r="AY388">
        <v>756.952</v>
      </c>
      <c r="AZ388">
        <v>103</v>
      </c>
      <c r="BA388">
        <v>1079</v>
      </c>
      <c r="BF388" t="s">
        <v>60</v>
      </c>
    </row>
    <row r="389" spans="1:58" x14ac:dyDescent="0.45">
      <c r="A389">
        <v>10388</v>
      </c>
      <c r="B389">
        <v>1</v>
      </c>
      <c r="C389">
        <v>89.039999999999992</v>
      </c>
      <c r="D389">
        <v>0</v>
      </c>
      <c r="E389">
        <v>0</v>
      </c>
      <c r="F389">
        <v>0</v>
      </c>
      <c r="G389">
        <v>0</v>
      </c>
      <c r="H389">
        <v>8.3800000000000008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2.59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J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24.871800000000004</v>
      </c>
      <c r="AX389">
        <v>0</v>
      </c>
      <c r="AY389">
        <v>752.94799999999998</v>
      </c>
      <c r="AZ389">
        <v>99</v>
      </c>
      <c r="BA389">
        <v>1016</v>
      </c>
      <c r="BF389" t="s">
        <v>60</v>
      </c>
    </row>
    <row r="390" spans="1:58" x14ac:dyDescent="0.45">
      <c r="A390">
        <v>10389</v>
      </c>
      <c r="B390">
        <v>1</v>
      </c>
      <c r="C390">
        <v>87.7</v>
      </c>
      <c r="D390">
        <v>0</v>
      </c>
      <c r="E390">
        <v>0</v>
      </c>
      <c r="F390">
        <v>0</v>
      </c>
      <c r="G390">
        <v>0</v>
      </c>
      <c r="H390">
        <v>9.4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2.9000000000000004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J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27.898000000000003</v>
      </c>
      <c r="AX390">
        <v>0</v>
      </c>
      <c r="AY390">
        <v>737.24</v>
      </c>
      <c r="AZ390">
        <v>92</v>
      </c>
      <c r="BA390">
        <v>1008</v>
      </c>
      <c r="BE390" t="s">
        <v>271</v>
      </c>
      <c r="BF390" t="s">
        <v>60</v>
      </c>
    </row>
    <row r="391" spans="1:58" x14ac:dyDescent="0.45">
      <c r="A391">
        <v>10390</v>
      </c>
      <c r="B391">
        <v>1</v>
      </c>
      <c r="C391">
        <v>75.94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19.559999999999999</v>
      </c>
      <c r="L391">
        <v>0</v>
      </c>
      <c r="M391">
        <v>0</v>
      </c>
      <c r="N391">
        <v>0</v>
      </c>
      <c r="O391">
        <v>4.5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f t="shared" ref="AE391:AE402" si="3">AY391</f>
        <v>882</v>
      </c>
      <c r="AF391">
        <v>0</v>
      </c>
      <c r="AG391">
        <v>1</v>
      </c>
      <c r="AH391">
        <v>0</v>
      </c>
      <c r="AI391">
        <v>0</v>
      </c>
      <c r="AJ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6.4668000000000001</v>
      </c>
      <c r="AX391">
        <v>0</v>
      </c>
      <c r="AY391">
        <v>882</v>
      </c>
      <c r="AZ391">
        <v>66</v>
      </c>
      <c r="BA391">
        <v>213</v>
      </c>
      <c r="BF391" t="s">
        <v>60</v>
      </c>
    </row>
    <row r="392" spans="1:58" x14ac:dyDescent="0.45">
      <c r="A392">
        <v>10391</v>
      </c>
      <c r="B392">
        <v>1</v>
      </c>
      <c r="C392">
        <v>71.95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18.529999999999998</v>
      </c>
      <c r="L392">
        <v>0</v>
      </c>
      <c r="M392">
        <v>0</v>
      </c>
      <c r="N392">
        <v>0</v>
      </c>
      <c r="O392">
        <v>9.5200000000000014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Z392">
        <v>0</v>
      </c>
      <c r="AA392">
        <v>1</v>
      </c>
      <c r="AB392">
        <v>0</v>
      </c>
      <c r="AC392">
        <v>0</v>
      </c>
      <c r="AD392">
        <v>1</v>
      </c>
      <c r="AE392">
        <f t="shared" si="3"/>
        <v>882</v>
      </c>
      <c r="AF392">
        <v>0</v>
      </c>
      <c r="AG392">
        <v>1</v>
      </c>
      <c r="AH392">
        <v>0</v>
      </c>
      <c r="AI392">
        <v>0</v>
      </c>
      <c r="AJ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7.2827999999999999</v>
      </c>
      <c r="AX392">
        <v>0</v>
      </c>
      <c r="AY392">
        <v>882</v>
      </c>
      <c r="AZ392">
        <v>55</v>
      </c>
      <c r="BA392">
        <v>200</v>
      </c>
      <c r="BF392" t="s">
        <v>60</v>
      </c>
    </row>
    <row r="393" spans="1:58" x14ac:dyDescent="0.45">
      <c r="A393">
        <v>10392</v>
      </c>
      <c r="B393">
        <v>1</v>
      </c>
      <c r="C393">
        <v>84.26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14.97</v>
      </c>
      <c r="L393">
        <v>0</v>
      </c>
      <c r="M393">
        <v>0</v>
      </c>
      <c r="N393">
        <v>0</v>
      </c>
      <c r="O393">
        <v>0.77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f t="shared" si="3"/>
        <v>882</v>
      </c>
      <c r="AF393">
        <v>0</v>
      </c>
      <c r="AG393">
        <v>1</v>
      </c>
      <c r="AH393">
        <v>0</v>
      </c>
      <c r="AI393">
        <v>0</v>
      </c>
      <c r="AJ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4.3610000000000007</v>
      </c>
      <c r="AX393">
        <v>0</v>
      </c>
      <c r="AY393">
        <v>882</v>
      </c>
      <c r="AZ393">
        <v>71</v>
      </c>
      <c r="BA393">
        <v>374</v>
      </c>
      <c r="BE393" t="s">
        <v>272</v>
      </c>
      <c r="BF393" t="s">
        <v>60</v>
      </c>
    </row>
    <row r="394" spans="1:58" x14ac:dyDescent="0.45">
      <c r="A394">
        <v>10393</v>
      </c>
      <c r="B394">
        <v>1</v>
      </c>
      <c r="C394">
        <v>83.13000000000001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15.299999999999999</v>
      </c>
      <c r="L394">
        <v>0</v>
      </c>
      <c r="M394">
        <v>0</v>
      </c>
      <c r="N394">
        <v>0</v>
      </c>
      <c r="O394">
        <v>1.5699999999999998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f t="shared" si="3"/>
        <v>882</v>
      </c>
      <c r="AF394">
        <v>0</v>
      </c>
      <c r="AG394">
        <v>1</v>
      </c>
      <c r="AH394">
        <v>0</v>
      </c>
      <c r="AI394">
        <v>0</v>
      </c>
      <c r="AJ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4.6293999999999995</v>
      </c>
      <c r="AX394">
        <v>0</v>
      </c>
      <c r="AY394">
        <v>882</v>
      </c>
      <c r="AZ394">
        <v>78</v>
      </c>
      <c r="BA394">
        <v>433</v>
      </c>
      <c r="BE394" t="s">
        <v>273</v>
      </c>
      <c r="BF394" t="s">
        <v>60</v>
      </c>
    </row>
    <row r="395" spans="1:58" x14ac:dyDescent="0.45">
      <c r="A395">
        <v>10394</v>
      </c>
      <c r="B395">
        <v>1</v>
      </c>
      <c r="C395">
        <v>81.95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15.64</v>
      </c>
      <c r="L395">
        <v>0</v>
      </c>
      <c r="M395">
        <v>0</v>
      </c>
      <c r="N395">
        <v>0</v>
      </c>
      <c r="O395">
        <v>2.41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Z395">
        <v>0</v>
      </c>
      <c r="AA395">
        <v>1</v>
      </c>
      <c r="AB395">
        <v>0</v>
      </c>
      <c r="AC395">
        <v>0</v>
      </c>
      <c r="AD395">
        <v>1</v>
      </c>
      <c r="AE395">
        <f t="shared" si="3"/>
        <v>882</v>
      </c>
      <c r="AF395">
        <v>0</v>
      </c>
      <c r="AG395">
        <v>1</v>
      </c>
      <c r="AH395">
        <v>0</v>
      </c>
      <c r="AI395">
        <v>0</v>
      </c>
      <c r="AJ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4.9094000000000007</v>
      </c>
      <c r="AX395">
        <v>0</v>
      </c>
      <c r="AY395">
        <v>882</v>
      </c>
      <c r="AZ395">
        <v>78</v>
      </c>
      <c r="BA395">
        <v>376</v>
      </c>
      <c r="BE395" t="s">
        <v>274</v>
      </c>
      <c r="BF395" t="s">
        <v>60</v>
      </c>
    </row>
    <row r="396" spans="1:58" x14ac:dyDescent="0.45">
      <c r="A396">
        <v>10395</v>
      </c>
      <c r="B396">
        <v>1</v>
      </c>
      <c r="C396">
        <v>80.72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18.48</v>
      </c>
      <c r="L396">
        <v>0</v>
      </c>
      <c r="M396">
        <v>0</v>
      </c>
      <c r="N396">
        <v>0</v>
      </c>
      <c r="O396">
        <v>0.79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f t="shared" si="3"/>
        <v>882</v>
      </c>
      <c r="AF396">
        <v>0</v>
      </c>
      <c r="AG396">
        <v>1</v>
      </c>
      <c r="AH396">
        <v>0</v>
      </c>
      <c r="AI396">
        <v>0</v>
      </c>
      <c r="AJ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5.3482000000000003</v>
      </c>
      <c r="AX396">
        <v>0</v>
      </c>
      <c r="AY396">
        <v>882</v>
      </c>
      <c r="AZ396">
        <v>81</v>
      </c>
      <c r="BA396">
        <v>411</v>
      </c>
      <c r="BE396" t="s">
        <v>275</v>
      </c>
      <c r="BF396" t="s">
        <v>60</v>
      </c>
    </row>
    <row r="397" spans="1:58" x14ac:dyDescent="0.45">
      <c r="A397">
        <v>10396</v>
      </c>
      <c r="B397">
        <v>1</v>
      </c>
      <c r="C397">
        <v>79.47999999999999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18.899999999999999</v>
      </c>
      <c r="L397">
        <v>0</v>
      </c>
      <c r="M397">
        <v>0</v>
      </c>
      <c r="N397">
        <v>0</v>
      </c>
      <c r="O397">
        <v>1.6199999999999999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f t="shared" si="3"/>
        <v>882</v>
      </c>
      <c r="AF397">
        <v>0</v>
      </c>
      <c r="AG397">
        <v>1</v>
      </c>
      <c r="AH397">
        <v>0</v>
      </c>
      <c r="AI397">
        <v>0</v>
      </c>
      <c r="AJ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5.6483999999999996</v>
      </c>
      <c r="AX397">
        <v>0</v>
      </c>
      <c r="AY397">
        <v>882</v>
      </c>
      <c r="AZ397">
        <v>80</v>
      </c>
      <c r="BA397">
        <v>377</v>
      </c>
      <c r="BF397" t="s">
        <v>60</v>
      </c>
    </row>
    <row r="398" spans="1:58" x14ac:dyDescent="0.45">
      <c r="A398">
        <v>10397</v>
      </c>
      <c r="B398">
        <v>1</v>
      </c>
      <c r="C398">
        <v>78.180000000000007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19.34</v>
      </c>
      <c r="L398">
        <v>0</v>
      </c>
      <c r="M398">
        <v>0</v>
      </c>
      <c r="N398">
        <v>0</v>
      </c>
      <c r="O398">
        <v>2.48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f t="shared" si="3"/>
        <v>882</v>
      </c>
      <c r="AF398">
        <v>0</v>
      </c>
      <c r="AG398">
        <v>1</v>
      </c>
      <c r="AH398">
        <v>0</v>
      </c>
      <c r="AI398">
        <v>0</v>
      </c>
      <c r="AJ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5.9608000000000008</v>
      </c>
      <c r="AX398">
        <v>0</v>
      </c>
      <c r="AY398">
        <v>882</v>
      </c>
      <c r="AZ398">
        <v>81</v>
      </c>
      <c r="BA398">
        <v>395</v>
      </c>
      <c r="BF398" t="s">
        <v>60</v>
      </c>
    </row>
    <row r="399" spans="1:58" x14ac:dyDescent="0.45">
      <c r="A399">
        <v>10398</v>
      </c>
      <c r="B399">
        <v>1</v>
      </c>
      <c r="C399">
        <v>76.98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22.21</v>
      </c>
      <c r="L399">
        <v>0</v>
      </c>
      <c r="M399">
        <v>0</v>
      </c>
      <c r="N399">
        <v>0</v>
      </c>
      <c r="O399">
        <v>0.80999999999999994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f t="shared" si="3"/>
        <v>882</v>
      </c>
      <c r="AF399">
        <v>0</v>
      </c>
      <c r="AG399">
        <v>1</v>
      </c>
      <c r="AH399">
        <v>0</v>
      </c>
      <c r="AI399">
        <v>0</v>
      </c>
      <c r="AJ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6.3970000000000011</v>
      </c>
      <c r="AX399">
        <v>0</v>
      </c>
      <c r="AY399">
        <v>882</v>
      </c>
      <c r="AZ399">
        <v>85</v>
      </c>
      <c r="BA399">
        <v>303</v>
      </c>
      <c r="BF399" t="s">
        <v>60</v>
      </c>
    </row>
    <row r="400" spans="1:58" x14ac:dyDescent="0.45">
      <c r="A400">
        <v>10399</v>
      </c>
      <c r="B400">
        <v>1</v>
      </c>
      <c r="C400">
        <v>75.61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22.720000000000002</v>
      </c>
      <c r="L400">
        <v>0</v>
      </c>
      <c r="M400">
        <v>0</v>
      </c>
      <c r="N400">
        <v>0</v>
      </c>
      <c r="O400">
        <v>1.67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Z400">
        <v>0</v>
      </c>
      <c r="AA400">
        <v>1</v>
      </c>
      <c r="AB400">
        <v>0</v>
      </c>
      <c r="AC400">
        <v>0</v>
      </c>
      <c r="AD400">
        <v>1</v>
      </c>
      <c r="AE400">
        <f t="shared" si="3"/>
        <v>882</v>
      </c>
      <c r="AF400">
        <v>0</v>
      </c>
      <c r="AG400">
        <v>1</v>
      </c>
      <c r="AH400">
        <v>0</v>
      </c>
      <c r="AI400">
        <v>0</v>
      </c>
      <c r="AJ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6.729000000000001</v>
      </c>
      <c r="AX400">
        <v>0</v>
      </c>
      <c r="AY400">
        <v>882</v>
      </c>
      <c r="AZ400">
        <v>84</v>
      </c>
      <c r="BA400">
        <v>340</v>
      </c>
      <c r="BF400" t="s">
        <v>60</v>
      </c>
    </row>
    <row r="401" spans="1:58" x14ac:dyDescent="0.45">
      <c r="A401">
        <v>10400</v>
      </c>
      <c r="B401">
        <v>1</v>
      </c>
      <c r="C401">
        <v>74.180000000000007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23.26</v>
      </c>
      <c r="L401">
        <v>0</v>
      </c>
      <c r="M401">
        <v>0</v>
      </c>
      <c r="N401">
        <v>0</v>
      </c>
      <c r="O401">
        <v>2.56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f t="shared" si="3"/>
        <v>882</v>
      </c>
      <c r="AF401">
        <v>0</v>
      </c>
      <c r="AG401">
        <v>1</v>
      </c>
      <c r="AH401">
        <v>0</v>
      </c>
      <c r="AI401">
        <v>0</v>
      </c>
      <c r="AJ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7.0760000000000014</v>
      </c>
      <c r="AX401">
        <v>0</v>
      </c>
      <c r="AY401">
        <v>882</v>
      </c>
      <c r="AZ401">
        <v>90</v>
      </c>
      <c r="BA401">
        <v>314</v>
      </c>
      <c r="BF401" t="s">
        <v>60</v>
      </c>
    </row>
    <row r="402" spans="1:58" x14ac:dyDescent="0.45">
      <c r="A402">
        <v>10401</v>
      </c>
      <c r="B402">
        <v>1</v>
      </c>
      <c r="C402">
        <v>77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22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f t="shared" si="3"/>
        <v>882</v>
      </c>
      <c r="AF402">
        <v>0</v>
      </c>
      <c r="AG402">
        <v>1</v>
      </c>
      <c r="AH402">
        <v>0</v>
      </c>
      <c r="AI402">
        <v>0</v>
      </c>
      <c r="AJ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6.38</v>
      </c>
      <c r="AX402">
        <v>0</v>
      </c>
      <c r="AY402">
        <v>882</v>
      </c>
      <c r="AZ402">
        <v>72</v>
      </c>
      <c r="BA402">
        <v>401</v>
      </c>
      <c r="BF402" t="s">
        <v>60</v>
      </c>
    </row>
    <row r="403" spans="1:58" x14ac:dyDescent="0.45">
      <c r="A403">
        <v>10402</v>
      </c>
      <c r="B403">
        <v>1</v>
      </c>
      <c r="C403">
        <v>71.95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18.53</v>
      </c>
      <c r="L403">
        <v>0</v>
      </c>
      <c r="M403">
        <v>0</v>
      </c>
      <c r="N403">
        <v>0</v>
      </c>
      <c r="O403">
        <v>9.52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J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7.2827999999999999</v>
      </c>
      <c r="AX403">
        <v>0</v>
      </c>
      <c r="AY403">
        <v>882</v>
      </c>
      <c r="AZ403">
        <v>55</v>
      </c>
    </row>
    <row r="404" spans="1:58" x14ac:dyDescent="0.45">
      <c r="A404">
        <v>10403</v>
      </c>
      <c r="B404">
        <v>1</v>
      </c>
      <c r="C404">
        <v>75.94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19.559999999999999</v>
      </c>
      <c r="L404">
        <v>0</v>
      </c>
      <c r="M404">
        <v>0</v>
      </c>
      <c r="N404">
        <v>0</v>
      </c>
      <c r="O404">
        <v>4.5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J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6.4668000000000001</v>
      </c>
      <c r="AX404">
        <v>0</v>
      </c>
      <c r="AY404">
        <v>882</v>
      </c>
      <c r="AZ404">
        <v>63</v>
      </c>
    </row>
    <row r="405" spans="1:58" x14ac:dyDescent="0.45">
      <c r="A405">
        <v>10404</v>
      </c>
      <c r="B405">
        <v>1</v>
      </c>
      <c r="C405">
        <v>58.430000000000007</v>
      </c>
      <c r="D405">
        <v>10.91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30.659999999999997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Z405">
        <v>0</v>
      </c>
      <c r="AA405">
        <v>1</v>
      </c>
      <c r="AB405">
        <v>0</v>
      </c>
      <c r="AC405">
        <v>0</v>
      </c>
      <c r="AD405">
        <v>1</v>
      </c>
      <c r="AE405">
        <f>AY405</f>
        <v>693.35700000000008</v>
      </c>
      <c r="AF405">
        <v>0</v>
      </c>
      <c r="AG405">
        <v>1</v>
      </c>
      <c r="AH405">
        <v>0</v>
      </c>
      <c r="AI405">
        <v>0</v>
      </c>
      <c r="AJ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-10.91</v>
      </c>
      <c r="AX405">
        <v>16.02</v>
      </c>
      <c r="AY405">
        <v>693.35700000000008</v>
      </c>
      <c r="AZ405">
        <v>100</v>
      </c>
      <c r="BA405">
        <v>1710</v>
      </c>
      <c r="BF405" t="s">
        <v>60</v>
      </c>
    </row>
    <row r="406" spans="1:58" x14ac:dyDescent="0.45">
      <c r="A406">
        <v>10405</v>
      </c>
      <c r="B406">
        <v>1</v>
      </c>
      <c r="C406">
        <v>91.91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6.63</v>
      </c>
      <c r="M406">
        <v>0</v>
      </c>
      <c r="N406">
        <v>0</v>
      </c>
      <c r="O406">
        <v>1.46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J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6.9512</v>
      </c>
      <c r="AX406">
        <v>0</v>
      </c>
      <c r="AY406">
        <v>819.01499999999999</v>
      </c>
      <c r="AZ406">
        <v>74</v>
      </c>
    </row>
    <row r="407" spans="1:58" x14ac:dyDescent="0.45">
      <c r="A407">
        <v>10406</v>
      </c>
      <c r="B407">
        <v>1</v>
      </c>
      <c r="C407">
        <v>53.4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4.5999999999999996</v>
      </c>
      <c r="K407">
        <v>29</v>
      </c>
      <c r="L407">
        <v>0</v>
      </c>
      <c r="M407">
        <v>0</v>
      </c>
      <c r="N407">
        <v>0</v>
      </c>
      <c r="O407">
        <v>13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800</v>
      </c>
      <c r="AF407">
        <v>1</v>
      </c>
      <c r="AG407">
        <v>1</v>
      </c>
      <c r="AH407">
        <v>0</v>
      </c>
      <c r="AI407">
        <v>0</v>
      </c>
      <c r="AJ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10.98</v>
      </c>
      <c r="AX407">
        <v>0.76666666666666661</v>
      </c>
      <c r="AY407">
        <v>850.26</v>
      </c>
      <c r="AZ407">
        <v>42</v>
      </c>
      <c r="BA407">
        <v>88</v>
      </c>
      <c r="BB407">
        <v>421</v>
      </c>
      <c r="BC407">
        <v>80.34</v>
      </c>
      <c r="BF407" t="s">
        <v>121</v>
      </c>
    </row>
    <row r="408" spans="1:58" x14ac:dyDescent="0.45">
      <c r="A408">
        <v>10407</v>
      </c>
      <c r="B408">
        <v>1</v>
      </c>
      <c r="C408">
        <v>53.4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4.5999999999999996</v>
      </c>
      <c r="K408">
        <v>29</v>
      </c>
      <c r="L408">
        <v>0</v>
      </c>
      <c r="M408">
        <v>0</v>
      </c>
      <c r="N408">
        <v>0</v>
      </c>
      <c r="O408">
        <v>13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20</v>
      </c>
      <c r="Y408">
        <v>88.75</v>
      </c>
      <c r="Z408">
        <v>0</v>
      </c>
      <c r="AA408">
        <v>1</v>
      </c>
      <c r="AB408">
        <v>0</v>
      </c>
      <c r="AC408">
        <v>0</v>
      </c>
      <c r="AD408">
        <v>1</v>
      </c>
      <c r="AE408">
        <v>800</v>
      </c>
      <c r="AF408">
        <v>1</v>
      </c>
      <c r="AG408">
        <v>1</v>
      </c>
      <c r="AH408">
        <v>0</v>
      </c>
      <c r="AI408">
        <v>0</v>
      </c>
      <c r="AJ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10.98</v>
      </c>
      <c r="AX408">
        <v>0.76666666666666661</v>
      </c>
      <c r="AY408">
        <v>850.26</v>
      </c>
      <c r="AZ408">
        <v>46</v>
      </c>
      <c r="BA408">
        <v>356</v>
      </c>
      <c r="BB408">
        <v>686</v>
      </c>
      <c r="BC408">
        <v>4.7300000000000004</v>
      </c>
      <c r="BF408" t="s">
        <v>121</v>
      </c>
    </row>
    <row r="409" spans="1:58" x14ac:dyDescent="0.45">
      <c r="A409">
        <v>10408</v>
      </c>
      <c r="B409">
        <v>1</v>
      </c>
      <c r="C409">
        <v>53.4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4.5999999999999996</v>
      </c>
      <c r="K409">
        <v>29</v>
      </c>
      <c r="L409">
        <v>0</v>
      </c>
      <c r="M409">
        <v>0</v>
      </c>
      <c r="N409">
        <v>0</v>
      </c>
      <c r="O409">
        <v>13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20</v>
      </c>
      <c r="Y409">
        <v>88.75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800</v>
      </c>
      <c r="AF409">
        <v>1</v>
      </c>
      <c r="AG409">
        <v>1</v>
      </c>
      <c r="AH409">
        <v>0</v>
      </c>
      <c r="AI409">
        <v>0</v>
      </c>
      <c r="AJ409">
        <v>1</v>
      </c>
      <c r="AK409">
        <v>400</v>
      </c>
      <c r="AL409">
        <v>0.33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10.98</v>
      </c>
      <c r="AX409">
        <v>0.76666666666666661</v>
      </c>
      <c r="AY409">
        <v>850.26</v>
      </c>
      <c r="AZ409">
        <v>48</v>
      </c>
      <c r="BA409">
        <v>920</v>
      </c>
      <c r="BB409">
        <v>967</v>
      </c>
      <c r="BC409">
        <v>2.91</v>
      </c>
      <c r="BF409" t="s">
        <v>121</v>
      </c>
    </row>
    <row r="410" spans="1:58" x14ac:dyDescent="0.45">
      <c r="A410">
        <v>10409</v>
      </c>
      <c r="B410">
        <v>1</v>
      </c>
      <c r="C410">
        <v>53.4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4.5999999999999996</v>
      </c>
      <c r="K410">
        <v>29</v>
      </c>
      <c r="L410">
        <v>0</v>
      </c>
      <c r="M410">
        <v>0</v>
      </c>
      <c r="N410">
        <v>0</v>
      </c>
      <c r="O410">
        <v>13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20</v>
      </c>
      <c r="Y410">
        <v>88.75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800</v>
      </c>
      <c r="AF410">
        <v>1</v>
      </c>
      <c r="AG410">
        <v>1</v>
      </c>
      <c r="AH410">
        <v>0</v>
      </c>
      <c r="AI410">
        <v>0</v>
      </c>
      <c r="AJ410">
        <v>1</v>
      </c>
      <c r="AK410">
        <v>400</v>
      </c>
      <c r="AL410">
        <v>1.67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10.98</v>
      </c>
      <c r="AX410">
        <v>0.76666666666666661</v>
      </c>
      <c r="AY410">
        <v>850.26</v>
      </c>
      <c r="AZ410">
        <v>83</v>
      </c>
      <c r="BA410">
        <v>1180</v>
      </c>
      <c r="BB410">
        <v>1192</v>
      </c>
      <c r="BC410">
        <v>1.66</v>
      </c>
      <c r="BF410" t="s">
        <v>121</v>
      </c>
    </row>
    <row r="411" spans="1:58" x14ac:dyDescent="0.45">
      <c r="A411">
        <v>10410</v>
      </c>
      <c r="B411">
        <v>1</v>
      </c>
      <c r="C411">
        <v>53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7</v>
      </c>
      <c r="K411">
        <v>35</v>
      </c>
      <c r="L411">
        <v>0</v>
      </c>
      <c r="M411">
        <v>0</v>
      </c>
      <c r="N411">
        <v>0</v>
      </c>
      <c r="O411">
        <v>5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850</v>
      </c>
      <c r="AF411">
        <v>0.5</v>
      </c>
      <c r="AG411">
        <v>1</v>
      </c>
      <c r="AH411">
        <v>0</v>
      </c>
      <c r="AI411">
        <v>0</v>
      </c>
      <c r="AJ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10.9</v>
      </c>
      <c r="AX411">
        <v>1.1666666666666667</v>
      </c>
      <c r="AY411">
        <v>833.7</v>
      </c>
      <c r="BB411">
        <v>480</v>
      </c>
      <c r="BC411">
        <v>22.13</v>
      </c>
      <c r="BF411" t="s">
        <v>122</v>
      </c>
    </row>
    <row r="412" spans="1:58" x14ac:dyDescent="0.45">
      <c r="A412">
        <v>10411</v>
      </c>
      <c r="B412">
        <v>1</v>
      </c>
      <c r="C412">
        <v>53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7</v>
      </c>
      <c r="K412">
        <v>35</v>
      </c>
      <c r="L412">
        <v>0</v>
      </c>
      <c r="M412">
        <v>0</v>
      </c>
      <c r="N412">
        <v>0</v>
      </c>
      <c r="O412">
        <v>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850</v>
      </c>
      <c r="AF412">
        <v>0.5</v>
      </c>
      <c r="AG412">
        <v>1</v>
      </c>
      <c r="AH412">
        <v>0</v>
      </c>
      <c r="AI412">
        <v>0</v>
      </c>
      <c r="AJ412">
        <v>1</v>
      </c>
      <c r="AK412">
        <v>400</v>
      </c>
      <c r="AL412">
        <v>12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10.9</v>
      </c>
      <c r="AX412">
        <v>1.1666666666666667</v>
      </c>
      <c r="AY412">
        <v>833.7</v>
      </c>
      <c r="BB412">
        <v>492</v>
      </c>
      <c r="BC412">
        <v>6.17</v>
      </c>
      <c r="BF412" t="s">
        <v>122</v>
      </c>
    </row>
    <row r="413" spans="1:58" x14ac:dyDescent="0.45">
      <c r="A413">
        <v>10412</v>
      </c>
      <c r="B413">
        <v>1</v>
      </c>
      <c r="C413">
        <v>53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7</v>
      </c>
      <c r="K413">
        <v>35</v>
      </c>
      <c r="L413">
        <v>0</v>
      </c>
      <c r="M413">
        <v>0</v>
      </c>
      <c r="N413">
        <v>0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850</v>
      </c>
      <c r="AF413">
        <v>0.5</v>
      </c>
      <c r="AG413">
        <v>1</v>
      </c>
      <c r="AH413">
        <v>0</v>
      </c>
      <c r="AI413">
        <v>0</v>
      </c>
      <c r="AJ413">
        <v>1</v>
      </c>
      <c r="AK413">
        <v>450</v>
      </c>
      <c r="AL413">
        <v>12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10.9</v>
      </c>
      <c r="AX413">
        <v>1.1666666666666667</v>
      </c>
      <c r="AY413">
        <v>833.7</v>
      </c>
      <c r="BB413">
        <v>854</v>
      </c>
      <c r="BC413">
        <v>6.66</v>
      </c>
      <c r="BF413" t="s">
        <v>122</v>
      </c>
    </row>
    <row r="414" spans="1:58" x14ac:dyDescent="0.45">
      <c r="A414">
        <v>10413</v>
      </c>
      <c r="B414">
        <v>1</v>
      </c>
      <c r="C414">
        <v>53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</v>
      </c>
      <c r="K414">
        <v>35</v>
      </c>
      <c r="L414">
        <v>0</v>
      </c>
      <c r="M414">
        <v>0</v>
      </c>
      <c r="N414">
        <v>0</v>
      </c>
      <c r="O414">
        <v>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850</v>
      </c>
      <c r="AF414">
        <v>0.5</v>
      </c>
      <c r="AG414">
        <v>1</v>
      </c>
      <c r="AH414">
        <v>0</v>
      </c>
      <c r="AI414">
        <v>0</v>
      </c>
      <c r="AJ414">
        <v>1</v>
      </c>
      <c r="AK414">
        <v>500</v>
      </c>
      <c r="AL414">
        <v>12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10.9</v>
      </c>
      <c r="AX414">
        <v>1.1666666666666667</v>
      </c>
      <c r="AY414">
        <v>833.7</v>
      </c>
      <c r="BB414">
        <v>613</v>
      </c>
      <c r="BC414">
        <v>11.31</v>
      </c>
      <c r="BF414" t="s">
        <v>122</v>
      </c>
    </row>
    <row r="415" spans="1:58" x14ac:dyDescent="0.45">
      <c r="A415">
        <v>10414</v>
      </c>
      <c r="B415">
        <v>1</v>
      </c>
      <c r="C415">
        <v>53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7</v>
      </c>
      <c r="K415">
        <v>35</v>
      </c>
      <c r="L415">
        <v>0</v>
      </c>
      <c r="M415">
        <v>0</v>
      </c>
      <c r="N415">
        <v>0</v>
      </c>
      <c r="O415">
        <v>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850</v>
      </c>
      <c r="AF415">
        <v>0.5</v>
      </c>
      <c r="AG415">
        <v>1</v>
      </c>
      <c r="AH415">
        <v>0</v>
      </c>
      <c r="AI415">
        <v>0</v>
      </c>
      <c r="AJ415">
        <v>1</v>
      </c>
      <c r="AK415">
        <v>550</v>
      </c>
      <c r="AL415">
        <v>12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10.9</v>
      </c>
      <c r="AX415">
        <v>1.1666666666666667</v>
      </c>
      <c r="AY415">
        <v>833.7</v>
      </c>
      <c r="BB415">
        <v>529</v>
      </c>
      <c r="BC415">
        <v>17.440000000000001</v>
      </c>
      <c r="BF415" t="s">
        <v>122</v>
      </c>
    </row>
    <row r="416" spans="1:58" x14ac:dyDescent="0.45">
      <c r="A416">
        <v>10415</v>
      </c>
      <c r="B416">
        <v>1</v>
      </c>
      <c r="C416">
        <v>60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</v>
      </c>
      <c r="K416">
        <v>35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20</v>
      </c>
      <c r="Y416">
        <v>90</v>
      </c>
      <c r="Z416">
        <v>0</v>
      </c>
      <c r="AA416">
        <v>1</v>
      </c>
      <c r="AB416">
        <v>0</v>
      </c>
      <c r="AC416">
        <v>0</v>
      </c>
      <c r="AD416">
        <v>1</v>
      </c>
      <c r="AE416">
        <v>450</v>
      </c>
      <c r="AF416">
        <v>0.16700000000000001</v>
      </c>
      <c r="AG416">
        <v>0</v>
      </c>
      <c r="AH416">
        <v>1</v>
      </c>
      <c r="AI416">
        <v>0</v>
      </c>
      <c r="AJ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10.24</v>
      </c>
      <c r="AX416">
        <v>0.5</v>
      </c>
      <c r="AY416">
        <v>861.3</v>
      </c>
      <c r="BB416">
        <v>864</v>
      </c>
      <c r="BC416">
        <v>1.55</v>
      </c>
      <c r="BF416" t="s">
        <v>123</v>
      </c>
    </row>
    <row r="417" spans="1:58" x14ac:dyDescent="0.45">
      <c r="A417">
        <v>10416</v>
      </c>
      <c r="B417">
        <v>1</v>
      </c>
      <c r="C417">
        <v>60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35</v>
      </c>
      <c r="L417">
        <v>0</v>
      </c>
      <c r="M417">
        <v>0</v>
      </c>
      <c r="N417">
        <v>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20</v>
      </c>
      <c r="Y417">
        <v>90</v>
      </c>
      <c r="Z417">
        <v>0</v>
      </c>
      <c r="AA417">
        <v>1</v>
      </c>
      <c r="AB417">
        <v>0</v>
      </c>
      <c r="AC417">
        <v>0</v>
      </c>
      <c r="AD417">
        <v>1</v>
      </c>
      <c r="AE417">
        <v>550</v>
      </c>
      <c r="AF417">
        <v>0.16700000000000001</v>
      </c>
      <c r="AG417">
        <v>0</v>
      </c>
      <c r="AH417">
        <v>1</v>
      </c>
      <c r="AI417">
        <v>0</v>
      </c>
      <c r="AJ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10.24</v>
      </c>
      <c r="AX417">
        <v>0.5</v>
      </c>
      <c r="AY417">
        <v>861.3</v>
      </c>
      <c r="BB417">
        <v>780</v>
      </c>
      <c r="BC417">
        <v>17.399999999999999</v>
      </c>
      <c r="BF417" t="s">
        <v>123</v>
      </c>
    </row>
    <row r="418" spans="1:58" x14ac:dyDescent="0.45">
      <c r="A418">
        <v>10417</v>
      </c>
      <c r="B418">
        <v>1</v>
      </c>
      <c r="C418">
        <v>60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35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20</v>
      </c>
      <c r="Y418">
        <v>90</v>
      </c>
      <c r="Z418">
        <v>0</v>
      </c>
      <c r="AA418">
        <v>1</v>
      </c>
      <c r="AB418">
        <v>0</v>
      </c>
      <c r="AC418">
        <v>0</v>
      </c>
      <c r="AD418">
        <v>1</v>
      </c>
      <c r="AE418">
        <v>650</v>
      </c>
      <c r="AF418">
        <v>0.16700000000000001</v>
      </c>
      <c r="AG418">
        <v>0</v>
      </c>
      <c r="AH418">
        <v>1</v>
      </c>
      <c r="AI418">
        <v>0</v>
      </c>
      <c r="AJ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10.24</v>
      </c>
      <c r="AX418">
        <v>0.5</v>
      </c>
      <c r="AY418">
        <v>861.3</v>
      </c>
      <c r="BB418">
        <v>456</v>
      </c>
      <c r="BC418">
        <v>25.44</v>
      </c>
      <c r="BF418" t="s">
        <v>123</v>
      </c>
    </row>
    <row r="419" spans="1:58" x14ac:dyDescent="0.45">
      <c r="A419">
        <v>10418</v>
      </c>
      <c r="B419">
        <v>1</v>
      </c>
      <c r="C419">
        <v>60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</v>
      </c>
      <c r="K419">
        <v>35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20</v>
      </c>
      <c r="Y419">
        <v>90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750</v>
      </c>
      <c r="AF419">
        <v>0.16700000000000001</v>
      </c>
      <c r="AG419">
        <v>0</v>
      </c>
      <c r="AH419">
        <v>1</v>
      </c>
      <c r="AI419">
        <v>0</v>
      </c>
      <c r="AJ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10.24</v>
      </c>
      <c r="AX419">
        <v>0.5</v>
      </c>
      <c r="AY419">
        <v>861.3</v>
      </c>
      <c r="BB419">
        <v>589</v>
      </c>
      <c r="BC419">
        <v>18.579999999999998</v>
      </c>
      <c r="BF419" t="s">
        <v>123</v>
      </c>
    </row>
    <row r="420" spans="1:58" x14ac:dyDescent="0.45">
      <c r="A420">
        <v>10419</v>
      </c>
      <c r="B420">
        <v>1</v>
      </c>
      <c r="C420">
        <v>55.010000000000005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20.09</v>
      </c>
      <c r="K420">
        <v>7.26</v>
      </c>
      <c r="L420">
        <v>0</v>
      </c>
      <c r="M420">
        <v>0</v>
      </c>
      <c r="N420">
        <v>0</v>
      </c>
      <c r="O420">
        <v>17.64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f t="shared" ref="AE420:AE429" si="4">AY420</f>
        <v>743.37900000000002</v>
      </c>
      <c r="AF420">
        <v>0</v>
      </c>
      <c r="AG420">
        <v>1</v>
      </c>
      <c r="AH420">
        <v>0</v>
      </c>
      <c r="AI420">
        <v>0</v>
      </c>
      <c r="AJ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5.9136000000000006</v>
      </c>
      <c r="AX420">
        <v>3.3483333333333332</v>
      </c>
      <c r="AY420">
        <v>743.37900000000002</v>
      </c>
      <c r="AZ420">
        <v>73</v>
      </c>
      <c r="BA420">
        <v>1107</v>
      </c>
      <c r="BF420" t="s">
        <v>60</v>
      </c>
    </row>
    <row r="421" spans="1:58" x14ac:dyDescent="0.45">
      <c r="A421">
        <v>10420</v>
      </c>
      <c r="B421">
        <v>1</v>
      </c>
      <c r="C421">
        <v>54.48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22.98</v>
      </c>
      <c r="K421">
        <v>4.51</v>
      </c>
      <c r="L421">
        <v>0</v>
      </c>
      <c r="M421">
        <v>0</v>
      </c>
      <c r="N421">
        <v>0</v>
      </c>
      <c r="O421">
        <v>18.029999999999998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Z421">
        <v>0</v>
      </c>
      <c r="AA421">
        <v>1</v>
      </c>
      <c r="AB421">
        <v>0</v>
      </c>
      <c r="AC421">
        <v>0</v>
      </c>
      <c r="AD421">
        <v>1</v>
      </c>
      <c r="AE421">
        <f t="shared" si="4"/>
        <v>723.43799999999999</v>
      </c>
      <c r="AF421">
        <v>0</v>
      </c>
      <c r="AG421">
        <v>1</v>
      </c>
      <c r="AH421">
        <v>0</v>
      </c>
      <c r="AI421">
        <v>0</v>
      </c>
      <c r="AJ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5.2294</v>
      </c>
      <c r="AX421">
        <v>3.83</v>
      </c>
      <c r="AY421">
        <v>723.43799999999999</v>
      </c>
      <c r="AZ421">
        <v>75</v>
      </c>
      <c r="BA421">
        <v>932</v>
      </c>
      <c r="BF421" t="s">
        <v>60</v>
      </c>
    </row>
    <row r="422" spans="1:58" x14ac:dyDescent="0.45">
      <c r="A422">
        <v>10421</v>
      </c>
      <c r="B422">
        <v>1</v>
      </c>
      <c r="C422">
        <v>53.16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26.040000000000003</v>
      </c>
      <c r="K422">
        <v>2.2800000000000002</v>
      </c>
      <c r="L422">
        <v>0</v>
      </c>
      <c r="M422">
        <v>0</v>
      </c>
      <c r="N422">
        <v>0</v>
      </c>
      <c r="O422">
        <v>18.52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Z422">
        <v>0</v>
      </c>
      <c r="AA422">
        <v>1</v>
      </c>
      <c r="AB422">
        <v>0</v>
      </c>
      <c r="AC422">
        <v>0</v>
      </c>
      <c r="AD422">
        <v>1</v>
      </c>
      <c r="AE422">
        <f t="shared" si="4"/>
        <v>702.32399999999996</v>
      </c>
      <c r="AF422">
        <v>0</v>
      </c>
      <c r="AG422">
        <v>1</v>
      </c>
      <c r="AH422">
        <v>0</v>
      </c>
      <c r="AI422">
        <v>0</v>
      </c>
      <c r="AJ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4.7127999999999997</v>
      </c>
      <c r="AX422">
        <v>4.3400000000000007</v>
      </c>
      <c r="AY422">
        <v>702.32399999999996</v>
      </c>
      <c r="AZ422">
        <v>77</v>
      </c>
      <c r="BA422">
        <v>953</v>
      </c>
      <c r="BF422" t="s">
        <v>60</v>
      </c>
    </row>
    <row r="423" spans="1:58" x14ac:dyDescent="0.45">
      <c r="A423">
        <v>10422</v>
      </c>
      <c r="B423">
        <v>1</v>
      </c>
      <c r="C423">
        <v>71.97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3.25</v>
      </c>
      <c r="K423">
        <v>20.14</v>
      </c>
      <c r="L423">
        <v>0</v>
      </c>
      <c r="M423">
        <v>0</v>
      </c>
      <c r="N423">
        <v>0</v>
      </c>
      <c r="O423">
        <v>4.6399999999999997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Z423">
        <v>0</v>
      </c>
      <c r="AA423">
        <v>1</v>
      </c>
      <c r="AB423">
        <v>0</v>
      </c>
      <c r="AC423">
        <v>0</v>
      </c>
      <c r="AD423">
        <v>1</v>
      </c>
      <c r="AE423">
        <f t="shared" si="4"/>
        <v>859.57500000000005</v>
      </c>
      <c r="AF423">
        <v>0</v>
      </c>
      <c r="AG423">
        <v>1</v>
      </c>
      <c r="AH423">
        <v>0</v>
      </c>
      <c r="AI423">
        <v>0</v>
      </c>
      <c r="AJ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6.66</v>
      </c>
      <c r="AX423">
        <v>0.54166666666666663</v>
      </c>
      <c r="AY423">
        <v>859.57500000000005</v>
      </c>
      <c r="AZ423">
        <v>65</v>
      </c>
      <c r="BA423">
        <v>600</v>
      </c>
      <c r="BF423" t="s">
        <v>60</v>
      </c>
    </row>
    <row r="424" spans="1:58" x14ac:dyDescent="0.45">
      <c r="A424">
        <v>10423</v>
      </c>
      <c r="B424">
        <v>1</v>
      </c>
      <c r="C424">
        <v>71.97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3.25</v>
      </c>
      <c r="K424">
        <v>20.14</v>
      </c>
      <c r="L424">
        <v>0</v>
      </c>
      <c r="M424">
        <v>0</v>
      </c>
      <c r="N424">
        <v>0</v>
      </c>
      <c r="O424">
        <v>4.6399999999999997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Z424">
        <v>0</v>
      </c>
      <c r="AA424">
        <v>1</v>
      </c>
      <c r="AB424">
        <v>0</v>
      </c>
      <c r="AC424">
        <v>0</v>
      </c>
      <c r="AD424">
        <v>1</v>
      </c>
      <c r="AE424">
        <f t="shared" si="4"/>
        <v>859.57500000000005</v>
      </c>
      <c r="AF424">
        <v>0</v>
      </c>
      <c r="AG424">
        <v>1</v>
      </c>
      <c r="AH424">
        <v>0</v>
      </c>
      <c r="AI424">
        <v>0</v>
      </c>
      <c r="AJ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6.66</v>
      </c>
      <c r="AX424">
        <v>0.54166666666666663</v>
      </c>
      <c r="AY424">
        <v>859.57500000000005</v>
      </c>
      <c r="AZ424">
        <v>55</v>
      </c>
      <c r="BA424">
        <v>257</v>
      </c>
      <c r="BF424" t="s">
        <v>60</v>
      </c>
    </row>
    <row r="425" spans="1:58" x14ac:dyDescent="0.45">
      <c r="A425">
        <v>10424</v>
      </c>
      <c r="B425">
        <v>1</v>
      </c>
      <c r="C425">
        <v>74.739999999999995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2.0299999999999998</v>
      </c>
      <c r="K425">
        <v>22.54</v>
      </c>
      <c r="L425">
        <v>0</v>
      </c>
      <c r="M425">
        <v>0</v>
      </c>
      <c r="N425">
        <v>0</v>
      </c>
      <c r="O425">
        <v>0.69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Z425">
        <v>0</v>
      </c>
      <c r="AA425">
        <v>1</v>
      </c>
      <c r="AB425">
        <v>0</v>
      </c>
      <c r="AC425">
        <v>0</v>
      </c>
      <c r="AD425">
        <v>1</v>
      </c>
      <c r="AE425">
        <f t="shared" si="4"/>
        <v>867.99300000000005</v>
      </c>
      <c r="AF425">
        <v>0</v>
      </c>
      <c r="AG425">
        <v>1</v>
      </c>
      <c r="AH425">
        <v>0</v>
      </c>
      <c r="AI425">
        <v>0</v>
      </c>
      <c r="AJ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6.4630000000000001</v>
      </c>
      <c r="AX425">
        <v>0.33833333333333332</v>
      </c>
      <c r="AY425">
        <v>867.99300000000005</v>
      </c>
      <c r="AZ425">
        <v>64.5</v>
      </c>
      <c r="BA425">
        <v>700</v>
      </c>
      <c r="BF425" t="s">
        <v>60</v>
      </c>
    </row>
    <row r="426" spans="1:58" x14ac:dyDescent="0.45">
      <c r="A426">
        <v>10425</v>
      </c>
      <c r="B426">
        <v>1</v>
      </c>
      <c r="C426">
        <v>72.740000000000009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3.46</v>
      </c>
      <c r="K426">
        <v>20.27</v>
      </c>
      <c r="L426">
        <v>0</v>
      </c>
      <c r="M426">
        <v>0</v>
      </c>
      <c r="N426">
        <v>0</v>
      </c>
      <c r="O426">
        <v>3.53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f t="shared" si="4"/>
        <v>858.12599999999998</v>
      </c>
      <c r="AF426">
        <v>0</v>
      </c>
      <c r="AG426">
        <v>0</v>
      </c>
      <c r="AH426">
        <v>1</v>
      </c>
      <c r="AI426">
        <v>0</v>
      </c>
      <c r="AJ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6.4522000000000004</v>
      </c>
      <c r="AX426">
        <v>0.57666666666666666</v>
      </c>
      <c r="AY426">
        <v>858.12599999999998</v>
      </c>
      <c r="AZ426">
        <v>57.1</v>
      </c>
      <c r="BA426">
        <v>400</v>
      </c>
      <c r="BF426" t="s">
        <v>60</v>
      </c>
    </row>
    <row r="427" spans="1:58" x14ac:dyDescent="0.45">
      <c r="A427">
        <v>10426</v>
      </c>
      <c r="B427">
        <v>1</v>
      </c>
      <c r="C427">
        <v>74.13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3.2300000000000004</v>
      </c>
      <c r="K427">
        <v>19.86</v>
      </c>
      <c r="L427">
        <v>0</v>
      </c>
      <c r="M427">
        <v>0</v>
      </c>
      <c r="N427">
        <v>0</v>
      </c>
      <c r="O427">
        <v>2.78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f t="shared" si="4"/>
        <v>859.71299999999997</v>
      </c>
      <c r="AF427">
        <v>0</v>
      </c>
      <c r="AG427">
        <v>0</v>
      </c>
      <c r="AH427">
        <v>1</v>
      </c>
      <c r="AI427">
        <v>0</v>
      </c>
      <c r="AJ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6.1724000000000006</v>
      </c>
      <c r="AX427">
        <v>0.53833333333333344</v>
      </c>
      <c r="AY427">
        <v>859.71299999999997</v>
      </c>
      <c r="AZ427">
        <v>53.7</v>
      </c>
      <c r="BA427">
        <v>435</v>
      </c>
      <c r="BF427" t="s">
        <v>60</v>
      </c>
    </row>
    <row r="428" spans="1:58" x14ac:dyDescent="0.45">
      <c r="A428">
        <v>10427</v>
      </c>
      <c r="B428">
        <v>1</v>
      </c>
      <c r="C428">
        <v>74.3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23</v>
      </c>
      <c r="L428">
        <v>0</v>
      </c>
      <c r="M428">
        <v>0</v>
      </c>
      <c r="N428">
        <v>0</v>
      </c>
      <c r="O428">
        <v>0.70000000000000007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f t="shared" si="4"/>
        <v>868.2</v>
      </c>
      <c r="AF428">
        <v>0</v>
      </c>
      <c r="AG428">
        <v>1</v>
      </c>
      <c r="AH428">
        <v>0</v>
      </c>
      <c r="AI428">
        <v>0</v>
      </c>
      <c r="AJ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6.5940000000000003</v>
      </c>
      <c r="AX428">
        <v>0.33333333333333331</v>
      </c>
      <c r="AY428">
        <v>868.2</v>
      </c>
      <c r="AZ428">
        <v>55</v>
      </c>
      <c r="BA428">
        <v>280</v>
      </c>
      <c r="BF428" t="s">
        <v>60</v>
      </c>
    </row>
    <row r="429" spans="1:58" x14ac:dyDescent="0.45">
      <c r="A429">
        <v>10428</v>
      </c>
      <c r="B429">
        <v>1</v>
      </c>
      <c r="C429">
        <v>70.45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3.44</v>
      </c>
      <c r="K429">
        <v>21.42</v>
      </c>
      <c r="L429">
        <v>0</v>
      </c>
      <c r="M429">
        <v>0</v>
      </c>
      <c r="N429">
        <v>0</v>
      </c>
      <c r="O429">
        <v>4.6899999999999995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Z429">
        <v>0</v>
      </c>
      <c r="AA429">
        <v>1</v>
      </c>
      <c r="AB429">
        <v>0</v>
      </c>
      <c r="AC429">
        <v>0</v>
      </c>
      <c r="AD429">
        <v>1</v>
      </c>
      <c r="AE429">
        <f t="shared" si="4"/>
        <v>858.26400000000001</v>
      </c>
      <c r="AF429">
        <v>0</v>
      </c>
      <c r="AG429">
        <v>1</v>
      </c>
      <c r="AH429">
        <v>0</v>
      </c>
      <c r="AI429">
        <v>0</v>
      </c>
      <c r="AJ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7.0294000000000008</v>
      </c>
      <c r="AX429">
        <v>0.57333333333333336</v>
      </c>
      <c r="AY429">
        <v>858.26400000000001</v>
      </c>
      <c r="AZ429">
        <v>61</v>
      </c>
      <c r="BA429">
        <v>521</v>
      </c>
      <c r="BF429" t="s">
        <v>60</v>
      </c>
    </row>
    <row r="430" spans="1:58" x14ac:dyDescent="0.45">
      <c r="A430">
        <v>10429</v>
      </c>
      <c r="B430">
        <v>1</v>
      </c>
      <c r="C430">
        <v>72.06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3.18</v>
      </c>
      <c r="K430">
        <v>20.13</v>
      </c>
      <c r="L430">
        <v>0</v>
      </c>
      <c r="M430">
        <v>0</v>
      </c>
      <c r="N430">
        <v>0</v>
      </c>
      <c r="O430">
        <v>4.63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J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6.6550000000000002</v>
      </c>
      <c r="AX430">
        <v>0.53</v>
      </c>
      <c r="AY430">
        <v>860.05799999999999</v>
      </c>
      <c r="AZ430">
        <v>65</v>
      </c>
      <c r="BE430" t="s">
        <v>346</v>
      </c>
    </row>
    <row r="431" spans="1:58" x14ac:dyDescent="0.45">
      <c r="A431">
        <v>10430</v>
      </c>
      <c r="B431">
        <v>1</v>
      </c>
      <c r="C431">
        <v>69.3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4.9000000000000004</v>
      </c>
      <c r="K431">
        <v>24</v>
      </c>
      <c r="L431">
        <v>0</v>
      </c>
      <c r="M431">
        <v>0</v>
      </c>
      <c r="N431">
        <v>0</v>
      </c>
      <c r="O431">
        <v>1.8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J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7.1160000000000005</v>
      </c>
      <c r="AX431">
        <v>0.81666666666666676</v>
      </c>
      <c r="AY431">
        <v>848.19</v>
      </c>
      <c r="AZ431">
        <v>55</v>
      </c>
      <c r="BE431" t="s">
        <v>346</v>
      </c>
    </row>
    <row r="432" spans="1:58" x14ac:dyDescent="0.45">
      <c r="A432">
        <v>10431</v>
      </c>
      <c r="B432">
        <v>1</v>
      </c>
      <c r="C432">
        <v>74.3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23</v>
      </c>
      <c r="L432">
        <v>0</v>
      </c>
      <c r="M432">
        <v>0</v>
      </c>
      <c r="N432">
        <v>0</v>
      </c>
      <c r="O432">
        <v>0.7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J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6.5940000000000003</v>
      </c>
      <c r="AX432">
        <v>0.33333333333333331</v>
      </c>
      <c r="AY432">
        <v>868.2</v>
      </c>
      <c r="AZ432">
        <v>56</v>
      </c>
      <c r="BE432" t="s">
        <v>346</v>
      </c>
    </row>
    <row r="433" spans="1:57" x14ac:dyDescent="0.45">
      <c r="A433">
        <v>10432</v>
      </c>
      <c r="B433">
        <v>1</v>
      </c>
      <c r="C433">
        <v>83.67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7.93</v>
      </c>
      <c r="K433">
        <v>7.78</v>
      </c>
      <c r="L433">
        <v>0</v>
      </c>
      <c r="M433">
        <v>0</v>
      </c>
      <c r="N433">
        <v>0</v>
      </c>
      <c r="O433">
        <v>0.62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J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2.3148000000000004</v>
      </c>
      <c r="AX433">
        <v>1.3216666666666665</v>
      </c>
      <c r="AY433">
        <v>827.28300000000002</v>
      </c>
      <c r="AZ433">
        <v>90</v>
      </c>
      <c r="BE433" t="s">
        <v>346</v>
      </c>
    </row>
    <row r="434" spans="1:57" x14ac:dyDescent="0.45">
      <c r="A434">
        <v>10433</v>
      </c>
      <c r="B434">
        <v>1</v>
      </c>
      <c r="C434">
        <v>82.76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8.07</v>
      </c>
      <c r="K434">
        <v>7.92</v>
      </c>
      <c r="L434">
        <v>0</v>
      </c>
      <c r="M434">
        <v>0</v>
      </c>
      <c r="N434">
        <v>0</v>
      </c>
      <c r="O434">
        <v>1.25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J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2.4925999999999999</v>
      </c>
      <c r="AX434">
        <v>1.345</v>
      </c>
      <c r="AY434">
        <v>826.31700000000001</v>
      </c>
      <c r="AZ434">
        <v>92.54</v>
      </c>
      <c r="BE434" t="s">
        <v>347</v>
      </c>
    </row>
    <row r="435" spans="1:57" x14ac:dyDescent="0.45">
      <c r="A435">
        <v>10434</v>
      </c>
      <c r="B435">
        <v>1</v>
      </c>
      <c r="C435">
        <v>81.819999999999993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8.2100000000000009</v>
      </c>
      <c r="K435">
        <v>8.06</v>
      </c>
      <c r="L435">
        <v>0</v>
      </c>
      <c r="M435">
        <v>0</v>
      </c>
      <c r="N435">
        <v>0</v>
      </c>
      <c r="O435">
        <v>1.91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J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2.677</v>
      </c>
      <c r="AX435">
        <v>1.3683333333333334</v>
      </c>
      <c r="AY435">
        <v>825.351</v>
      </c>
      <c r="AZ435">
        <v>93.66</v>
      </c>
      <c r="BE435" t="s">
        <v>347</v>
      </c>
    </row>
    <row r="436" spans="1:57" x14ac:dyDescent="0.45">
      <c r="A436">
        <v>10435</v>
      </c>
      <c r="B436">
        <v>1</v>
      </c>
      <c r="C436">
        <v>80.849999999999994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8.36</v>
      </c>
      <c r="K436">
        <v>8.1999999999999993</v>
      </c>
      <c r="L436">
        <v>0</v>
      </c>
      <c r="M436">
        <v>0</v>
      </c>
      <c r="N436">
        <v>0</v>
      </c>
      <c r="O436">
        <v>2.59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J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2.8657999999999997</v>
      </c>
      <c r="AX436">
        <v>1.3933333333333333</v>
      </c>
      <c r="AY436">
        <v>824.31600000000003</v>
      </c>
      <c r="AZ436">
        <v>83.52</v>
      </c>
      <c r="BE436" t="s">
        <v>347</v>
      </c>
    </row>
    <row r="437" spans="1:57" x14ac:dyDescent="0.45">
      <c r="A437">
        <v>10436</v>
      </c>
      <c r="B437">
        <v>1</v>
      </c>
      <c r="C437">
        <v>69.290000000000006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4.92</v>
      </c>
      <c r="K437">
        <v>24.01</v>
      </c>
      <c r="L437">
        <v>0</v>
      </c>
      <c r="M437">
        <v>0</v>
      </c>
      <c r="N437">
        <v>0</v>
      </c>
      <c r="O437">
        <v>1.78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J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7.1144000000000016</v>
      </c>
      <c r="AX437">
        <v>0.82</v>
      </c>
      <c r="AY437">
        <v>848.05200000000002</v>
      </c>
      <c r="AZ437">
        <v>55</v>
      </c>
      <c r="BE437" t="s">
        <v>347</v>
      </c>
    </row>
    <row r="438" spans="1:57" x14ac:dyDescent="0.45">
      <c r="A438">
        <v>10437</v>
      </c>
      <c r="B438">
        <v>1</v>
      </c>
      <c r="C438">
        <v>34.6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8.7100000000000009</v>
      </c>
      <c r="K438">
        <v>44.35</v>
      </c>
      <c r="L438">
        <v>0</v>
      </c>
      <c r="M438">
        <v>0</v>
      </c>
      <c r="N438">
        <v>0</v>
      </c>
      <c r="O438">
        <v>12.34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J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15.132800000000001</v>
      </c>
      <c r="AX438">
        <v>1.4516666666666669</v>
      </c>
      <c r="AY438">
        <v>821.90099999999995</v>
      </c>
      <c r="AZ438">
        <v>64</v>
      </c>
      <c r="BE438" t="s">
        <v>347</v>
      </c>
    </row>
    <row r="439" spans="1:57" x14ac:dyDescent="0.45">
      <c r="A439">
        <v>10438</v>
      </c>
      <c r="B439">
        <v>1</v>
      </c>
      <c r="C439">
        <v>55.01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20.09</v>
      </c>
      <c r="K439">
        <v>7.26</v>
      </c>
      <c r="L439">
        <v>0</v>
      </c>
      <c r="M439">
        <v>0</v>
      </c>
      <c r="N439">
        <v>0</v>
      </c>
      <c r="O439">
        <v>17.64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J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5.9136000000000006</v>
      </c>
      <c r="AX439">
        <v>3.3483333333333332</v>
      </c>
      <c r="AY439">
        <v>743.37900000000002</v>
      </c>
      <c r="AZ439">
        <v>73.12</v>
      </c>
      <c r="BE439" t="s">
        <v>243</v>
      </c>
    </row>
    <row r="440" spans="1:57" x14ac:dyDescent="0.45">
      <c r="A440">
        <v>10439</v>
      </c>
      <c r="B440">
        <v>1</v>
      </c>
      <c r="C440">
        <v>54.48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22.98</v>
      </c>
      <c r="K440">
        <v>4.51</v>
      </c>
      <c r="L440">
        <v>0</v>
      </c>
      <c r="M440">
        <v>0</v>
      </c>
      <c r="N440">
        <v>0</v>
      </c>
      <c r="O440">
        <v>18.03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J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5.2294</v>
      </c>
      <c r="AX440">
        <v>3.83</v>
      </c>
      <c r="AY440">
        <v>723.43799999999999</v>
      </c>
      <c r="AZ440">
        <v>74.98</v>
      </c>
      <c r="BE440" t="s">
        <v>276</v>
      </c>
    </row>
    <row r="441" spans="1:57" x14ac:dyDescent="0.45">
      <c r="A441">
        <v>10440</v>
      </c>
      <c r="B441">
        <v>1</v>
      </c>
      <c r="C441">
        <v>53.16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26.04</v>
      </c>
      <c r="K441">
        <v>2.2799999999999998</v>
      </c>
      <c r="L441">
        <v>0</v>
      </c>
      <c r="M441">
        <v>0</v>
      </c>
      <c r="N441">
        <v>0</v>
      </c>
      <c r="O441">
        <v>18.52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J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4.7127999999999997</v>
      </c>
      <c r="AX441">
        <v>4.34</v>
      </c>
      <c r="AY441">
        <v>702.32399999999996</v>
      </c>
      <c r="AZ441">
        <v>76.62</v>
      </c>
      <c r="BE441" t="s">
        <v>276</v>
      </c>
    </row>
    <row r="442" spans="1:57" x14ac:dyDescent="0.45">
      <c r="A442">
        <v>10441</v>
      </c>
      <c r="B442">
        <v>1</v>
      </c>
      <c r="C442">
        <v>67.8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3.6</v>
      </c>
      <c r="K442">
        <v>24.8</v>
      </c>
      <c r="L442">
        <v>0</v>
      </c>
      <c r="M442">
        <v>0</v>
      </c>
      <c r="N442">
        <v>0</v>
      </c>
      <c r="O442">
        <v>3.8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J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7.7800000000000011</v>
      </c>
      <c r="AX442">
        <v>0.6</v>
      </c>
      <c r="AY442">
        <v>857.16</v>
      </c>
      <c r="AZ442">
        <v>65.8</v>
      </c>
      <c r="BE442" t="s">
        <v>276</v>
      </c>
    </row>
    <row r="443" spans="1:57" x14ac:dyDescent="0.45">
      <c r="A443">
        <v>10442</v>
      </c>
      <c r="B443">
        <v>1</v>
      </c>
      <c r="C443">
        <v>69.7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3.2</v>
      </c>
      <c r="K443">
        <v>22.9</v>
      </c>
      <c r="L443">
        <v>0</v>
      </c>
      <c r="M443">
        <v>0</v>
      </c>
      <c r="N443">
        <v>0</v>
      </c>
      <c r="O443">
        <v>4.2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J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7.3360000000000003</v>
      </c>
      <c r="AX443">
        <v>0.53333333333333333</v>
      </c>
      <c r="AY443">
        <v>859.92</v>
      </c>
      <c r="AZ443">
        <v>64.2</v>
      </c>
      <c r="BE443" t="s">
        <v>276</v>
      </c>
    </row>
    <row r="444" spans="1:57" x14ac:dyDescent="0.45">
      <c r="A444">
        <v>10443</v>
      </c>
      <c r="B444">
        <v>1</v>
      </c>
      <c r="C444">
        <v>70.599999999999994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3.4</v>
      </c>
      <c r="K444">
        <v>20.9</v>
      </c>
      <c r="L444">
        <v>0</v>
      </c>
      <c r="M444">
        <v>0</v>
      </c>
      <c r="N444">
        <v>0</v>
      </c>
      <c r="O444">
        <v>5.0999999999999996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J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6.9740000000000002</v>
      </c>
      <c r="AX444">
        <v>0.56666666666666665</v>
      </c>
      <c r="AY444">
        <v>858.54</v>
      </c>
      <c r="AZ444">
        <v>63</v>
      </c>
    </row>
    <row r="445" spans="1:57" x14ac:dyDescent="0.45">
      <c r="A445">
        <v>10444</v>
      </c>
      <c r="B445">
        <v>1</v>
      </c>
      <c r="C445">
        <v>74.8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22.5</v>
      </c>
      <c r="L445">
        <v>0</v>
      </c>
      <c r="M445">
        <v>0</v>
      </c>
      <c r="N445">
        <v>0</v>
      </c>
      <c r="O445">
        <v>0.7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J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6.4540000000000006</v>
      </c>
      <c r="AX445">
        <v>0.33333333333333331</v>
      </c>
      <c r="AY445">
        <v>868.2</v>
      </c>
      <c r="AZ445">
        <v>59.5</v>
      </c>
    </row>
    <row r="446" spans="1:57" x14ac:dyDescent="0.45">
      <c r="A446">
        <v>10445</v>
      </c>
      <c r="B446">
        <v>1</v>
      </c>
      <c r="C446">
        <v>69.709999999999994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4.83</v>
      </c>
      <c r="K446">
        <v>23.72</v>
      </c>
      <c r="L446">
        <v>0</v>
      </c>
      <c r="M446">
        <v>0</v>
      </c>
      <c r="N446">
        <v>0</v>
      </c>
      <c r="O446">
        <v>1.74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J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7.0244</v>
      </c>
      <c r="AX446">
        <v>0.80500000000000005</v>
      </c>
      <c r="AY446">
        <v>848.673</v>
      </c>
      <c r="AZ446">
        <v>62.2</v>
      </c>
    </row>
    <row r="447" spans="1:57" x14ac:dyDescent="0.45">
      <c r="A447">
        <v>10446</v>
      </c>
      <c r="B447">
        <v>1</v>
      </c>
      <c r="C447">
        <v>74.27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1.96</v>
      </c>
      <c r="K447">
        <v>23.11</v>
      </c>
      <c r="L447">
        <v>0</v>
      </c>
      <c r="M447">
        <v>0</v>
      </c>
      <c r="N447">
        <v>0</v>
      </c>
      <c r="O447">
        <v>0.66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J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6.6160000000000005</v>
      </c>
      <c r="AX447">
        <v>0.32666666666666666</v>
      </c>
      <c r="AY447">
        <v>868.476</v>
      </c>
      <c r="AZ447">
        <v>60.2</v>
      </c>
    </row>
    <row r="448" spans="1:57" x14ac:dyDescent="0.45">
      <c r="A448">
        <v>10447</v>
      </c>
      <c r="B448">
        <v>1</v>
      </c>
      <c r="C448">
        <v>72.63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3.47</v>
      </c>
      <c r="K448">
        <v>20.41</v>
      </c>
      <c r="L448">
        <v>0</v>
      </c>
      <c r="M448">
        <v>0</v>
      </c>
      <c r="N448">
        <v>0</v>
      </c>
      <c r="O448">
        <v>3.49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J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6.4826000000000006</v>
      </c>
      <c r="AX448">
        <v>0.57833333333333337</v>
      </c>
      <c r="AY448">
        <v>858.05700000000002</v>
      </c>
      <c r="AZ448">
        <v>56</v>
      </c>
    </row>
    <row r="449" spans="1:58" x14ac:dyDescent="0.45">
      <c r="A449">
        <v>10448</v>
      </c>
      <c r="B449">
        <v>1</v>
      </c>
      <c r="C449">
        <v>68.209999999999994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3.58</v>
      </c>
      <c r="K449">
        <v>24.6</v>
      </c>
      <c r="L449">
        <v>0</v>
      </c>
      <c r="M449">
        <v>0</v>
      </c>
      <c r="N449">
        <v>0</v>
      </c>
      <c r="O449">
        <v>3.61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J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7.6822000000000008</v>
      </c>
      <c r="AX449">
        <v>0.59666666666666668</v>
      </c>
      <c r="AY449">
        <v>857.298</v>
      </c>
      <c r="AZ449">
        <v>62</v>
      </c>
    </row>
    <row r="450" spans="1:58" x14ac:dyDescent="0.45">
      <c r="A450">
        <v>10449</v>
      </c>
      <c r="B450">
        <v>1</v>
      </c>
      <c r="C450">
        <v>69.2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</v>
      </c>
      <c r="K450">
        <v>24.1</v>
      </c>
      <c r="L450">
        <v>0</v>
      </c>
      <c r="M450">
        <v>0</v>
      </c>
      <c r="N450">
        <v>0</v>
      </c>
      <c r="O450">
        <v>1.7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J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7.1220000000000008</v>
      </c>
      <c r="AX450">
        <v>0.83333333333333337</v>
      </c>
      <c r="AY450">
        <v>847.5</v>
      </c>
      <c r="AZ450">
        <v>56</v>
      </c>
    </row>
    <row r="451" spans="1:58" x14ac:dyDescent="0.45">
      <c r="A451">
        <v>10450</v>
      </c>
      <c r="B451">
        <v>1</v>
      </c>
      <c r="C451">
        <v>69.900000000000006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5.0999999999999996</v>
      </c>
      <c r="K451">
        <v>20.5</v>
      </c>
      <c r="L451">
        <v>0</v>
      </c>
      <c r="M451">
        <v>0</v>
      </c>
      <c r="N451">
        <v>0</v>
      </c>
      <c r="O451">
        <v>4.5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J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6.73</v>
      </c>
      <c r="AX451">
        <v>0.85</v>
      </c>
      <c r="AY451">
        <v>846.81</v>
      </c>
      <c r="AZ451">
        <v>50</v>
      </c>
    </row>
    <row r="452" spans="1:58" x14ac:dyDescent="0.45">
      <c r="A452">
        <v>10451</v>
      </c>
      <c r="B452">
        <v>1</v>
      </c>
      <c r="C452">
        <v>63.3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17.600000000000001</v>
      </c>
      <c r="K452">
        <v>18.7</v>
      </c>
      <c r="L452">
        <v>0</v>
      </c>
      <c r="M452">
        <v>0</v>
      </c>
      <c r="N452">
        <v>0</v>
      </c>
      <c r="O452">
        <v>0.4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J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5.3240000000000007</v>
      </c>
      <c r="AX452">
        <v>2.9333333333333336</v>
      </c>
      <c r="AY452">
        <v>760.56</v>
      </c>
      <c r="AZ452">
        <v>48.3</v>
      </c>
    </row>
    <row r="453" spans="1:58" x14ac:dyDescent="0.45">
      <c r="A453">
        <v>10452</v>
      </c>
      <c r="B453">
        <v>1</v>
      </c>
      <c r="C453">
        <v>86</v>
      </c>
      <c r="D453">
        <v>6</v>
      </c>
      <c r="E453">
        <v>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>
        <v>800</v>
      </c>
      <c r="AF453">
        <v>1</v>
      </c>
      <c r="AG453">
        <v>1</v>
      </c>
      <c r="AH453">
        <v>0</v>
      </c>
      <c r="AI453">
        <v>0</v>
      </c>
      <c r="AJ453">
        <v>1</v>
      </c>
      <c r="AK453">
        <v>550</v>
      </c>
      <c r="AL453">
        <v>6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0.67999999999999972</v>
      </c>
      <c r="AX453">
        <v>6</v>
      </c>
      <c r="AY453">
        <v>809.4</v>
      </c>
      <c r="BB453">
        <v>1032</v>
      </c>
      <c r="BC453">
        <v>18.440000000000001</v>
      </c>
      <c r="BF453" t="s">
        <v>124</v>
      </c>
    </row>
    <row r="454" spans="1:58" x14ac:dyDescent="0.45">
      <c r="A454">
        <v>10453</v>
      </c>
      <c r="B454">
        <v>1</v>
      </c>
      <c r="C454">
        <v>86</v>
      </c>
      <c r="D454">
        <v>6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Z454">
        <v>1</v>
      </c>
      <c r="AA454">
        <v>0</v>
      </c>
      <c r="AB454">
        <v>0</v>
      </c>
      <c r="AC454">
        <v>0</v>
      </c>
      <c r="AD454">
        <v>1</v>
      </c>
      <c r="AE454">
        <v>830</v>
      </c>
      <c r="AF454">
        <v>1</v>
      </c>
      <c r="AG454">
        <v>1</v>
      </c>
      <c r="AH454">
        <v>0</v>
      </c>
      <c r="AI454">
        <v>0</v>
      </c>
      <c r="AJ454">
        <v>1</v>
      </c>
      <c r="AK454">
        <v>550</v>
      </c>
      <c r="AL454">
        <v>6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0.67999999999999972</v>
      </c>
      <c r="AX454">
        <v>6</v>
      </c>
      <c r="AY454">
        <v>809.4</v>
      </c>
      <c r="BB454">
        <v>1084</v>
      </c>
      <c r="BC454">
        <v>15.76</v>
      </c>
      <c r="BF454" t="s">
        <v>124</v>
      </c>
    </row>
    <row r="455" spans="1:58" x14ac:dyDescent="0.45">
      <c r="A455">
        <v>10454</v>
      </c>
      <c r="B455">
        <v>1</v>
      </c>
      <c r="C455">
        <v>86</v>
      </c>
      <c r="D455">
        <v>6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Z455">
        <v>1</v>
      </c>
      <c r="AA455">
        <v>0</v>
      </c>
      <c r="AB455">
        <v>0</v>
      </c>
      <c r="AC455">
        <v>0</v>
      </c>
      <c r="AD455">
        <v>1</v>
      </c>
      <c r="AE455">
        <v>860</v>
      </c>
      <c r="AF455">
        <v>1</v>
      </c>
      <c r="AG455">
        <v>1</v>
      </c>
      <c r="AH455">
        <v>0</v>
      </c>
      <c r="AI455">
        <v>0</v>
      </c>
      <c r="AJ455">
        <v>1</v>
      </c>
      <c r="AK455">
        <v>550</v>
      </c>
      <c r="AL455">
        <v>6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0.67999999999999972</v>
      </c>
      <c r="AX455">
        <v>6</v>
      </c>
      <c r="AY455">
        <v>809.4</v>
      </c>
      <c r="BB455">
        <v>1124</v>
      </c>
      <c r="BC455">
        <v>14.54</v>
      </c>
      <c r="BF455" t="s">
        <v>124</v>
      </c>
    </row>
    <row r="456" spans="1:58" x14ac:dyDescent="0.45">
      <c r="A456">
        <v>10455</v>
      </c>
      <c r="B456">
        <v>1</v>
      </c>
      <c r="C456">
        <v>86</v>
      </c>
      <c r="D456">
        <v>6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>
        <v>890</v>
      </c>
      <c r="AF456">
        <v>1</v>
      </c>
      <c r="AG456">
        <v>1</v>
      </c>
      <c r="AH456">
        <v>0</v>
      </c>
      <c r="AI456">
        <v>0</v>
      </c>
      <c r="AJ456">
        <v>1</v>
      </c>
      <c r="AK456">
        <v>550</v>
      </c>
      <c r="AL456">
        <v>6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0.67999999999999972</v>
      </c>
      <c r="AX456">
        <v>6</v>
      </c>
      <c r="AY456">
        <v>809.4</v>
      </c>
      <c r="BB456">
        <v>1225</v>
      </c>
      <c r="BC456">
        <v>5.12</v>
      </c>
      <c r="BF456" t="s">
        <v>124</v>
      </c>
    </row>
    <row r="457" spans="1:58" x14ac:dyDescent="0.45">
      <c r="A457">
        <v>10456</v>
      </c>
      <c r="B457">
        <v>1</v>
      </c>
      <c r="C457">
        <v>86</v>
      </c>
      <c r="D457">
        <v>6</v>
      </c>
      <c r="E457">
        <v>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>
        <v>920</v>
      </c>
      <c r="AF457">
        <v>1</v>
      </c>
      <c r="AG457">
        <v>1</v>
      </c>
      <c r="AH457">
        <v>0</v>
      </c>
      <c r="AI457">
        <v>0</v>
      </c>
      <c r="AJ457">
        <v>1</v>
      </c>
      <c r="AK457">
        <v>550</v>
      </c>
      <c r="AL457">
        <v>6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0.67999999999999972</v>
      </c>
      <c r="AX457">
        <v>6</v>
      </c>
      <c r="AY457">
        <v>809.4</v>
      </c>
      <c r="BB457">
        <v>1285</v>
      </c>
      <c r="BC457">
        <v>3.12</v>
      </c>
      <c r="BF457" t="s">
        <v>124</v>
      </c>
    </row>
    <row r="458" spans="1:58" x14ac:dyDescent="0.45">
      <c r="A458">
        <v>10457</v>
      </c>
      <c r="B458">
        <v>1</v>
      </c>
      <c r="C458">
        <v>89.86</v>
      </c>
      <c r="D458">
        <v>8.1</v>
      </c>
      <c r="E458">
        <v>0.99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1.05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915</v>
      </c>
      <c r="AF458">
        <v>1</v>
      </c>
      <c r="AG458">
        <v>1</v>
      </c>
      <c r="AH458">
        <v>0</v>
      </c>
      <c r="AI458">
        <v>0</v>
      </c>
      <c r="AJ458">
        <v>1</v>
      </c>
      <c r="AK458">
        <v>580</v>
      </c>
      <c r="AL458">
        <v>8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-6.3866999999999994</v>
      </c>
      <c r="AX458">
        <v>8.1</v>
      </c>
      <c r="AY458">
        <v>877.35299999999995</v>
      </c>
      <c r="BA458">
        <v>953.5</v>
      </c>
      <c r="BB458">
        <v>969</v>
      </c>
      <c r="BC458">
        <v>18</v>
      </c>
      <c r="BF458" t="s">
        <v>108</v>
      </c>
    </row>
    <row r="459" spans="1:58" x14ac:dyDescent="0.45">
      <c r="A459">
        <v>10458</v>
      </c>
      <c r="B459">
        <v>1</v>
      </c>
      <c r="C459">
        <v>89.86</v>
      </c>
      <c r="D459">
        <v>8.1</v>
      </c>
      <c r="E459">
        <v>0.99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1.05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Z459">
        <v>1</v>
      </c>
      <c r="AA459">
        <v>0</v>
      </c>
      <c r="AB459">
        <v>0</v>
      </c>
      <c r="AC459">
        <v>0</v>
      </c>
      <c r="AD459">
        <v>1</v>
      </c>
      <c r="AE459">
        <v>915</v>
      </c>
      <c r="AF459">
        <v>1</v>
      </c>
      <c r="AG459">
        <v>1</v>
      </c>
      <c r="AH459">
        <v>0</v>
      </c>
      <c r="AI459">
        <v>0</v>
      </c>
      <c r="AJ459">
        <v>1</v>
      </c>
      <c r="AK459">
        <v>580</v>
      </c>
      <c r="AL459">
        <v>8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-6.3866999999999994</v>
      </c>
      <c r="AX459">
        <v>8.1</v>
      </c>
      <c r="AY459">
        <v>877.35299999999995</v>
      </c>
      <c r="BA459">
        <v>926.5</v>
      </c>
      <c r="BB459">
        <v>971</v>
      </c>
      <c r="BC459">
        <v>16.8</v>
      </c>
      <c r="BF459" t="s">
        <v>108</v>
      </c>
    </row>
    <row r="460" spans="1:58" x14ac:dyDescent="0.45">
      <c r="A460">
        <v>10459</v>
      </c>
      <c r="B460">
        <v>1</v>
      </c>
      <c r="C460">
        <v>89.86</v>
      </c>
      <c r="D460">
        <v>8.1</v>
      </c>
      <c r="E460">
        <v>0.99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1.05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960</v>
      </c>
      <c r="AF460">
        <v>1</v>
      </c>
      <c r="AG460">
        <v>0</v>
      </c>
      <c r="AH460">
        <v>1</v>
      </c>
      <c r="AI460">
        <v>0</v>
      </c>
      <c r="AJ460">
        <v>1</v>
      </c>
      <c r="AK460">
        <v>580</v>
      </c>
      <c r="AL460">
        <v>8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-6.3866999999999994</v>
      </c>
      <c r="AX460">
        <v>8.1</v>
      </c>
      <c r="AY460">
        <v>877.35299999999995</v>
      </c>
      <c r="BA460">
        <v>908.5</v>
      </c>
      <c r="BB460">
        <v>928.5</v>
      </c>
      <c r="BC460">
        <v>16.8</v>
      </c>
      <c r="BF460" t="s">
        <v>108</v>
      </c>
    </row>
    <row r="461" spans="1:58" x14ac:dyDescent="0.45">
      <c r="A461">
        <v>10460</v>
      </c>
      <c r="B461">
        <v>1</v>
      </c>
      <c r="C461">
        <v>89.86</v>
      </c>
      <c r="D461">
        <v>8.1</v>
      </c>
      <c r="E461">
        <v>0.99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1.05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Z461">
        <v>1</v>
      </c>
      <c r="AA461">
        <v>0</v>
      </c>
      <c r="AB461">
        <v>0</v>
      </c>
      <c r="AC461">
        <v>0</v>
      </c>
      <c r="AD461">
        <v>1</v>
      </c>
      <c r="AE461">
        <v>960</v>
      </c>
      <c r="AF461">
        <v>1</v>
      </c>
      <c r="AG461">
        <v>1</v>
      </c>
      <c r="AH461">
        <v>0</v>
      </c>
      <c r="AI461">
        <v>0</v>
      </c>
      <c r="AJ461">
        <v>1</v>
      </c>
      <c r="AK461">
        <v>580</v>
      </c>
      <c r="AL461">
        <v>8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-6.3866999999999994</v>
      </c>
      <c r="AX461">
        <v>8.1</v>
      </c>
      <c r="AY461">
        <v>877.35299999999995</v>
      </c>
      <c r="BA461">
        <v>931.5</v>
      </c>
      <c r="BB461">
        <v>964</v>
      </c>
      <c r="BC461">
        <v>15</v>
      </c>
      <c r="BF461" t="s">
        <v>108</v>
      </c>
    </row>
    <row r="462" spans="1:58" x14ac:dyDescent="0.45">
      <c r="A462">
        <v>10461</v>
      </c>
      <c r="B462">
        <v>1</v>
      </c>
      <c r="C462">
        <v>89.86</v>
      </c>
      <c r="D462">
        <v>8.1</v>
      </c>
      <c r="E462">
        <v>0.99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1.05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Z462">
        <v>1</v>
      </c>
      <c r="AA462">
        <v>0</v>
      </c>
      <c r="AB462">
        <v>0</v>
      </c>
      <c r="AC462">
        <v>0</v>
      </c>
      <c r="AD462">
        <v>1</v>
      </c>
      <c r="AE462">
        <v>1010</v>
      </c>
      <c r="AF462">
        <v>1</v>
      </c>
      <c r="AG462">
        <v>1</v>
      </c>
      <c r="AH462">
        <v>0</v>
      </c>
      <c r="AI462">
        <v>0</v>
      </c>
      <c r="AJ462">
        <v>1</v>
      </c>
      <c r="AK462">
        <v>580</v>
      </c>
      <c r="AL462">
        <v>8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-6.3866999999999994</v>
      </c>
      <c r="AX462">
        <v>8.1</v>
      </c>
      <c r="AY462">
        <v>877.35299999999995</v>
      </c>
      <c r="BA462">
        <v>937.5</v>
      </c>
      <c r="BB462">
        <v>989.5</v>
      </c>
      <c r="BC462">
        <v>15.3</v>
      </c>
      <c r="BF462" t="s">
        <v>108</v>
      </c>
    </row>
    <row r="463" spans="1:58" x14ac:dyDescent="0.45">
      <c r="A463">
        <v>10462</v>
      </c>
      <c r="B463">
        <v>1</v>
      </c>
      <c r="C463">
        <v>89.86</v>
      </c>
      <c r="D463">
        <v>8.1</v>
      </c>
      <c r="E463">
        <v>0.99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1.05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Z463">
        <v>1</v>
      </c>
      <c r="AA463">
        <v>0</v>
      </c>
      <c r="AB463">
        <v>0</v>
      </c>
      <c r="AC463">
        <v>0</v>
      </c>
      <c r="AD463">
        <v>1</v>
      </c>
      <c r="AE463">
        <v>915</v>
      </c>
      <c r="AF463">
        <v>1</v>
      </c>
      <c r="AG463">
        <v>0</v>
      </c>
      <c r="AH463">
        <v>1</v>
      </c>
      <c r="AI463">
        <v>0</v>
      </c>
      <c r="AJ463">
        <v>1</v>
      </c>
      <c r="AK463">
        <v>550</v>
      </c>
      <c r="AL463">
        <v>8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-6.3866999999999994</v>
      </c>
      <c r="AX463">
        <v>8.1</v>
      </c>
      <c r="AY463">
        <v>877.35299999999995</v>
      </c>
      <c r="BA463">
        <v>907.5</v>
      </c>
      <c r="BB463">
        <v>938.5</v>
      </c>
      <c r="BC463">
        <v>16.5</v>
      </c>
      <c r="BF463" t="s">
        <v>108</v>
      </c>
    </row>
    <row r="464" spans="1:58" x14ac:dyDescent="0.45">
      <c r="A464">
        <v>10463</v>
      </c>
      <c r="B464">
        <v>1</v>
      </c>
      <c r="C464">
        <v>89.86</v>
      </c>
      <c r="D464">
        <v>8.1</v>
      </c>
      <c r="E464">
        <v>0.99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1.05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Z464">
        <v>1</v>
      </c>
      <c r="AA464">
        <v>0</v>
      </c>
      <c r="AB464">
        <v>0</v>
      </c>
      <c r="AC464">
        <v>0</v>
      </c>
      <c r="AD464">
        <v>1</v>
      </c>
      <c r="AE464">
        <v>960</v>
      </c>
      <c r="AF464">
        <v>1</v>
      </c>
      <c r="AG464">
        <v>1</v>
      </c>
      <c r="AH464">
        <v>0</v>
      </c>
      <c r="AI464">
        <v>0</v>
      </c>
      <c r="AJ464">
        <v>1</v>
      </c>
      <c r="AK464">
        <v>580</v>
      </c>
      <c r="AL464">
        <v>8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-6.3866999999999994</v>
      </c>
      <c r="AX464">
        <v>8.1</v>
      </c>
      <c r="AY464">
        <v>877.35299999999995</v>
      </c>
      <c r="BA464">
        <v>966</v>
      </c>
      <c r="BB464">
        <v>1017.5</v>
      </c>
      <c r="BC464">
        <v>15.3</v>
      </c>
      <c r="BF464" t="s">
        <v>108</v>
      </c>
    </row>
    <row r="465" spans="1:58" x14ac:dyDescent="0.45">
      <c r="A465">
        <v>10464</v>
      </c>
      <c r="B465">
        <v>1</v>
      </c>
      <c r="C465">
        <v>89.86</v>
      </c>
      <c r="D465">
        <v>8.1</v>
      </c>
      <c r="E465">
        <v>0.99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1.05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960</v>
      </c>
      <c r="AF465">
        <v>1</v>
      </c>
      <c r="AG465">
        <v>0</v>
      </c>
      <c r="AH465">
        <v>1</v>
      </c>
      <c r="AI465">
        <v>0</v>
      </c>
      <c r="AJ465">
        <v>1</v>
      </c>
      <c r="AK465">
        <v>550</v>
      </c>
      <c r="AL465">
        <v>8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-6.3866999999999994</v>
      </c>
      <c r="AX465">
        <v>8.1</v>
      </c>
      <c r="AY465">
        <v>877.35299999999995</v>
      </c>
      <c r="BA465">
        <v>893.5</v>
      </c>
      <c r="BB465">
        <v>919.5</v>
      </c>
      <c r="BC465">
        <v>16.5</v>
      </c>
      <c r="BF465" t="s">
        <v>108</v>
      </c>
    </row>
    <row r="466" spans="1:58" x14ac:dyDescent="0.45">
      <c r="A466">
        <v>10465</v>
      </c>
      <c r="B466">
        <v>1</v>
      </c>
      <c r="C466">
        <v>89.86</v>
      </c>
      <c r="D466">
        <v>8.1</v>
      </c>
      <c r="E466">
        <v>0.99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1.05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Z466">
        <v>1</v>
      </c>
      <c r="AA466">
        <v>0</v>
      </c>
      <c r="AB466">
        <v>0</v>
      </c>
      <c r="AC466">
        <v>0</v>
      </c>
      <c r="AD466">
        <v>1</v>
      </c>
      <c r="AE466">
        <v>960</v>
      </c>
      <c r="AF466">
        <v>1</v>
      </c>
      <c r="AG466">
        <v>0</v>
      </c>
      <c r="AH466">
        <v>1</v>
      </c>
      <c r="AI466">
        <v>0</v>
      </c>
      <c r="AJ466">
        <v>1</v>
      </c>
      <c r="AK466">
        <v>620</v>
      </c>
      <c r="AL466">
        <v>8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-6.3866999999999994</v>
      </c>
      <c r="AX466">
        <v>8.1</v>
      </c>
      <c r="AY466">
        <v>877.35299999999995</v>
      </c>
      <c r="BA466">
        <v>914</v>
      </c>
      <c r="BB466">
        <v>929</v>
      </c>
      <c r="BC466">
        <v>16.3</v>
      </c>
      <c r="BF466" t="s">
        <v>108</v>
      </c>
    </row>
    <row r="467" spans="1:58" x14ac:dyDescent="0.45">
      <c r="A467">
        <v>10466</v>
      </c>
      <c r="B467">
        <v>1</v>
      </c>
      <c r="C467">
        <v>89.86</v>
      </c>
      <c r="D467">
        <v>8.1</v>
      </c>
      <c r="E467">
        <v>0.99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1.05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Z467">
        <v>1</v>
      </c>
      <c r="AA467">
        <v>0</v>
      </c>
      <c r="AB467">
        <v>0</v>
      </c>
      <c r="AC467">
        <v>0</v>
      </c>
      <c r="AD467">
        <v>1</v>
      </c>
      <c r="AE467">
        <v>1010</v>
      </c>
      <c r="AF467">
        <v>1</v>
      </c>
      <c r="AG467">
        <v>1</v>
      </c>
      <c r="AH467">
        <v>0</v>
      </c>
      <c r="AI467">
        <v>0</v>
      </c>
      <c r="AJ467">
        <v>1</v>
      </c>
      <c r="AK467">
        <v>580</v>
      </c>
      <c r="AL467">
        <v>8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-6.3866999999999994</v>
      </c>
      <c r="AX467">
        <v>8.1</v>
      </c>
      <c r="AY467">
        <v>877.35299999999995</v>
      </c>
      <c r="BA467">
        <v>968.5</v>
      </c>
      <c r="BB467">
        <v>1028.5</v>
      </c>
      <c r="BC467">
        <v>16.8</v>
      </c>
      <c r="BF467" t="s">
        <v>108</v>
      </c>
    </row>
    <row r="468" spans="1:58" x14ac:dyDescent="0.45">
      <c r="A468">
        <v>10467</v>
      </c>
      <c r="B468">
        <v>1</v>
      </c>
      <c r="C468">
        <v>89.86</v>
      </c>
      <c r="D468">
        <v>8.1</v>
      </c>
      <c r="E468">
        <v>0.99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1.05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Z468">
        <v>1</v>
      </c>
      <c r="AA468">
        <v>0</v>
      </c>
      <c r="AB468">
        <v>0</v>
      </c>
      <c r="AC468">
        <v>0</v>
      </c>
      <c r="AD468">
        <v>1</v>
      </c>
      <c r="AE468">
        <v>1010</v>
      </c>
      <c r="AF468">
        <v>1</v>
      </c>
      <c r="AG468">
        <v>0</v>
      </c>
      <c r="AH468">
        <v>1</v>
      </c>
      <c r="AI468">
        <v>0</v>
      </c>
      <c r="AJ468">
        <v>1</v>
      </c>
      <c r="AK468">
        <v>550</v>
      </c>
      <c r="AL468">
        <v>8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-6.3866999999999994</v>
      </c>
      <c r="AX468">
        <v>8.1</v>
      </c>
      <c r="AY468">
        <v>877.35299999999995</v>
      </c>
      <c r="BA468">
        <v>879</v>
      </c>
      <c r="BB468">
        <v>919.5</v>
      </c>
      <c r="BC468">
        <v>16.3</v>
      </c>
      <c r="BF468" t="s">
        <v>108</v>
      </c>
    </row>
    <row r="469" spans="1:58" x14ac:dyDescent="0.45">
      <c r="A469">
        <v>10468</v>
      </c>
      <c r="B469">
        <v>1</v>
      </c>
      <c r="C469">
        <v>89.86</v>
      </c>
      <c r="D469">
        <v>8.1</v>
      </c>
      <c r="E469">
        <v>0.99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1.05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1010</v>
      </c>
      <c r="AF469">
        <v>1</v>
      </c>
      <c r="AG469">
        <v>0</v>
      </c>
      <c r="AH469">
        <v>1</v>
      </c>
      <c r="AI469">
        <v>0</v>
      </c>
      <c r="AJ469">
        <v>1</v>
      </c>
      <c r="AK469">
        <v>620</v>
      </c>
      <c r="AL469">
        <v>8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-6.3866999999999994</v>
      </c>
      <c r="AX469">
        <v>8.1</v>
      </c>
      <c r="AY469">
        <v>877.35299999999995</v>
      </c>
      <c r="BA469">
        <v>912</v>
      </c>
      <c r="BB469">
        <v>938.5</v>
      </c>
      <c r="BC469">
        <v>17.8</v>
      </c>
      <c r="BF469" t="s">
        <v>108</v>
      </c>
    </row>
    <row r="470" spans="1:58" x14ac:dyDescent="0.45">
      <c r="A470">
        <v>10469</v>
      </c>
      <c r="B470">
        <v>1</v>
      </c>
      <c r="C470">
        <v>89.86</v>
      </c>
      <c r="D470">
        <v>8.1</v>
      </c>
      <c r="E470">
        <v>0.99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1.05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Z470">
        <v>1</v>
      </c>
      <c r="AA470">
        <v>0</v>
      </c>
      <c r="AB470">
        <v>0</v>
      </c>
      <c r="AC470">
        <v>0</v>
      </c>
      <c r="AD470">
        <v>1</v>
      </c>
      <c r="AE470">
        <v>910</v>
      </c>
      <c r="AF470">
        <v>1</v>
      </c>
      <c r="AG470">
        <v>0</v>
      </c>
      <c r="AH470">
        <v>1</v>
      </c>
      <c r="AI470">
        <v>0</v>
      </c>
      <c r="AJ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-6.3866999999999994</v>
      </c>
      <c r="AX470">
        <v>8.1</v>
      </c>
      <c r="AY470">
        <v>877.35299999999995</v>
      </c>
      <c r="BA470">
        <v>827</v>
      </c>
      <c r="BB470">
        <v>936</v>
      </c>
      <c r="BC470">
        <v>16.7</v>
      </c>
      <c r="BF470" t="s">
        <v>108</v>
      </c>
    </row>
    <row r="471" spans="1:58" x14ac:dyDescent="0.45">
      <c r="A471">
        <v>10470</v>
      </c>
      <c r="B471">
        <v>1</v>
      </c>
      <c r="C471">
        <v>89.86</v>
      </c>
      <c r="D471">
        <v>8.1</v>
      </c>
      <c r="E471">
        <v>0.99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1.05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Z471">
        <v>1</v>
      </c>
      <c r="AA471">
        <v>0</v>
      </c>
      <c r="AB471">
        <v>0</v>
      </c>
      <c r="AC471">
        <v>0</v>
      </c>
      <c r="AD471">
        <v>1</v>
      </c>
      <c r="AE471">
        <v>910</v>
      </c>
      <c r="AF471">
        <v>2</v>
      </c>
      <c r="AG471">
        <v>0</v>
      </c>
      <c r="AH471">
        <v>1</v>
      </c>
      <c r="AI471">
        <v>0</v>
      </c>
      <c r="AJ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-6.3866999999999994</v>
      </c>
      <c r="AX471">
        <v>8.1</v>
      </c>
      <c r="AY471">
        <v>877.35299999999995</v>
      </c>
      <c r="BA471">
        <v>810</v>
      </c>
      <c r="BB471">
        <v>921</v>
      </c>
      <c r="BC471">
        <v>16.899999999999999</v>
      </c>
      <c r="BF471" t="s">
        <v>108</v>
      </c>
    </row>
    <row r="472" spans="1:58" x14ac:dyDescent="0.45">
      <c r="A472">
        <v>10471</v>
      </c>
      <c r="B472">
        <v>1</v>
      </c>
      <c r="C472">
        <v>89.86</v>
      </c>
      <c r="D472">
        <v>8.1</v>
      </c>
      <c r="E472">
        <v>0.99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1.05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>
        <v>910</v>
      </c>
      <c r="AF472">
        <v>3</v>
      </c>
      <c r="AG472">
        <v>0</v>
      </c>
      <c r="AH472">
        <v>1</v>
      </c>
      <c r="AI472">
        <v>0</v>
      </c>
      <c r="AJ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-6.3866999999999994</v>
      </c>
      <c r="AX472">
        <v>8.1</v>
      </c>
      <c r="AY472">
        <v>877.35299999999995</v>
      </c>
      <c r="BA472">
        <v>823</v>
      </c>
      <c r="BB472">
        <v>910</v>
      </c>
      <c r="BC472">
        <v>16.399999999999999</v>
      </c>
      <c r="BF472" t="s">
        <v>108</v>
      </c>
    </row>
    <row r="473" spans="1:58" x14ac:dyDescent="0.45">
      <c r="A473">
        <v>10472</v>
      </c>
      <c r="B473">
        <v>1</v>
      </c>
      <c r="C473">
        <v>89.86</v>
      </c>
      <c r="D473">
        <v>8.1</v>
      </c>
      <c r="E473">
        <v>0.99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1.05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910</v>
      </c>
      <c r="AF473">
        <v>4</v>
      </c>
      <c r="AG473">
        <v>0</v>
      </c>
      <c r="AH473">
        <v>1</v>
      </c>
      <c r="AI473">
        <v>0</v>
      </c>
      <c r="AJ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-6.3866999999999994</v>
      </c>
      <c r="AX473">
        <v>8.1</v>
      </c>
      <c r="AY473">
        <v>877.35299999999995</v>
      </c>
      <c r="BA473">
        <v>826</v>
      </c>
      <c r="BB473">
        <v>913</v>
      </c>
      <c r="BC473">
        <v>19.100000000000001</v>
      </c>
      <c r="BF473" t="s">
        <v>108</v>
      </c>
    </row>
    <row r="474" spans="1:58" x14ac:dyDescent="0.45">
      <c r="A474">
        <v>10473</v>
      </c>
      <c r="B474">
        <v>1</v>
      </c>
      <c r="C474">
        <v>89.86</v>
      </c>
      <c r="D474">
        <v>8.1</v>
      </c>
      <c r="E474">
        <v>0.99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1.05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>
        <v>910</v>
      </c>
      <c r="AF474">
        <v>5</v>
      </c>
      <c r="AG474">
        <v>0</v>
      </c>
      <c r="AH474">
        <v>1</v>
      </c>
      <c r="AI474">
        <v>0</v>
      </c>
      <c r="AJ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-6.3866999999999994</v>
      </c>
      <c r="AX474">
        <v>8.1</v>
      </c>
      <c r="AY474">
        <v>877.35299999999995</v>
      </c>
      <c r="BA474">
        <v>806</v>
      </c>
      <c r="BB474">
        <v>890</v>
      </c>
      <c r="BC474">
        <v>17.399999999999999</v>
      </c>
      <c r="BF474" t="s">
        <v>108</v>
      </c>
    </row>
    <row r="475" spans="1:58" x14ac:dyDescent="0.45">
      <c r="A475">
        <v>10474</v>
      </c>
      <c r="B475">
        <v>1</v>
      </c>
      <c r="C475">
        <v>89.86</v>
      </c>
      <c r="D475">
        <v>8.1</v>
      </c>
      <c r="E475">
        <v>0.99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1.05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Z475">
        <v>1</v>
      </c>
      <c r="AA475">
        <v>0</v>
      </c>
      <c r="AB475">
        <v>0</v>
      </c>
      <c r="AC475">
        <v>0</v>
      </c>
      <c r="AD475">
        <v>1</v>
      </c>
      <c r="AE475">
        <v>910</v>
      </c>
      <c r="AF475">
        <v>6</v>
      </c>
      <c r="AG475">
        <v>0</v>
      </c>
      <c r="AH475">
        <v>1</v>
      </c>
      <c r="AI475">
        <v>0</v>
      </c>
      <c r="AJ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-6.3866999999999994</v>
      </c>
      <c r="AX475">
        <v>8.1</v>
      </c>
      <c r="AY475">
        <v>877.35299999999995</v>
      </c>
      <c r="BA475">
        <v>833</v>
      </c>
      <c r="BB475">
        <v>906</v>
      </c>
      <c r="BC475">
        <v>21.1</v>
      </c>
      <c r="BF475" t="s">
        <v>108</v>
      </c>
    </row>
    <row r="476" spans="1:58" x14ac:dyDescent="0.45">
      <c r="A476">
        <v>10475</v>
      </c>
      <c r="B476">
        <v>1</v>
      </c>
      <c r="C476">
        <v>87.37</v>
      </c>
      <c r="D476">
        <v>3.3</v>
      </c>
      <c r="E476">
        <v>4.4000000000000004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4.8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820</v>
      </c>
      <c r="AF476">
        <v>2</v>
      </c>
      <c r="AG476">
        <v>0</v>
      </c>
      <c r="AH476">
        <v>1</v>
      </c>
      <c r="AI476">
        <v>0</v>
      </c>
      <c r="AJ476">
        <v>1</v>
      </c>
      <c r="AK476">
        <v>560</v>
      </c>
      <c r="AL476">
        <v>6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4.4480000000000004</v>
      </c>
      <c r="AX476">
        <v>3.3</v>
      </c>
      <c r="AY476">
        <v>791.41</v>
      </c>
      <c r="BA476">
        <v>924.68</v>
      </c>
      <c r="BB476">
        <v>961.72</v>
      </c>
      <c r="BC476">
        <v>21.72</v>
      </c>
      <c r="BF476" t="s">
        <v>108</v>
      </c>
    </row>
    <row r="477" spans="1:58" x14ac:dyDescent="0.45">
      <c r="A477">
        <v>10476</v>
      </c>
      <c r="B477">
        <v>1</v>
      </c>
      <c r="C477">
        <v>87.37</v>
      </c>
      <c r="D477">
        <v>3.3</v>
      </c>
      <c r="E477">
        <v>4.4000000000000004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4.8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Z477">
        <v>1</v>
      </c>
      <c r="AA477">
        <v>0</v>
      </c>
      <c r="AB477">
        <v>0</v>
      </c>
      <c r="AC477">
        <v>0</v>
      </c>
      <c r="AD477">
        <v>1</v>
      </c>
      <c r="AE477">
        <v>820</v>
      </c>
      <c r="AF477">
        <v>3</v>
      </c>
      <c r="AG477">
        <v>0</v>
      </c>
      <c r="AH477">
        <v>1</v>
      </c>
      <c r="AI477">
        <v>0</v>
      </c>
      <c r="AJ477">
        <v>1</v>
      </c>
      <c r="AK477">
        <v>560</v>
      </c>
      <c r="AL477">
        <v>7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4.4480000000000004</v>
      </c>
      <c r="AX477">
        <v>3.3</v>
      </c>
      <c r="AY477">
        <v>791.41</v>
      </c>
      <c r="BA477">
        <v>914.02</v>
      </c>
      <c r="BB477">
        <v>961.51</v>
      </c>
      <c r="BC477">
        <v>23.11</v>
      </c>
      <c r="BE477" t="s">
        <v>348</v>
      </c>
      <c r="BF477" t="s">
        <v>108</v>
      </c>
    </row>
    <row r="478" spans="1:58" x14ac:dyDescent="0.45">
      <c r="A478">
        <v>10477</v>
      </c>
      <c r="B478">
        <v>1</v>
      </c>
      <c r="C478">
        <v>87.37</v>
      </c>
      <c r="D478">
        <v>3.3</v>
      </c>
      <c r="E478">
        <v>4.4000000000000004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4.8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Z478">
        <v>1</v>
      </c>
      <c r="AA478">
        <v>0</v>
      </c>
      <c r="AB478">
        <v>0</v>
      </c>
      <c r="AC478">
        <v>0</v>
      </c>
      <c r="AD478">
        <v>1</v>
      </c>
      <c r="AE478">
        <v>820</v>
      </c>
      <c r="AF478">
        <v>4</v>
      </c>
      <c r="AG478">
        <v>0</v>
      </c>
      <c r="AH478">
        <v>1</v>
      </c>
      <c r="AI478">
        <v>0</v>
      </c>
      <c r="AJ478">
        <v>1</v>
      </c>
      <c r="AK478">
        <v>560</v>
      </c>
      <c r="AL478">
        <v>8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4.4480000000000004</v>
      </c>
      <c r="AX478">
        <v>3.3</v>
      </c>
      <c r="AY478">
        <v>791.41</v>
      </c>
      <c r="BA478">
        <v>958.99</v>
      </c>
      <c r="BB478">
        <v>998.15</v>
      </c>
      <c r="BC478">
        <v>23.45</v>
      </c>
      <c r="BE478" t="s">
        <v>348</v>
      </c>
      <c r="BF478" t="s">
        <v>108</v>
      </c>
    </row>
    <row r="479" spans="1:58" x14ac:dyDescent="0.45">
      <c r="A479">
        <v>10478</v>
      </c>
      <c r="B479">
        <v>1</v>
      </c>
      <c r="C479">
        <v>87.37</v>
      </c>
      <c r="D479">
        <v>3.3</v>
      </c>
      <c r="E479">
        <v>4.4000000000000004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4.8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E479">
        <v>820</v>
      </c>
      <c r="AF479">
        <v>5</v>
      </c>
      <c r="AG479">
        <v>0</v>
      </c>
      <c r="AH479">
        <v>1</v>
      </c>
      <c r="AI479">
        <v>0</v>
      </c>
      <c r="AJ479">
        <v>1</v>
      </c>
      <c r="AK479">
        <v>560</v>
      </c>
      <c r="AL479">
        <v>9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4.4480000000000004</v>
      </c>
      <c r="AX479">
        <v>3.3</v>
      </c>
      <c r="AY479">
        <v>791.41</v>
      </c>
      <c r="BA479">
        <v>952.78</v>
      </c>
      <c r="BB479">
        <v>987.01</v>
      </c>
      <c r="BC479">
        <v>23.35</v>
      </c>
      <c r="BE479" t="s">
        <v>348</v>
      </c>
      <c r="BF479" t="s">
        <v>108</v>
      </c>
    </row>
    <row r="480" spans="1:58" x14ac:dyDescent="0.45">
      <c r="A480">
        <v>10479</v>
      </c>
      <c r="B480">
        <v>1</v>
      </c>
      <c r="C480">
        <v>87.37</v>
      </c>
      <c r="D480">
        <v>3.3</v>
      </c>
      <c r="E480">
        <v>4.4000000000000004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4.8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820</v>
      </c>
      <c r="AF480">
        <v>6</v>
      </c>
      <c r="AG480">
        <v>0</v>
      </c>
      <c r="AH480">
        <v>1</v>
      </c>
      <c r="AI480">
        <v>0</v>
      </c>
      <c r="AJ480">
        <v>1</v>
      </c>
      <c r="AK480">
        <v>560</v>
      </c>
      <c r="AL480">
        <v>10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4.4480000000000004</v>
      </c>
      <c r="AX480">
        <v>3.3</v>
      </c>
      <c r="AY480">
        <v>791.41</v>
      </c>
      <c r="BA480">
        <v>950.16</v>
      </c>
      <c r="BB480">
        <v>980.21</v>
      </c>
      <c r="BC480">
        <v>23.3</v>
      </c>
      <c r="BE480" t="s">
        <v>348</v>
      </c>
      <c r="BF480" t="s">
        <v>108</v>
      </c>
    </row>
    <row r="481" spans="1:58" x14ac:dyDescent="0.45">
      <c r="A481">
        <v>10480</v>
      </c>
      <c r="B481">
        <v>1</v>
      </c>
      <c r="C481">
        <v>87.37</v>
      </c>
      <c r="D481">
        <v>3.3</v>
      </c>
      <c r="E481">
        <v>4.4000000000000004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4.8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>
        <v>820</v>
      </c>
      <c r="AF481">
        <v>7</v>
      </c>
      <c r="AG481">
        <v>0</v>
      </c>
      <c r="AH481">
        <v>1</v>
      </c>
      <c r="AI481">
        <v>0</v>
      </c>
      <c r="AJ481">
        <v>1</v>
      </c>
      <c r="AK481">
        <v>580</v>
      </c>
      <c r="AL481">
        <v>6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4.4480000000000004</v>
      </c>
      <c r="AX481">
        <v>3.3</v>
      </c>
      <c r="AY481">
        <v>791.41</v>
      </c>
      <c r="BA481">
        <v>891.24</v>
      </c>
      <c r="BB481">
        <v>930.25</v>
      </c>
      <c r="BC481">
        <v>22.59</v>
      </c>
      <c r="BE481" t="s">
        <v>348</v>
      </c>
      <c r="BF481" t="s">
        <v>108</v>
      </c>
    </row>
    <row r="482" spans="1:58" x14ac:dyDescent="0.45">
      <c r="A482">
        <v>10481</v>
      </c>
      <c r="B482">
        <v>1</v>
      </c>
      <c r="C482">
        <v>87.37</v>
      </c>
      <c r="D482">
        <v>3.3</v>
      </c>
      <c r="E482">
        <v>4.4000000000000004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4.8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>
        <v>820</v>
      </c>
      <c r="AF482">
        <v>8</v>
      </c>
      <c r="AG482">
        <v>0</v>
      </c>
      <c r="AH482">
        <v>1</v>
      </c>
      <c r="AI482">
        <v>0</v>
      </c>
      <c r="AJ482">
        <v>1</v>
      </c>
      <c r="AK482">
        <v>580</v>
      </c>
      <c r="AL482">
        <v>7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4.4480000000000004</v>
      </c>
      <c r="AX482">
        <v>3.3</v>
      </c>
      <c r="AY482">
        <v>791.41</v>
      </c>
      <c r="BA482">
        <v>889.85</v>
      </c>
      <c r="BB482">
        <v>931.47</v>
      </c>
      <c r="BC482">
        <v>22.88</v>
      </c>
      <c r="BF482" t="s">
        <v>108</v>
      </c>
    </row>
    <row r="483" spans="1:58" x14ac:dyDescent="0.45">
      <c r="A483">
        <v>10482</v>
      </c>
      <c r="B483">
        <v>1</v>
      </c>
      <c r="C483">
        <v>87.37</v>
      </c>
      <c r="D483">
        <v>3.3</v>
      </c>
      <c r="E483">
        <v>4.4000000000000004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4.8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820</v>
      </c>
      <c r="AF483">
        <v>9</v>
      </c>
      <c r="AG483">
        <v>0</v>
      </c>
      <c r="AH483">
        <v>1</v>
      </c>
      <c r="AI483">
        <v>0</v>
      </c>
      <c r="AJ483">
        <v>1</v>
      </c>
      <c r="AK483">
        <v>580</v>
      </c>
      <c r="AL483">
        <v>8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4.4480000000000004</v>
      </c>
      <c r="AX483">
        <v>3.3</v>
      </c>
      <c r="AY483">
        <v>791.41</v>
      </c>
      <c r="BA483">
        <v>972.03</v>
      </c>
      <c r="BB483">
        <v>1007.3</v>
      </c>
      <c r="BC483">
        <v>24.25</v>
      </c>
      <c r="BF483" t="s">
        <v>108</v>
      </c>
    </row>
    <row r="484" spans="1:58" x14ac:dyDescent="0.45">
      <c r="A484">
        <v>10483</v>
      </c>
      <c r="B484">
        <v>1</v>
      </c>
      <c r="C484">
        <v>87.37</v>
      </c>
      <c r="D484">
        <v>3.3</v>
      </c>
      <c r="E484">
        <v>4.4000000000000004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4.8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820</v>
      </c>
      <c r="AF484">
        <v>10</v>
      </c>
      <c r="AG484">
        <v>0</v>
      </c>
      <c r="AH484">
        <v>1</v>
      </c>
      <c r="AI484">
        <v>0</v>
      </c>
      <c r="AJ484">
        <v>1</v>
      </c>
      <c r="AK484">
        <v>580</v>
      </c>
      <c r="AL484">
        <v>9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4.4480000000000004</v>
      </c>
      <c r="AX484">
        <v>3.3</v>
      </c>
      <c r="AY484">
        <v>791.41</v>
      </c>
      <c r="BA484">
        <v>944.57</v>
      </c>
      <c r="BB484">
        <v>977.95</v>
      </c>
      <c r="BC484">
        <v>24.05</v>
      </c>
      <c r="BF484" t="s">
        <v>108</v>
      </c>
    </row>
    <row r="485" spans="1:58" x14ac:dyDescent="0.45">
      <c r="A485">
        <v>10484</v>
      </c>
      <c r="B485">
        <v>1</v>
      </c>
      <c r="C485">
        <v>87.37</v>
      </c>
      <c r="D485">
        <v>3.3</v>
      </c>
      <c r="E485">
        <v>4.4000000000000004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4.8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>
        <v>820</v>
      </c>
      <c r="AF485">
        <v>11</v>
      </c>
      <c r="AG485">
        <v>0</v>
      </c>
      <c r="AH485">
        <v>1</v>
      </c>
      <c r="AI485">
        <v>0</v>
      </c>
      <c r="AJ485">
        <v>1</v>
      </c>
      <c r="AK485">
        <v>580</v>
      </c>
      <c r="AL485">
        <v>10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4.4480000000000004</v>
      </c>
      <c r="AX485">
        <v>3.3</v>
      </c>
      <c r="AY485">
        <v>791.41</v>
      </c>
      <c r="BA485">
        <v>943.38</v>
      </c>
      <c r="BB485">
        <v>974.97</v>
      </c>
      <c r="BC485">
        <v>24.01</v>
      </c>
      <c r="BF485" t="s">
        <v>108</v>
      </c>
    </row>
    <row r="486" spans="1:58" x14ac:dyDescent="0.45">
      <c r="A486">
        <v>10485</v>
      </c>
      <c r="B486">
        <v>1</v>
      </c>
      <c r="C486">
        <v>87.37</v>
      </c>
      <c r="D486">
        <v>3.3</v>
      </c>
      <c r="E486">
        <v>4.4000000000000004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4.8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Z486">
        <v>1</v>
      </c>
      <c r="AA486">
        <v>0</v>
      </c>
      <c r="AB486">
        <v>0</v>
      </c>
      <c r="AC486">
        <v>0</v>
      </c>
      <c r="AD486">
        <v>1</v>
      </c>
      <c r="AE486">
        <v>820</v>
      </c>
      <c r="AF486">
        <v>12</v>
      </c>
      <c r="AG486">
        <v>0</v>
      </c>
      <c r="AH486">
        <v>1</v>
      </c>
      <c r="AI486">
        <v>0</v>
      </c>
      <c r="AJ486">
        <v>1</v>
      </c>
      <c r="AK486">
        <v>600</v>
      </c>
      <c r="AL486">
        <v>6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4.4480000000000004</v>
      </c>
      <c r="AX486">
        <v>3.3</v>
      </c>
      <c r="AY486">
        <v>791.41</v>
      </c>
      <c r="BA486">
        <v>873.54</v>
      </c>
      <c r="BB486">
        <v>913.02</v>
      </c>
      <c r="BC486">
        <v>25.34</v>
      </c>
      <c r="BF486" t="s">
        <v>108</v>
      </c>
    </row>
    <row r="487" spans="1:58" x14ac:dyDescent="0.45">
      <c r="A487">
        <v>10486</v>
      </c>
      <c r="B487">
        <v>1</v>
      </c>
      <c r="C487">
        <v>87.37</v>
      </c>
      <c r="D487">
        <v>3.3</v>
      </c>
      <c r="E487">
        <v>4.4000000000000004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>
        <v>820</v>
      </c>
      <c r="AF487">
        <v>13</v>
      </c>
      <c r="AG487">
        <v>0</v>
      </c>
      <c r="AH487">
        <v>1</v>
      </c>
      <c r="AI487">
        <v>0</v>
      </c>
      <c r="AJ487">
        <v>1</v>
      </c>
      <c r="AK487">
        <v>600</v>
      </c>
      <c r="AL487">
        <v>7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4.4480000000000004</v>
      </c>
      <c r="AX487">
        <v>3.3</v>
      </c>
      <c r="AY487">
        <v>791.41</v>
      </c>
      <c r="BA487">
        <v>882.35</v>
      </c>
      <c r="BB487">
        <v>917.65</v>
      </c>
      <c r="BC487">
        <v>25.51</v>
      </c>
      <c r="BF487" t="s">
        <v>108</v>
      </c>
    </row>
    <row r="488" spans="1:58" x14ac:dyDescent="0.45">
      <c r="A488">
        <v>10487</v>
      </c>
      <c r="B488">
        <v>1</v>
      </c>
      <c r="C488">
        <v>87.37</v>
      </c>
      <c r="D488">
        <v>3.3</v>
      </c>
      <c r="E488">
        <v>4.4000000000000004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4.8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Z488">
        <v>1</v>
      </c>
      <c r="AA488">
        <v>0</v>
      </c>
      <c r="AB488">
        <v>0</v>
      </c>
      <c r="AC488">
        <v>0</v>
      </c>
      <c r="AD488">
        <v>1</v>
      </c>
      <c r="AE488">
        <v>820</v>
      </c>
      <c r="AF488">
        <v>14</v>
      </c>
      <c r="AG488">
        <v>0</v>
      </c>
      <c r="AH488">
        <v>1</v>
      </c>
      <c r="AI488">
        <v>0</v>
      </c>
      <c r="AJ488">
        <v>1</v>
      </c>
      <c r="AK488">
        <v>600</v>
      </c>
      <c r="AL488">
        <v>8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4.4480000000000004</v>
      </c>
      <c r="AX488">
        <v>3.3</v>
      </c>
      <c r="AY488">
        <v>791.41</v>
      </c>
      <c r="BA488">
        <v>934.69</v>
      </c>
      <c r="BB488">
        <v>970.81</v>
      </c>
      <c r="BC488">
        <v>25</v>
      </c>
      <c r="BF488" t="s">
        <v>108</v>
      </c>
    </row>
    <row r="489" spans="1:58" x14ac:dyDescent="0.45">
      <c r="A489">
        <v>10488</v>
      </c>
      <c r="B489">
        <v>1</v>
      </c>
      <c r="C489">
        <v>87.37</v>
      </c>
      <c r="D489">
        <v>3.3</v>
      </c>
      <c r="E489">
        <v>4.4000000000000004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4.8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>
        <v>820</v>
      </c>
      <c r="AF489">
        <v>15</v>
      </c>
      <c r="AG489">
        <v>0</v>
      </c>
      <c r="AH489">
        <v>1</v>
      </c>
      <c r="AI489">
        <v>0</v>
      </c>
      <c r="AJ489">
        <v>1</v>
      </c>
      <c r="AK489">
        <v>600</v>
      </c>
      <c r="AL489">
        <v>9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4.4480000000000004</v>
      </c>
      <c r="AX489">
        <v>3.3</v>
      </c>
      <c r="AY489">
        <v>791.41</v>
      </c>
      <c r="BA489">
        <v>928.66</v>
      </c>
      <c r="BB489">
        <v>958.4</v>
      </c>
      <c r="BC489">
        <v>24.95</v>
      </c>
      <c r="BF489" t="s">
        <v>108</v>
      </c>
    </row>
    <row r="490" spans="1:58" x14ac:dyDescent="0.45">
      <c r="A490">
        <v>10489</v>
      </c>
      <c r="B490">
        <v>1</v>
      </c>
      <c r="C490">
        <v>87.37</v>
      </c>
      <c r="D490">
        <v>3.3</v>
      </c>
      <c r="E490">
        <v>4.4000000000000004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4.8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Z490">
        <v>1</v>
      </c>
      <c r="AA490">
        <v>0</v>
      </c>
      <c r="AB490">
        <v>0</v>
      </c>
      <c r="AC490">
        <v>0</v>
      </c>
      <c r="AD490">
        <v>1</v>
      </c>
      <c r="AE490">
        <v>820</v>
      </c>
      <c r="AF490">
        <v>16</v>
      </c>
      <c r="AG490">
        <v>0</v>
      </c>
      <c r="AH490">
        <v>1</v>
      </c>
      <c r="AI490">
        <v>0</v>
      </c>
      <c r="AJ490">
        <v>1</v>
      </c>
      <c r="AK490">
        <v>600</v>
      </c>
      <c r="AL490">
        <v>10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4.4480000000000004</v>
      </c>
      <c r="AX490">
        <v>3.3</v>
      </c>
      <c r="AY490">
        <v>791.41</v>
      </c>
      <c r="BA490">
        <v>923.96</v>
      </c>
      <c r="BB490">
        <v>951</v>
      </c>
      <c r="BC490">
        <v>24.7</v>
      </c>
      <c r="BF490" t="s">
        <v>108</v>
      </c>
    </row>
    <row r="491" spans="1:58" x14ac:dyDescent="0.45">
      <c r="A491">
        <v>10490</v>
      </c>
      <c r="B491">
        <v>1</v>
      </c>
      <c r="C491">
        <v>87.37</v>
      </c>
      <c r="D491">
        <v>3.3</v>
      </c>
      <c r="E491">
        <v>4.4000000000000004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4.8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J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4.4480000000000004</v>
      </c>
      <c r="AX491">
        <v>3.3</v>
      </c>
      <c r="AY491">
        <v>791.41</v>
      </c>
      <c r="BA491">
        <v>860.43</v>
      </c>
      <c r="BB491">
        <v>886.97</v>
      </c>
      <c r="BC491">
        <v>18.760000000000002</v>
      </c>
      <c r="BF491" t="s">
        <v>108</v>
      </c>
    </row>
    <row r="492" spans="1:58" x14ac:dyDescent="0.45">
      <c r="A492">
        <v>10491</v>
      </c>
      <c r="B492">
        <v>1</v>
      </c>
      <c r="C492">
        <v>87.37</v>
      </c>
      <c r="D492">
        <v>3.3</v>
      </c>
      <c r="E492">
        <v>4.4000000000000004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4.8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780</v>
      </c>
      <c r="AF492">
        <v>3</v>
      </c>
      <c r="AG492">
        <v>0</v>
      </c>
      <c r="AH492">
        <v>0</v>
      </c>
      <c r="AI492">
        <v>1</v>
      </c>
      <c r="AJ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4.4480000000000004</v>
      </c>
      <c r="AX492">
        <v>3.3</v>
      </c>
      <c r="AY492">
        <v>791.41</v>
      </c>
      <c r="BA492">
        <v>837.43</v>
      </c>
      <c r="BB492">
        <v>847.12</v>
      </c>
      <c r="BC492">
        <v>26.2</v>
      </c>
      <c r="BF492" t="s">
        <v>108</v>
      </c>
    </row>
    <row r="493" spans="1:58" x14ac:dyDescent="0.45">
      <c r="A493">
        <v>10492</v>
      </c>
      <c r="B493">
        <v>1</v>
      </c>
      <c r="C493">
        <v>87.37</v>
      </c>
      <c r="D493">
        <v>3.3</v>
      </c>
      <c r="E493">
        <v>4.4000000000000004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4.8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>
        <v>800</v>
      </c>
      <c r="AF493">
        <v>3</v>
      </c>
      <c r="AG493">
        <v>0</v>
      </c>
      <c r="AH493">
        <v>0</v>
      </c>
      <c r="AI493">
        <v>1</v>
      </c>
      <c r="AJ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4.4480000000000004</v>
      </c>
      <c r="AX493">
        <v>3.3</v>
      </c>
      <c r="AY493">
        <v>791.41</v>
      </c>
      <c r="BA493">
        <v>831.94</v>
      </c>
      <c r="BB493">
        <v>842.85</v>
      </c>
      <c r="BC493">
        <v>25.04</v>
      </c>
      <c r="BF493" t="s">
        <v>108</v>
      </c>
    </row>
    <row r="494" spans="1:58" x14ac:dyDescent="0.45">
      <c r="A494">
        <v>10493</v>
      </c>
      <c r="B494">
        <v>1</v>
      </c>
      <c r="C494">
        <v>87.37</v>
      </c>
      <c r="D494">
        <v>3.3</v>
      </c>
      <c r="E494">
        <v>4.4000000000000004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4.8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Z494">
        <v>1</v>
      </c>
      <c r="AA494">
        <v>0</v>
      </c>
      <c r="AB494">
        <v>0</v>
      </c>
      <c r="AC494">
        <v>0</v>
      </c>
      <c r="AD494">
        <v>1</v>
      </c>
      <c r="AE494">
        <v>820</v>
      </c>
      <c r="AF494">
        <v>3</v>
      </c>
      <c r="AG494">
        <v>0</v>
      </c>
      <c r="AH494">
        <v>0</v>
      </c>
      <c r="AI494">
        <v>1</v>
      </c>
      <c r="AJ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4.4480000000000004</v>
      </c>
      <c r="AX494">
        <v>3.3</v>
      </c>
      <c r="AY494">
        <v>791.41</v>
      </c>
      <c r="BA494">
        <v>827.81</v>
      </c>
      <c r="BB494">
        <v>844.02</v>
      </c>
      <c r="BC494">
        <v>23.74</v>
      </c>
      <c r="BF494" t="s">
        <v>108</v>
      </c>
    </row>
    <row r="495" spans="1:58" x14ac:dyDescent="0.45">
      <c r="A495">
        <v>10494</v>
      </c>
      <c r="B495">
        <v>1</v>
      </c>
      <c r="C495">
        <v>87.37</v>
      </c>
      <c r="D495">
        <v>3.3</v>
      </c>
      <c r="E495">
        <v>4.4000000000000004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4.8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>
        <v>840</v>
      </c>
      <c r="AF495">
        <v>3</v>
      </c>
      <c r="AG495">
        <v>0</v>
      </c>
      <c r="AH495">
        <v>0</v>
      </c>
      <c r="AI495">
        <v>1</v>
      </c>
      <c r="AJ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4.4480000000000004</v>
      </c>
      <c r="AX495">
        <v>3.3</v>
      </c>
      <c r="AY495">
        <v>791.41</v>
      </c>
      <c r="BA495">
        <v>823.06</v>
      </c>
      <c r="BB495">
        <v>857.7</v>
      </c>
      <c r="BC495">
        <v>23.6</v>
      </c>
      <c r="BF495" t="s">
        <v>108</v>
      </c>
    </row>
    <row r="496" spans="1:58" x14ac:dyDescent="0.45">
      <c r="A496">
        <v>10495</v>
      </c>
      <c r="B496">
        <v>1</v>
      </c>
      <c r="C496">
        <v>87.37</v>
      </c>
      <c r="D496">
        <v>3.3</v>
      </c>
      <c r="E496">
        <v>4.4000000000000004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4.8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>
        <v>860</v>
      </c>
      <c r="AF496">
        <v>3</v>
      </c>
      <c r="AG496">
        <v>0</v>
      </c>
      <c r="AH496">
        <v>0</v>
      </c>
      <c r="AI496">
        <v>1</v>
      </c>
      <c r="AJ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4.4480000000000004</v>
      </c>
      <c r="AX496">
        <v>3.3</v>
      </c>
      <c r="AY496">
        <v>791.41</v>
      </c>
      <c r="BA496">
        <v>819.11</v>
      </c>
      <c r="BB496">
        <v>880.98</v>
      </c>
      <c r="BC496">
        <v>22.54</v>
      </c>
      <c r="BF496" t="s">
        <v>108</v>
      </c>
    </row>
    <row r="497" spans="1:58" x14ac:dyDescent="0.45">
      <c r="A497">
        <v>10496</v>
      </c>
      <c r="B497">
        <v>1</v>
      </c>
      <c r="C497">
        <v>87.37</v>
      </c>
      <c r="D497">
        <v>3.3</v>
      </c>
      <c r="E497">
        <v>4.4000000000000004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4.8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880</v>
      </c>
      <c r="AF497">
        <v>3</v>
      </c>
      <c r="AG497">
        <v>0</v>
      </c>
      <c r="AH497">
        <v>0</v>
      </c>
      <c r="AI497">
        <v>1</v>
      </c>
      <c r="AJ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4.4480000000000004</v>
      </c>
      <c r="AX497">
        <v>3.3</v>
      </c>
      <c r="AY497">
        <v>791.41</v>
      </c>
      <c r="BA497">
        <v>791.11</v>
      </c>
      <c r="BB497">
        <v>878.6</v>
      </c>
      <c r="BC497">
        <v>18.920000000000002</v>
      </c>
      <c r="BF497" t="s">
        <v>108</v>
      </c>
    </row>
    <row r="498" spans="1:58" x14ac:dyDescent="0.45">
      <c r="A498">
        <v>10497</v>
      </c>
      <c r="B498">
        <v>1</v>
      </c>
      <c r="C498">
        <v>85</v>
      </c>
      <c r="D498">
        <v>3</v>
      </c>
      <c r="E498">
        <v>10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760</v>
      </c>
      <c r="AF498">
        <v>2</v>
      </c>
      <c r="AG498">
        <v>1</v>
      </c>
      <c r="AH498">
        <v>0</v>
      </c>
      <c r="AI498">
        <v>0</v>
      </c>
      <c r="AJ498">
        <v>1</v>
      </c>
      <c r="AK498">
        <v>520</v>
      </c>
      <c r="AL498">
        <v>8.5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9.5</v>
      </c>
      <c r="AX498">
        <v>3</v>
      </c>
      <c r="AY498">
        <v>739.5</v>
      </c>
      <c r="BB498">
        <v>1265</v>
      </c>
      <c r="BC498">
        <v>12.18</v>
      </c>
      <c r="BF498" t="s">
        <v>125</v>
      </c>
    </row>
    <row r="499" spans="1:58" x14ac:dyDescent="0.45">
      <c r="A499">
        <v>10498</v>
      </c>
      <c r="B499">
        <v>1</v>
      </c>
      <c r="C499">
        <v>85</v>
      </c>
      <c r="D499">
        <v>3</v>
      </c>
      <c r="E499">
        <v>10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760</v>
      </c>
      <c r="AF499">
        <v>2</v>
      </c>
      <c r="AG499">
        <v>1</v>
      </c>
      <c r="AH499">
        <v>0</v>
      </c>
      <c r="AI499">
        <v>0</v>
      </c>
      <c r="AJ499">
        <v>1</v>
      </c>
      <c r="AK499">
        <v>530</v>
      </c>
      <c r="AL499">
        <v>8.5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9.5</v>
      </c>
      <c r="AX499">
        <v>3</v>
      </c>
      <c r="AY499">
        <v>739.5</v>
      </c>
      <c r="BB499">
        <v>1186</v>
      </c>
      <c r="BC499">
        <v>13.18</v>
      </c>
      <c r="BF499" t="s">
        <v>125</v>
      </c>
    </row>
    <row r="500" spans="1:58" x14ac:dyDescent="0.45">
      <c r="A500">
        <v>10499</v>
      </c>
      <c r="B500">
        <v>1</v>
      </c>
      <c r="C500">
        <v>85</v>
      </c>
      <c r="D500">
        <v>3</v>
      </c>
      <c r="E500">
        <v>10</v>
      </c>
      <c r="F500">
        <v>0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Z500">
        <v>1</v>
      </c>
      <c r="AA500">
        <v>0</v>
      </c>
      <c r="AB500">
        <v>0</v>
      </c>
      <c r="AC500">
        <v>0</v>
      </c>
      <c r="AD500">
        <v>1</v>
      </c>
      <c r="AE500">
        <v>760</v>
      </c>
      <c r="AF500">
        <v>2</v>
      </c>
      <c r="AG500">
        <v>1</v>
      </c>
      <c r="AH500">
        <v>0</v>
      </c>
      <c r="AI500">
        <v>0</v>
      </c>
      <c r="AJ500">
        <v>1</v>
      </c>
      <c r="AK500">
        <v>540</v>
      </c>
      <c r="AL500">
        <v>8.5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9.5</v>
      </c>
      <c r="AX500">
        <v>3</v>
      </c>
      <c r="AY500">
        <v>739.5</v>
      </c>
      <c r="BB500">
        <v>1172</v>
      </c>
      <c r="BC500">
        <v>14.19</v>
      </c>
      <c r="BF500" t="s">
        <v>125</v>
      </c>
    </row>
    <row r="501" spans="1:58" x14ac:dyDescent="0.45">
      <c r="A501">
        <v>10500</v>
      </c>
      <c r="B501">
        <v>1</v>
      </c>
      <c r="C501">
        <v>85</v>
      </c>
      <c r="D501">
        <v>3</v>
      </c>
      <c r="E501">
        <v>10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775</v>
      </c>
      <c r="AF501">
        <v>2</v>
      </c>
      <c r="AG501">
        <v>1</v>
      </c>
      <c r="AH501">
        <v>0</v>
      </c>
      <c r="AI501">
        <v>0</v>
      </c>
      <c r="AJ501">
        <v>1</v>
      </c>
      <c r="AK501">
        <v>530</v>
      </c>
      <c r="AL501">
        <v>8.5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9.5</v>
      </c>
      <c r="AX501">
        <v>3</v>
      </c>
      <c r="AY501">
        <v>739.5</v>
      </c>
      <c r="BB501">
        <v>1204</v>
      </c>
      <c r="BC501">
        <v>13.18</v>
      </c>
      <c r="BF501" t="s">
        <v>125</v>
      </c>
    </row>
    <row r="502" spans="1:58" x14ac:dyDescent="0.45">
      <c r="A502">
        <v>10501</v>
      </c>
      <c r="B502">
        <v>1</v>
      </c>
      <c r="C502">
        <v>86.36</v>
      </c>
      <c r="D502">
        <v>5.25</v>
      </c>
      <c r="E502">
        <v>7.5</v>
      </c>
      <c r="F502">
        <v>0</v>
      </c>
      <c r="G502">
        <v>0</v>
      </c>
      <c r="H502">
        <v>0.25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Z502">
        <v>0</v>
      </c>
      <c r="AA502">
        <v>1</v>
      </c>
      <c r="AB502">
        <v>0</v>
      </c>
      <c r="AC502">
        <v>0</v>
      </c>
      <c r="AD502">
        <v>1</v>
      </c>
      <c r="AE502">
        <v>850</v>
      </c>
      <c r="AF502">
        <v>1</v>
      </c>
      <c r="AJ502">
        <v>1</v>
      </c>
      <c r="AK502">
        <v>500</v>
      </c>
      <c r="AL502">
        <v>8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0.5</v>
      </c>
      <c r="AX502">
        <v>5.25</v>
      </c>
      <c r="AY502">
        <v>800.67499999999995</v>
      </c>
      <c r="BA502">
        <v>1131</v>
      </c>
      <c r="BB502">
        <v>1189</v>
      </c>
      <c r="BC502">
        <v>15.5</v>
      </c>
      <c r="BE502" t="s">
        <v>349</v>
      </c>
      <c r="BF502" t="s">
        <v>128</v>
      </c>
    </row>
    <row r="503" spans="1:58" x14ac:dyDescent="0.45">
      <c r="A503">
        <v>10502</v>
      </c>
      <c r="B503">
        <v>1</v>
      </c>
      <c r="C503">
        <v>86.36</v>
      </c>
      <c r="D503">
        <v>5.25</v>
      </c>
      <c r="E503">
        <v>7.5</v>
      </c>
      <c r="F503">
        <v>0</v>
      </c>
      <c r="G503">
        <v>0</v>
      </c>
      <c r="H503">
        <v>0.25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Z503">
        <v>0</v>
      </c>
      <c r="AA503">
        <v>1</v>
      </c>
      <c r="AB503">
        <v>0</v>
      </c>
      <c r="AC503">
        <v>0</v>
      </c>
      <c r="AD503">
        <v>1</v>
      </c>
      <c r="AE503">
        <v>940</v>
      </c>
      <c r="AF503">
        <v>1</v>
      </c>
      <c r="AG503">
        <v>0</v>
      </c>
      <c r="AH503">
        <v>0</v>
      </c>
      <c r="AI503">
        <v>1</v>
      </c>
      <c r="AJ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0.5</v>
      </c>
      <c r="AX503">
        <v>5.25</v>
      </c>
      <c r="AY503">
        <v>800.67499999999995</v>
      </c>
      <c r="BA503">
        <v>912</v>
      </c>
      <c r="BB503">
        <v>970</v>
      </c>
      <c r="BC503">
        <v>13.2</v>
      </c>
      <c r="BE503" t="s">
        <v>349</v>
      </c>
      <c r="BF503" t="s">
        <v>128</v>
      </c>
    </row>
    <row r="504" spans="1:58" x14ac:dyDescent="0.45">
      <c r="A504">
        <v>10503</v>
      </c>
      <c r="B504">
        <v>1</v>
      </c>
      <c r="C504">
        <v>89.658000000000001</v>
      </c>
      <c r="D504">
        <v>6.05</v>
      </c>
      <c r="E504">
        <v>4.04</v>
      </c>
      <c r="F504">
        <v>0</v>
      </c>
      <c r="G504">
        <v>0</v>
      </c>
      <c r="H504">
        <v>0.05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J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-3.1981999999999995</v>
      </c>
      <c r="AX504">
        <v>6.05</v>
      </c>
      <c r="AY504">
        <v>846.26300000000003</v>
      </c>
      <c r="BA504">
        <v>851</v>
      </c>
      <c r="BB504">
        <v>932</v>
      </c>
      <c r="BC504">
        <v>16.2</v>
      </c>
      <c r="BF504" t="s">
        <v>129</v>
      </c>
    </row>
    <row r="505" spans="1:58" x14ac:dyDescent="0.45">
      <c r="A505">
        <v>10504</v>
      </c>
      <c r="B505">
        <v>1</v>
      </c>
      <c r="C505">
        <v>89.658000000000001</v>
      </c>
      <c r="D505">
        <v>6.05</v>
      </c>
      <c r="E505">
        <v>4.04</v>
      </c>
      <c r="F505">
        <v>0</v>
      </c>
      <c r="G505">
        <v>0</v>
      </c>
      <c r="H505">
        <v>0.05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>
        <v>930</v>
      </c>
      <c r="AF505">
        <v>1</v>
      </c>
      <c r="AG505">
        <v>0</v>
      </c>
      <c r="AH505">
        <v>1</v>
      </c>
      <c r="AI505">
        <v>0</v>
      </c>
      <c r="AJ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-3.1981999999999995</v>
      </c>
      <c r="AX505">
        <v>6.05</v>
      </c>
      <c r="AY505">
        <v>846.26300000000003</v>
      </c>
      <c r="BA505">
        <v>903</v>
      </c>
      <c r="BB505">
        <v>978</v>
      </c>
      <c r="BC505">
        <v>15.5</v>
      </c>
      <c r="BF505" t="s">
        <v>129</v>
      </c>
    </row>
    <row r="506" spans="1:58" x14ac:dyDescent="0.45">
      <c r="A506">
        <v>10505</v>
      </c>
      <c r="B506">
        <v>1</v>
      </c>
      <c r="C506">
        <v>86</v>
      </c>
      <c r="D506">
        <v>1</v>
      </c>
      <c r="E506">
        <v>8</v>
      </c>
      <c r="F506">
        <v>0</v>
      </c>
      <c r="G506">
        <v>0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>
        <v>700</v>
      </c>
      <c r="AF506">
        <v>6</v>
      </c>
      <c r="AG506">
        <v>0</v>
      </c>
      <c r="AH506">
        <v>0</v>
      </c>
      <c r="AI506">
        <v>1</v>
      </c>
      <c r="AJ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18.86</v>
      </c>
      <c r="AX506">
        <v>1</v>
      </c>
      <c r="AY506">
        <v>712.7</v>
      </c>
      <c r="BA506">
        <v>946</v>
      </c>
      <c r="BB506">
        <v>1000</v>
      </c>
      <c r="BC506">
        <v>13.4</v>
      </c>
      <c r="BF506" t="s">
        <v>108</v>
      </c>
    </row>
    <row r="507" spans="1:58" x14ac:dyDescent="0.45">
      <c r="A507">
        <v>10506</v>
      </c>
      <c r="B507">
        <v>1</v>
      </c>
      <c r="C507">
        <v>86</v>
      </c>
      <c r="D507">
        <v>1</v>
      </c>
      <c r="E507">
        <v>8</v>
      </c>
      <c r="F507">
        <v>0</v>
      </c>
      <c r="G507">
        <v>0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>
        <v>780</v>
      </c>
      <c r="AF507">
        <v>1</v>
      </c>
      <c r="AG507">
        <v>1</v>
      </c>
      <c r="AH507">
        <v>0</v>
      </c>
      <c r="AI507">
        <v>0</v>
      </c>
      <c r="AJ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18.86</v>
      </c>
      <c r="AX507">
        <v>1</v>
      </c>
      <c r="AY507">
        <v>712.7</v>
      </c>
      <c r="BA507">
        <v>1262</v>
      </c>
      <c r="BB507">
        <v>1287</v>
      </c>
      <c r="BC507">
        <v>3.9</v>
      </c>
      <c r="BF507" t="s">
        <v>108</v>
      </c>
    </row>
    <row r="508" spans="1:58" x14ac:dyDescent="0.45">
      <c r="A508">
        <v>10507</v>
      </c>
      <c r="B508">
        <v>1</v>
      </c>
      <c r="C508">
        <v>90.57</v>
      </c>
      <c r="D508">
        <v>5.58</v>
      </c>
      <c r="E508">
        <v>3.55</v>
      </c>
      <c r="F508">
        <v>0</v>
      </c>
      <c r="G508">
        <v>0</v>
      </c>
      <c r="H508">
        <v>0.3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J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-2.3315000000000001</v>
      </c>
      <c r="AX508">
        <v>5.58</v>
      </c>
      <c r="AY508">
        <v>847.20799999999997</v>
      </c>
      <c r="BA508">
        <v>952.7</v>
      </c>
      <c r="BB508">
        <v>1009</v>
      </c>
      <c r="BC508">
        <v>9.3000000000000007</v>
      </c>
      <c r="BF508" t="s">
        <v>130</v>
      </c>
    </row>
    <row r="509" spans="1:58" x14ac:dyDescent="0.45">
      <c r="A509">
        <v>10508</v>
      </c>
      <c r="B509">
        <v>1</v>
      </c>
      <c r="C509">
        <v>90.57</v>
      </c>
      <c r="D509">
        <v>5.58</v>
      </c>
      <c r="E509">
        <v>3.55</v>
      </c>
      <c r="F509">
        <v>0</v>
      </c>
      <c r="G509">
        <v>0</v>
      </c>
      <c r="H509">
        <v>0.3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850</v>
      </c>
      <c r="AF509">
        <v>2</v>
      </c>
      <c r="AG509">
        <v>0</v>
      </c>
      <c r="AH509">
        <v>0</v>
      </c>
      <c r="AI509">
        <v>1</v>
      </c>
      <c r="AJ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-2.3315000000000001</v>
      </c>
      <c r="AX509">
        <v>5.58</v>
      </c>
      <c r="AY509">
        <v>847.20799999999997</v>
      </c>
      <c r="BA509">
        <v>966</v>
      </c>
      <c r="BB509">
        <v>988.3</v>
      </c>
      <c r="BC509">
        <v>14.8</v>
      </c>
      <c r="BF509" t="s">
        <v>130</v>
      </c>
    </row>
    <row r="510" spans="1:58" x14ac:dyDescent="0.45">
      <c r="A510">
        <v>10509</v>
      </c>
      <c r="B510">
        <v>1</v>
      </c>
      <c r="C510">
        <v>90.57</v>
      </c>
      <c r="D510">
        <v>5.58</v>
      </c>
      <c r="E510">
        <v>3.55</v>
      </c>
      <c r="F510">
        <v>0</v>
      </c>
      <c r="G510">
        <v>0</v>
      </c>
      <c r="H510">
        <v>0.3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980</v>
      </c>
      <c r="AF510">
        <v>0.16666666666666699</v>
      </c>
      <c r="AG510">
        <v>0</v>
      </c>
      <c r="AH510">
        <v>0</v>
      </c>
      <c r="AI510">
        <v>1</v>
      </c>
      <c r="AJ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-2.3315000000000001</v>
      </c>
      <c r="AX510">
        <v>5.58</v>
      </c>
      <c r="AY510">
        <v>847.20799999999997</v>
      </c>
      <c r="BA510">
        <v>490.7</v>
      </c>
      <c r="BB510">
        <v>586</v>
      </c>
      <c r="BC510">
        <v>1.6</v>
      </c>
      <c r="BF510" t="s">
        <v>130</v>
      </c>
    </row>
    <row r="511" spans="1:58" x14ac:dyDescent="0.45">
      <c r="A511">
        <v>10510</v>
      </c>
      <c r="B511">
        <v>1</v>
      </c>
      <c r="C511">
        <v>89</v>
      </c>
      <c r="D511">
        <v>0</v>
      </c>
      <c r="E511">
        <v>0</v>
      </c>
      <c r="F511">
        <v>3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20</v>
      </c>
      <c r="Y511">
        <v>60</v>
      </c>
      <c r="Z511">
        <v>0</v>
      </c>
      <c r="AA511">
        <v>1</v>
      </c>
      <c r="AB511">
        <v>0</v>
      </c>
      <c r="AC511">
        <v>0</v>
      </c>
      <c r="AD511">
        <v>1</v>
      </c>
      <c r="AE511">
        <v>850</v>
      </c>
      <c r="AF511">
        <v>0.33</v>
      </c>
      <c r="AG511">
        <v>0</v>
      </c>
      <c r="AH511">
        <v>1</v>
      </c>
      <c r="AI511">
        <v>0</v>
      </c>
      <c r="AJ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14.700000000000001</v>
      </c>
      <c r="AX511">
        <v>0</v>
      </c>
      <c r="AY511">
        <v>763.80000000000007</v>
      </c>
      <c r="BB511">
        <v>1246</v>
      </c>
      <c r="BC511">
        <v>14.54</v>
      </c>
      <c r="BF511" t="s">
        <v>93</v>
      </c>
    </row>
    <row r="512" spans="1:58" x14ac:dyDescent="0.45">
      <c r="A512">
        <v>10511</v>
      </c>
      <c r="B512">
        <v>1</v>
      </c>
      <c r="C512">
        <v>89</v>
      </c>
      <c r="D512">
        <v>0</v>
      </c>
      <c r="E512">
        <v>0</v>
      </c>
      <c r="F512">
        <v>3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20</v>
      </c>
      <c r="Y512">
        <v>60</v>
      </c>
      <c r="Z512">
        <v>0</v>
      </c>
      <c r="AA512">
        <v>1</v>
      </c>
      <c r="AB512">
        <v>0</v>
      </c>
      <c r="AC512">
        <v>0</v>
      </c>
      <c r="AD512">
        <v>1</v>
      </c>
      <c r="AE512">
        <v>850</v>
      </c>
      <c r="AF512">
        <v>0.33</v>
      </c>
      <c r="AG512">
        <v>1</v>
      </c>
      <c r="AH512">
        <v>0</v>
      </c>
      <c r="AI512">
        <v>0</v>
      </c>
      <c r="AJ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14.700000000000001</v>
      </c>
      <c r="AX512">
        <v>0</v>
      </c>
      <c r="AY512">
        <v>763.80000000000007</v>
      </c>
      <c r="BB512">
        <v>929.6</v>
      </c>
      <c r="BC512">
        <v>24.79</v>
      </c>
      <c r="BF512" t="s">
        <v>93</v>
      </c>
    </row>
    <row r="513" spans="1:58" x14ac:dyDescent="0.45">
      <c r="A513">
        <v>10512</v>
      </c>
      <c r="B513">
        <v>1</v>
      </c>
      <c r="C513">
        <v>58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6.8</v>
      </c>
      <c r="K513">
        <v>32.5</v>
      </c>
      <c r="L513">
        <v>0</v>
      </c>
      <c r="M513">
        <v>2.7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>
        <v>1000</v>
      </c>
      <c r="AF513">
        <v>1</v>
      </c>
      <c r="AG513">
        <v>1</v>
      </c>
      <c r="AH513">
        <v>0</v>
      </c>
      <c r="AI513">
        <v>0</v>
      </c>
      <c r="AJ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9.1000000000000014</v>
      </c>
      <c r="AX513">
        <v>2.0333333333333332</v>
      </c>
      <c r="AY513">
        <v>846.42000000000007</v>
      </c>
      <c r="BB513">
        <v>562</v>
      </c>
      <c r="BC513">
        <v>20.100000000000001</v>
      </c>
      <c r="BF513" t="s">
        <v>131</v>
      </c>
    </row>
    <row r="514" spans="1:58" x14ac:dyDescent="0.45">
      <c r="A514">
        <v>10513</v>
      </c>
      <c r="B514">
        <v>1</v>
      </c>
      <c r="C514">
        <v>58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6.8</v>
      </c>
      <c r="K514">
        <v>32.5</v>
      </c>
      <c r="L514">
        <v>0</v>
      </c>
      <c r="M514">
        <v>2.7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20</v>
      </c>
      <c r="Y514">
        <v>50</v>
      </c>
      <c r="Z514">
        <v>0</v>
      </c>
      <c r="AA514">
        <v>1</v>
      </c>
      <c r="AB514">
        <v>0</v>
      </c>
      <c r="AC514">
        <v>0</v>
      </c>
      <c r="AD514">
        <v>1</v>
      </c>
      <c r="AE514">
        <v>1000</v>
      </c>
      <c r="AF514">
        <v>1</v>
      </c>
      <c r="AG514">
        <v>1</v>
      </c>
      <c r="AH514">
        <v>0</v>
      </c>
      <c r="AI514">
        <v>0</v>
      </c>
      <c r="AJ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9.1000000000000014</v>
      </c>
      <c r="AX514">
        <v>2.0333333333333332</v>
      </c>
      <c r="AY514">
        <v>846.42000000000007</v>
      </c>
      <c r="BB514">
        <v>719</v>
      </c>
      <c r="BC514">
        <v>16.8</v>
      </c>
      <c r="BF514" t="s">
        <v>131</v>
      </c>
    </row>
    <row r="515" spans="1:58" x14ac:dyDescent="0.45">
      <c r="A515">
        <v>10514</v>
      </c>
      <c r="B515">
        <v>1</v>
      </c>
      <c r="C515">
        <v>58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6.8</v>
      </c>
      <c r="K515">
        <v>32.5</v>
      </c>
      <c r="L515">
        <v>0</v>
      </c>
      <c r="M515">
        <v>2.7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20</v>
      </c>
      <c r="Y515">
        <v>90</v>
      </c>
      <c r="Z515">
        <v>0</v>
      </c>
      <c r="AA515">
        <v>1</v>
      </c>
      <c r="AB515">
        <v>0</v>
      </c>
      <c r="AC515">
        <v>0</v>
      </c>
      <c r="AD515">
        <v>1</v>
      </c>
      <c r="AE515">
        <v>1000</v>
      </c>
      <c r="AF515">
        <v>1</v>
      </c>
      <c r="AG515">
        <v>1</v>
      </c>
      <c r="AH515">
        <v>0</v>
      </c>
      <c r="AI515">
        <v>0</v>
      </c>
      <c r="AJ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9.1000000000000014</v>
      </c>
      <c r="AX515">
        <v>2.0333333333333332</v>
      </c>
      <c r="AY515">
        <v>846.42000000000007</v>
      </c>
      <c r="BB515">
        <v>883</v>
      </c>
      <c r="BC515">
        <v>14.9</v>
      </c>
      <c r="BF515" t="s">
        <v>131</v>
      </c>
    </row>
    <row r="516" spans="1:58" x14ac:dyDescent="0.45">
      <c r="A516">
        <v>10515</v>
      </c>
      <c r="B516">
        <v>1</v>
      </c>
      <c r="C516">
        <v>72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</v>
      </c>
      <c r="K516">
        <v>16</v>
      </c>
      <c r="L516">
        <v>0</v>
      </c>
      <c r="M516">
        <v>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850</v>
      </c>
      <c r="Y516">
        <v>90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850</v>
      </c>
      <c r="AF516">
        <v>1.5</v>
      </c>
      <c r="AG516">
        <v>1</v>
      </c>
      <c r="AH516">
        <v>0</v>
      </c>
      <c r="AI516">
        <v>0</v>
      </c>
      <c r="AJ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4.4800000000000004</v>
      </c>
      <c r="AX516">
        <v>3.333333333333333</v>
      </c>
      <c r="AY516">
        <v>888</v>
      </c>
      <c r="AZ516">
        <v>68</v>
      </c>
      <c r="BA516">
        <v>500</v>
      </c>
      <c r="BB516">
        <v>752</v>
      </c>
      <c r="BC516">
        <v>19.600000000000001</v>
      </c>
      <c r="BF516" t="s">
        <v>133</v>
      </c>
    </row>
    <row r="517" spans="1:58" x14ac:dyDescent="0.45">
      <c r="A517">
        <v>10516</v>
      </c>
      <c r="B517">
        <v>1</v>
      </c>
      <c r="C517">
        <v>68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4</v>
      </c>
      <c r="K517">
        <v>20</v>
      </c>
      <c r="L517">
        <v>0</v>
      </c>
      <c r="M517">
        <v>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850</v>
      </c>
      <c r="Y517">
        <v>90</v>
      </c>
      <c r="Z517">
        <v>0</v>
      </c>
      <c r="AA517">
        <v>1</v>
      </c>
      <c r="AB517">
        <v>0</v>
      </c>
      <c r="AC517">
        <v>0</v>
      </c>
      <c r="AD517">
        <v>1</v>
      </c>
      <c r="AE517">
        <v>850</v>
      </c>
      <c r="AF517">
        <v>1.5</v>
      </c>
      <c r="AG517">
        <v>1</v>
      </c>
      <c r="AH517">
        <v>0</v>
      </c>
      <c r="AI517">
        <v>0</v>
      </c>
      <c r="AJ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5.6000000000000005</v>
      </c>
      <c r="AX517">
        <v>3.333333333333333</v>
      </c>
      <c r="AY517">
        <v>888</v>
      </c>
      <c r="AZ517">
        <v>63</v>
      </c>
      <c r="BA517">
        <v>410</v>
      </c>
      <c r="BB517">
        <v>735</v>
      </c>
      <c r="BC517">
        <v>13.6</v>
      </c>
      <c r="BF517" t="s">
        <v>134</v>
      </c>
    </row>
    <row r="518" spans="1:58" x14ac:dyDescent="0.45">
      <c r="A518">
        <v>10517</v>
      </c>
      <c r="B518">
        <v>1</v>
      </c>
      <c r="C518">
        <v>64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4</v>
      </c>
      <c r="K518">
        <v>24</v>
      </c>
      <c r="L518">
        <v>0</v>
      </c>
      <c r="M518">
        <v>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850</v>
      </c>
      <c r="Y518">
        <v>90</v>
      </c>
      <c r="Z518">
        <v>0</v>
      </c>
      <c r="AA518">
        <v>1</v>
      </c>
      <c r="AB518">
        <v>0</v>
      </c>
      <c r="AC518">
        <v>0</v>
      </c>
      <c r="AD518">
        <v>1</v>
      </c>
      <c r="AE518">
        <v>850</v>
      </c>
      <c r="AF518">
        <v>1.5</v>
      </c>
      <c r="AG518">
        <v>1</v>
      </c>
      <c r="AH518">
        <v>0</v>
      </c>
      <c r="AI518">
        <v>0</v>
      </c>
      <c r="AJ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6.7200000000000006</v>
      </c>
      <c r="AX518">
        <v>3.333333333333333</v>
      </c>
      <c r="AY518">
        <v>888</v>
      </c>
      <c r="AZ518">
        <v>45</v>
      </c>
      <c r="BA518">
        <v>200</v>
      </c>
      <c r="BB518">
        <v>674</v>
      </c>
      <c r="BC518">
        <v>12.9</v>
      </c>
      <c r="BF518" t="s">
        <v>135</v>
      </c>
    </row>
    <row r="519" spans="1:58" x14ac:dyDescent="0.45">
      <c r="A519">
        <v>10518</v>
      </c>
      <c r="B519">
        <v>1</v>
      </c>
      <c r="C519">
        <v>60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4</v>
      </c>
      <c r="K519">
        <v>28</v>
      </c>
      <c r="L519">
        <v>0</v>
      </c>
      <c r="M519">
        <v>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850</v>
      </c>
      <c r="Y519">
        <v>90</v>
      </c>
      <c r="Z519">
        <v>0</v>
      </c>
      <c r="AA519">
        <v>1</v>
      </c>
      <c r="AB519">
        <v>0</v>
      </c>
      <c r="AC519">
        <v>0</v>
      </c>
      <c r="AD519">
        <v>1</v>
      </c>
      <c r="AE519">
        <v>850</v>
      </c>
      <c r="AF519">
        <v>1.5</v>
      </c>
      <c r="AG519">
        <v>1</v>
      </c>
      <c r="AH519">
        <v>0</v>
      </c>
      <c r="AI519">
        <v>0</v>
      </c>
      <c r="AJ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7.8400000000000007</v>
      </c>
      <c r="AX519">
        <v>3.333333333333333</v>
      </c>
      <c r="AY519">
        <v>888</v>
      </c>
      <c r="AZ519">
        <v>60</v>
      </c>
      <c r="BA519">
        <v>570</v>
      </c>
      <c r="BB519">
        <v>570</v>
      </c>
      <c r="BC519">
        <v>22.3</v>
      </c>
      <c r="BF519" t="s">
        <v>136</v>
      </c>
    </row>
    <row r="520" spans="1:58" x14ac:dyDescent="0.45">
      <c r="A520">
        <v>10519</v>
      </c>
      <c r="B520">
        <v>1</v>
      </c>
      <c r="C520">
        <v>52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4</v>
      </c>
      <c r="K520">
        <v>36</v>
      </c>
      <c r="L520">
        <v>0</v>
      </c>
      <c r="M520">
        <v>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850</v>
      </c>
      <c r="Y520">
        <v>90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850</v>
      </c>
      <c r="AF520">
        <v>1.5</v>
      </c>
      <c r="AG520">
        <v>1</v>
      </c>
      <c r="AH520">
        <v>0</v>
      </c>
      <c r="AI520">
        <v>0</v>
      </c>
      <c r="AJ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10.080000000000002</v>
      </c>
      <c r="AX520">
        <v>3.333333333333333</v>
      </c>
      <c r="AY520">
        <v>888</v>
      </c>
      <c r="AZ520">
        <v>69</v>
      </c>
      <c r="BA520">
        <v>557</v>
      </c>
      <c r="BB520">
        <v>557</v>
      </c>
      <c r="BC520">
        <v>21.3</v>
      </c>
      <c r="BF520" t="s">
        <v>137</v>
      </c>
    </row>
    <row r="521" spans="1:58" x14ac:dyDescent="0.45">
      <c r="A521">
        <v>10520</v>
      </c>
      <c r="B521">
        <v>1</v>
      </c>
      <c r="C521">
        <v>55.5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6.8</v>
      </c>
      <c r="K521">
        <v>35</v>
      </c>
      <c r="L521">
        <v>0</v>
      </c>
      <c r="M521">
        <v>2.7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20</v>
      </c>
      <c r="Z521">
        <v>0</v>
      </c>
      <c r="AA521">
        <v>1</v>
      </c>
      <c r="AB521">
        <v>0</v>
      </c>
      <c r="AC521">
        <v>0</v>
      </c>
      <c r="AD521">
        <v>1</v>
      </c>
      <c r="AE521">
        <v>1000</v>
      </c>
      <c r="AF521">
        <v>1</v>
      </c>
      <c r="AG521">
        <v>1</v>
      </c>
      <c r="AH521">
        <v>0</v>
      </c>
      <c r="AI521">
        <v>0</v>
      </c>
      <c r="AJ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9.8000000000000007</v>
      </c>
      <c r="AX521">
        <v>2.0333333333333332</v>
      </c>
      <c r="AY521">
        <v>846.42000000000007</v>
      </c>
      <c r="BB521">
        <v>54.2</v>
      </c>
      <c r="BC521">
        <v>1.04</v>
      </c>
      <c r="BD521">
        <v>20.100000000000001</v>
      </c>
      <c r="BF521" t="s">
        <v>131</v>
      </c>
    </row>
    <row r="522" spans="1:58" x14ac:dyDescent="0.45">
      <c r="A522">
        <v>10521</v>
      </c>
      <c r="B522">
        <v>1</v>
      </c>
      <c r="C522">
        <v>55.5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6.8</v>
      </c>
      <c r="K522">
        <v>35</v>
      </c>
      <c r="L522">
        <v>0</v>
      </c>
      <c r="M522">
        <v>2.7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20</v>
      </c>
      <c r="Y522">
        <v>50</v>
      </c>
      <c r="Z522">
        <v>0</v>
      </c>
      <c r="AA522">
        <v>1</v>
      </c>
      <c r="AB522">
        <v>0</v>
      </c>
      <c r="AC522">
        <v>0</v>
      </c>
      <c r="AD522">
        <v>1</v>
      </c>
      <c r="AE522">
        <v>1000</v>
      </c>
      <c r="AF522">
        <v>1</v>
      </c>
      <c r="AG522">
        <v>1</v>
      </c>
      <c r="AH522">
        <v>0</v>
      </c>
      <c r="AI522">
        <v>0</v>
      </c>
      <c r="AJ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9.8000000000000007</v>
      </c>
      <c r="AX522">
        <v>2.0333333333333332</v>
      </c>
      <c r="AY522">
        <v>846.42000000000007</v>
      </c>
      <c r="BB522">
        <v>719</v>
      </c>
      <c r="BC522">
        <v>16.8</v>
      </c>
      <c r="BD522">
        <v>51.3</v>
      </c>
      <c r="BF522" t="s">
        <v>138</v>
      </c>
    </row>
    <row r="523" spans="1:58" x14ac:dyDescent="0.45">
      <c r="A523">
        <v>10522</v>
      </c>
      <c r="B523">
        <v>1</v>
      </c>
      <c r="C523">
        <v>55.5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6.8</v>
      </c>
      <c r="K523">
        <v>35</v>
      </c>
      <c r="L523">
        <v>0</v>
      </c>
      <c r="M523">
        <v>2.7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20</v>
      </c>
      <c r="Y523">
        <v>90</v>
      </c>
      <c r="Z523">
        <v>0</v>
      </c>
      <c r="AA523">
        <v>1</v>
      </c>
      <c r="AB523">
        <v>0</v>
      </c>
      <c r="AC523">
        <v>0</v>
      </c>
      <c r="AD523">
        <v>1</v>
      </c>
      <c r="AE523">
        <v>1000</v>
      </c>
      <c r="AF523">
        <v>1</v>
      </c>
      <c r="AG523">
        <v>1</v>
      </c>
      <c r="AH523">
        <v>0</v>
      </c>
      <c r="AI523">
        <v>0</v>
      </c>
      <c r="AJ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9.8000000000000007</v>
      </c>
      <c r="AX523">
        <v>2.0333333333333332</v>
      </c>
      <c r="AY523">
        <v>846.42000000000007</v>
      </c>
      <c r="BB523">
        <v>883</v>
      </c>
      <c r="BC523">
        <v>14.9</v>
      </c>
      <c r="BD523">
        <v>47.1</v>
      </c>
      <c r="BF523" t="s">
        <v>139</v>
      </c>
    </row>
    <row r="524" spans="1:58" x14ac:dyDescent="0.45">
      <c r="A524">
        <v>10523</v>
      </c>
      <c r="B524">
        <v>1</v>
      </c>
      <c r="C524">
        <v>63.96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3.76</v>
      </c>
      <c r="K524">
        <v>24.2</v>
      </c>
      <c r="L524">
        <v>0</v>
      </c>
      <c r="M524">
        <v>8.08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J524">
        <v>1</v>
      </c>
      <c r="AK524">
        <v>450</v>
      </c>
      <c r="AL524">
        <v>0.5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6.7760000000000007</v>
      </c>
      <c r="AX524">
        <v>3.32</v>
      </c>
      <c r="AY524">
        <v>889.99200000000008</v>
      </c>
      <c r="BA524">
        <v>1033</v>
      </c>
      <c r="BB524">
        <v>1091</v>
      </c>
      <c r="BC524">
        <v>12.4</v>
      </c>
      <c r="BF524" t="s">
        <v>108</v>
      </c>
    </row>
    <row r="525" spans="1:58" x14ac:dyDescent="0.45">
      <c r="A525">
        <v>10524</v>
      </c>
      <c r="B525">
        <v>1</v>
      </c>
      <c r="C525">
        <v>63.96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3.76</v>
      </c>
      <c r="K525">
        <v>24.2</v>
      </c>
      <c r="L525">
        <v>0</v>
      </c>
      <c r="M525">
        <v>8.08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J525">
        <v>1</v>
      </c>
      <c r="AK525">
        <v>450</v>
      </c>
      <c r="AL525">
        <v>1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6.7760000000000007</v>
      </c>
      <c r="AX525">
        <v>3.32</v>
      </c>
      <c r="AY525">
        <v>889.99200000000008</v>
      </c>
      <c r="BA525">
        <v>1120</v>
      </c>
      <c r="BB525">
        <v>1175</v>
      </c>
      <c r="BC525">
        <v>12.2</v>
      </c>
      <c r="BF525" t="s">
        <v>108</v>
      </c>
    </row>
    <row r="526" spans="1:58" x14ac:dyDescent="0.45">
      <c r="A526">
        <v>10525</v>
      </c>
      <c r="B526">
        <v>1</v>
      </c>
      <c r="C526">
        <v>63.96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3.76</v>
      </c>
      <c r="K526">
        <v>24.2</v>
      </c>
      <c r="L526">
        <v>0</v>
      </c>
      <c r="M526">
        <v>8.08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J526">
        <v>1</v>
      </c>
      <c r="AK526">
        <v>450</v>
      </c>
      <c r="AL526">
        <v>2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6.7760000000000007</v>
      </c>
      <c r="AX526">
        <v>3.32</v>
      </c>
      <c r="AY526">
        <v>889.99200000000008</v>
      </c>
      <c r="BA526">
        <v>1180</v>
      </c>
      <c r="BB526">
        <v>1213</v>
      </c>
      <c r="BC526">
        <v>12.4</v>
      </c>
      <c r="BF526" t="s">
        <v>108</v>
      </c>
    </row>
    <row r="527" spans="1:58" x14ac:dyDescent="0.45">
      <c r="A527">
        <v>10526</v>
      </c>
      <c r="B527">
        <v>1</v>
      </c>
      <c r="C527">
        <v>63.96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3.76</v>
      </c>
      <c r="K527">
        <v>24.2</v>
      </c>
      <c r="L527">
        <v>0</v>
      </c>
      <c r="M527">
        <v>8.08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J527">
        <v>1</v>
      </c>
      <c r="AK527">
        <v>450</v>
      </c>
      <c r="AL527">
        <v>4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6.7760000000000007</v>
      </c>
      <c r="AX527">
        <v>3.32</v>
      </c>
      <c r="AY527">
        <v>889.99200000000008</v>
      </c>
      <c r="BA527">
        <v>1192</v>
      </c>
      <c r="BB527">
        <v>1243</v>
      </c>
      <c r="BC527">
        <v>12.8</v>
      </c>
      <c r="BF527" t="s">
        <v>108</v>
      </c>
    </row>
    <row r="528" spans="1:58" x14ac:dyDescent="0.45">
      <c r="A528">
        <v>10527</v>
      </c>
      <c r="B528">
        <v>1</v>
      </c>
      <c r="C528">
        <v>63.96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3.76</v>
      </c>
      <c r="K528">
        <v>24.2</v>
      </c>
      <c r="L528">
        <v>0</v>
      </c>
      <c r="M528">
        <v>8.08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J528">
        <v>1</v>
      </c>
      <c r="AK528">
        <v>475</v>
      </c>
      <c r="AL528">
        <v>0.5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6.7760000000000007</v>
      </c>
      <c r="AX528">
        <v>3.32</v>
      </c>
      <c r="AY528">
        <v>889.99200000000008</v>
      </c>
      <c r="BA528">
        <v>1028</v>
      </c>
      <c r="BB528">
        <v>1123</v>
      </c>
      <c r="BC528">
        <v>16.100000000000001</v>
      </c>
      <c r="BF528" t="s">
        <v>108</v>
      </c>
    </row>
    <row r="529" spans="1:58" x14ac:dyDescent="0.45">
      <c r="A529">
        <v>10528</v>
      </c>
      <c r="B529">
        <v>1</v>
      </c>
      <c r="C529">
        <v>63.96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3.76</v>
      </c>
      <c r="K529">
        <v>24.2</v>
      </c>
      <c r="L529">
        <v>0</v>
      </c>
      <c r="M529">
        <v>8.08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J529">
        <v>1</v>
      </c>
      <c r="AK529">
        <v>475</v>
      </c>
      <c r="AL529">
        <v>1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6.7760000000000007</v>
      </c>
      <c r="AX529">
        <v>3.32</v>
      </c>
      <c r="AY529">
        <v>889.99200000000008</v>
      </c>
      <c r="BA529">
        <v>1108</v>
      </c>
      <c r="BB529">
        <v>1144</v>
      </c>
      <c r="BC529">
        <v>12.3</v>
      </c>
      <c r="BF529" t="s">
        <v>108</v>
      </c>
    </row>
    <row r="530" spans="1:58" x14ac:dyDescent="0.45">
      <c r="A530">
        <v>10529</v>
      </c>
      <c r="B530">
        <v>1</v>
      </c>
      <c r="C530">
        <v>63.96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3.76</v>
      </c>
      <c r="K530">
        <v>24.2</v>
      </c>
      <c r="L530">
        <v>0</v>
      </c>
      <c r="M530">
        <v>8.08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J530">
        <v>1</v>
      </c>
      <c r="AK530">
        <v>475</v>
      </c>
      <c r="AL530">
        <v>2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6.7760000000000007</v>
      </c>
      <c r="AX530">
        <v>3.32</v>
      </c>
      <c r="AY530">
        <v>889.99200000000008</v>
      </c>
      <c r="BA530">
        <v>1174</v>
      </c>
      <c r="BB530">
        <v>1212</v>
      </c>
      <c r="BC530">
        <v>10.5</v>
      </c>
      <c r="BF530" t="s">
        <v>108</v>
      </c>
    </row>
    <row r="531" spans="1:58" x14ac:dyDescent="0.45">
      <c r="A531">
        <v>10530</v>
      </c>
      <c r="B531">
        <v>1</v>
      </c>
      <c r="C531">
        <v>63.96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3.76</v>
      </c>
      <c r="K531">
        <v>24.2</v>
      </c>
      <c r="L531">
        <v>0</v>
      </c>
      <c r="M531">
        <v>8.08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J531">
        <v>1</v>
      </c>
      <c r="AK531">
        <v>475</v>
      </c>
      <c r="AL531">
        <v>4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6.7760000000000007</v>
      </c>
      <c r="AX531">
        <v>3.32</v>
      </c>
      <c r="AY531">
        <v>889.99200000000008</v>
      </c>
      <c r="BA531">
        <v>1109</v>
      </c>
      <c r="BB531">
        <v>1169</v>
      </c>
      <c r="BC531">
        <v>14.1</v>
      </c>
      <c r="BF531" t="s">
        <v>108</v>
      </c>
    </row>
    <row r="532" spans="1:58" x14ac:dyDescent="0.45">
      <c r="A532">
        <v>10531</v>
      </c>
      <c r="B532">
        <v>1</v>
      </c>
      <c r="C532">
        <v>63.96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3.76</v>
      </c>
      <c r="K532">
        <v>24.2</v>
      </c>
      <c r="L532">
        <v>0</v>
      </c>
      <c r="M532">
        <v>8.08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J532">
        <v>1</v>
      </c>
      <c r="AK532">
        <v>500</v>
      </c>
      <c r="AL532">
        <v>0.5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6.7760000000000007</v>
      </c>
      <c r="AX532">
        <v>3.32</v>
      </c>
      <c r="AY532">
        <v>889.99200000000008</v>
      </c>
      <c r="BA532">
        <v>1048</v>
      </c>
      <c r="BB532">
        <v>1105</v>
      </c>
      <c r="BC532">
        <v>13.4</v>
      </c>
      <c r="BF532" t="s">
        <v>108</v>
      </c>
    </row>
    <row r="533" spans="1:58" x14ac:dyDescent="0.45">
      <c r="A533">
        <v>10532</v>
      </c>
      <c r="B533">
        <v>1</v>
      </c>
      <c r="C533">
        <v>63.96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3.76</v>
      </c>
      <c r="K533">
        <v>24.2</v>
      </c>
      <c r="L533">
        <v>0</v>
      </c>
      <c r="M533">
        <v>8.08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J533">
        <v>1</v>
      </c>
      <c r="AK533">
        <v>500</v>
      </c>
      <c r="AL533">
        <v>1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6.7760000000000007</v>
      </c>
      <c r="AX533">
        <v>3.32</v>
      </c>
      <c r="AY533">
        <v>889.99200000000008</v>
      </c>
      <c r="BA533">
        <v>1039</v>
      </c>
      <c r="BB533">
        <v>1085</v>
      </c>
      <c r="BC533">
        <v>15.1</v>
      </c>
      <c r="BE533" t="s">
        <v>250</v>
      </c>
      <c r="BF533" t="s">
        <v>108</v>
      </c>
    </row>
    <row r="534" spans="1:58" x14ac:dyDescent="0.45">
      <c r="A534">
        <v>10533</v>
      </c>
      <c r="B534">
        <v>1</v>
      </c>
      <c r="C534">
        <v>63.96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3.76</v>
      </c>
      <c r="K534">
        <v>24.2</v>
      </c>
      <c r="L534">
        <v>0</v>
      </c>
      <c r="M534">
        <v>8.08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J534">
        <v>1</v>
      </c>
      <c r="AK534">
        <v>500</v>
      </c>
      <c r="AL534">
        <v>2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6.7760000000000007</v>
      </c>
      <c r="AX534">
        <v>3.32</v>
      </c>
      <c r="AY534">
        <v>889.99200000000008</v>
      </c>
      <c r="BA534">
        <v>1069</v>
      </c>
      <c r="BB534">
        <v>1104</v>
      </c>
      <c r="BC534">
        <v>14.7</v>
      </c>
      <c r="BE534" t="s">
        <v>250</v>
      </c>
      <c r="BF534" t="s">
        <v>108</v>
      </c>
    </row>
    <row r="535" spans="1:58" x14ac:dyDescent="0.45">
      <c r="A535">
        <v>10534</v>
      </c>
      <c r="B535">
        <v>1</v>
      </c>
      <c r="C535">
        <v>63.96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3.76</v>
      </c>
      <c r="K535">
        <v>24.2</v>
      </c>
      <c r="L535">
        <v>0</v>
      </c>
      <c r="M535">
        <v>8.08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J535">
        <v>1</v>
      </c>
      <c r="AK535">
        <v>500</v>
      </c>
      <c r="AL535">
        <v>4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6.7760000000000007</v>
      </c>
      <c r="AX535">
        <v>3.32</v>
      </c>
      <c r="AY535">
        <v>889.99200000000008</v>
      </c>
      <c r="BA535">
        <v>1111</v>
      </c>
      <c r="BB535">
        <v>1148</v>
      </c>
      <c r="BC535">
        <v>15.5</v>
      </c>
      <c r="BE535" t="s">
        <v>282</v>
      </c>
      <c r="BF535" t="s">
        <v>108</v>
      </c>
    </row>
    <row r="536" spans="1:58" x14ac:dyDescent="0.45">
      <c r="A536">
        <v>10535</v>
      </c>
      <c r="B536">
        <v>1</v>
      </c>
      <c r="C536">
        <v>63.96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3.76</v>
      </c>
      <c r="K536">
        <v>24.2</v>
      </c>
      <c r="L536">
        <v>0</v>
      </c>
      <c r="M536">
        <v>8.08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J536">
        <v>1</v>
      </c>
      <c r="AK536">
        <v>525</v>
      </c>
      <c r="AL536">
        <v>0.5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6.7760000000000007</v>
      </c>
      <c r="AX536">
        <v>3.32</v>
      </c>
      <c r="AY536">
        <v>889.99200000000008</v>
      </c>
      <c r="BA536">
        <v>996</v>
      </c>
      <c r="BB536">
        <v>1043</v>
      </c>
      <c r="BC536">
        <v>15.4</v>
      </c>
      <c r="BE536" t="s">
        <v>282</v>
      </c>
      <c r="BF536" t="s">
        <v>108</v>
      </c>
    </row>
    <row r="537" spans="1:58" x14ac:dyDescent="0.45">
      <c r="A537">
        <v>10536</v>
      </c>
      <c r="B537">
        <v>1</v>
      </c>
      <c r="C537">
        <v>63.96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3.76</v>
      </c>
      <c r="K537">
        <v>24.2</v>
      </c>
      <c r="L537">
        <v>0</v>
      </c>
      <c r="M537">
        <v>8.08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J537">
        <v>1</v>
      </c>
      <c r="AK537">
        <v>525</v>
      </c>
      <c r="AL537">
        <v>1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6.7760000000000007</v>
      </c>
      <c r="AX537">
        <v>3.32</v>
      </c>
      <c r="AY537">
        <v>889.99200000000008</v>
      </c>
      <c r="BA537">
        <v>969</v>
      </c>
      <c r="BB537">
        <v>1017</v>
      </c>
      <c r="BC537">
        <v>15.6</v>
      </c>
      <c r="BE537" t="s">
        <v>282</v>
      </c>
      <c r="BF537" t="s">
        <v>108</v>
      </c>
    </row>
    <row r="538" spans="1:58" x14ac:dyDescent="0.45">
      <c r="A538">
        <v>10537</v>
      </c>
      <c r="B538">
        <v>1</v>
      </c>
      <c r="C538">
        <v>63.96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3.76</v>
      </c>
      <c r="K538">
        <v>24.2</v>
      </c>
      <c r="L538">
        <v>0</v>
      </c>
      <c r="M538">
        <v>8.08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J538">
        <v>1</v>
      </c>
      <c r="AK538">
        <v>525</v>
      </c>
      <c r="AL538">
        <v>2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6.7760000000000007</v>
      </c>
      <c r="AX538">
        <v>3.32</v>
      </c>
      <c r="AY538">
        <v>889.99200000000008</v>
      </c>
      <c r="BA538">
        <v>976</v>
      </c>
      <c r="BB538">
        <v>1024</v>
      </c>
      <c r="BC538">
        <v>16.399999999999999</v>
      </c>
      <c r="BE538" t="s">
        <v>350</v>
      </c>
      <c r="BF538" t="s">
        <v>108</v>
      </c>
    </row>
    <row r="539" spans="1:58" x14ac:dyDescent="0.45">
      <c r="A539">
        <v>10538</v>
      </c>
      <c r="B539">
        <v>1</v>
      </c>
      <c r="C539">
        <v>63.96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3.76</v>
      </c>
      <c r="K539">
        <v>24.2</v>
      </c>
      <c r="L539">
        <v>0</v>
      </c>
      <c r="M539">
        <v>8.08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J539">
        <v>1</v>
      </c>
      <c r="AK539">
        <v>525</v>
      </c>
      <c r="AL539">
        <v>4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6.7760000000000007</v>
      </c>
      <c r="AX539">
        <v>3.32</v>
      </c>
      <c r="AY539">
        <v>889.99200000000008</v>
      </c>
      <c r="BA539">
        <v>1026</v>
      </c>
      <c r="BB539">
        <v>1059</v>
      </c>
      <c r="BC539">
        <v>15.9</v>
      </c>
      <c r="BE539" t="s">
        <v>350</v>
      </c>
      <c r="BF539" t="s">
        <v>108</v>
      </c>
    </row>
    <row r="540" spans="1:58" x14ac:dyDescent="0.45">
      <c r="A540">
        <v>10539</v>
      </c>
      <c r="B540">
        <v>1</v>
      </c>
      <c r="C540">
        <v>73.05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4.49</v>
      </c>
      <c r="K540">
        <v>21.09</v>
      </c>
      <c r="L540">
        <v>0</v>
      </c>
      <c r="M540">
        <v>1.37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Z540">
        <v>0</v>
      </c>
      <c r="AA540">
        <v>1</v>
      </c>
      <c r="AB540">
        <v>0</v>
      </c>
      <c r="AC540">
        <v>0</v>
      </c>
      <c r="AD540">
        <v>1</v>
      </c>
      <c r="AE540">
        <f t="shared" ref="AE540:AE547" si="5">AY540</f>
        <v>856.77300000000002</v>
      </c>
      <c r="AF540">
        <v>0</v>
      </c>
      <c r="AG540">
        <v>1</v>
      </c>
      <c r="AH540">
        <v>0</v>
      </c>
      <c r="AI540">
        <v>0</v>
      </c>
      <c r="AJ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5.9052000000000007</v>
      </c>
      <c r="AX540">
        <v>1.2050000000000001</v>
      </c>
      <c r="AY540">
        <v>856.77300000000002</v>
      </c>
      <c r="AZ540">
        <v>66.900000000000006</v>
      </c>
      <c r="BA540">
        <v>806</v>
      </c>
      <c r="BE540" t="s">
        <v>277</v>
      </c>
      <c r="BF540" t="s">
        <v>60</v>
      </c>
    </row>
    <row r="541" spans="1:58" x14ac:dyDescent="0.45">
      <c r="A541">
        <v>10540</v>
      </c>
      <c r="B541">
        <v>1</v>
      </c>
      <c r="C541">
        <v>73.05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4.49</v>
      </c>
      <c r="K541">
        <v>21.09</v>
      </c>
      <c r="L541">
        <v>0</v>
      </c>
      <c r="M541">
        <v>1.37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f t="shared" si="5"/>
        <v>856.77300000000002</v>
      </c>
      <c r="AF541">
        <v>0</v>
      </c>
      <c r="AG541">
        <v>1</v>
      </c>
      <c r="AH541">
        <v>0</v>
      </c>
      <c r="AI541">
        <v>0</v>
      </c>
      <c r="AJ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5.9052000000000007</v>
      </c>
      <c r="AX541">
        <v>1.2050000000000001</v>
      </c>
      <c r="AY541">
        <v>856.77300000000002</v>
      </c>
      <c r="AZ541">
        <v>54.2</v>
      </c>
      <c r="BA541">
        <v>380</v>
      </c>
      <c r="BE541" t="s">
        <v>278</v>
      </c>
      <c r="BF541" t="s">
        <v>60</v>
      </c>
    </row>
    <row r="542" spans="1:58" x14ac:dyDescent="0.45">
      <c r="A542">
        <v>10541</v>
      </c>
      <c r="B542">
        <v>1</v>
      </c>
      <c r="C542">
        <v>78.430000000000007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2.52</v>
      </c>
      <c r="K542">
        <v>15.190000000000001</v>
      </c>
      <c r="L542">
        <v>0</v>
      </c>
      <c r="M542">
        <v>3.8699999999999997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Z542">
        <v>0</v>
      </c>
      <c r="AA542">
        <v>1</v>
      </c>
      <c r="AB542">
        <v>0</v>
      </c>
      <c r="AC542">
        <v>0</v>
      </c>
      <c r="AD542">
        <v>1</v>
      </c>
      <c r="AE542">
        <f t="shared" si="5"/>
        <v>880.86599999999999</v>
      </c>
      <c r="AF542">
        <v>0</v>
      </c>
      <c r="AG542">
        <v>0</v>
      </c>
      <c r="AH542">
        <v>1</v>
      </c>
      <c r="AI542">
        <v>0</v>
      </c>
      <c r="AJ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4.2532000000000005</v>
      </c>
      <c r="AX542">
        <v>1.7099999999999997</v>
      </c>
      <c r="AY542">
        <v>880.86599999999999</v>
      </c>
      <c r="AZ542">
        <v>50</v>
      </c>
      <c r="BA542">
        <v>350</v>
      </c>
      <c r="BE542" t="s">
        <v>279</v>
      </c>
      <c r="BF542" t="s">
        <v>60</v>
      </c>
    </row>
    <row r="543" spans="1:58" x14ac:dyDescent="0.45">
      <c r="A543">
        <v>10542</v>
      </c>
      <c r="B543">
        <v>1</v>
      </c>
      <c r="C543">
        <v>78.83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2.4299999999999997</v>
      </c>
      <c r="K543">
        <v>15</v>
      </c>
      <c r="L543">
        <v>0</v>
      </c>
      <c r="M543">
        <v>3.74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Z543">
        <v>0</v>
      </c>
      <c r="AA543">
        <v>1</v>
      </c>
      <c r="AB543">
        <v>0</v>
      </c>
      <c r="AC543">
        <v>0</v>
      </c>
      <c r="AD543">
        <v>1</v>
      </c>
      <c r="AE543">
        <f t="shared" si="5"/>
        <v>880.94099999999992</v>
      </c>
      <c r="AF543">
        <v>0</v>
      </c>
      <c r="AG543">
        <v>0</v>
      </c>
      <c r="AH543">
        <v>1</v>
      </c>
      <c r="AI543">
        <v>0</v>
      </c>
      <c r="AJ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4.2</v>
      </c>
      <c r="AX543">
        <v>1.6516666666666668</v>
      </c>
      <c r="AY543">
        <v>880.94099999999992</v>
      </c>
      <c r="AZ543">
        <v>59.2</v>
      </c>
      <c r="BA543">
        <v>282</v>
      </c>
      <c r="BE543" t="s">
        <v>280</v>
      </c>
      <c r="BF543" t="s">
        <v>60</v>
      </c>
    </row>
    <row r="544" spans="1:58" x14ac:dyDescent="0.45">
      <c r="A544">
        <v>10543</v>
      </c>
      <c r="B544">
        <v>1</v>
      </c>
      <c r="C544">
        <v>78.23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2.5700000000000003</v>
      </c>
      <c r="K544">
        <v>15.22</v>
      </c>
      <c r="L544">
        <v>0</v>
      </c>
      <c r="M544">
        <v>3.9800000000000004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Z544">
        <v>0</v>
      </c>
      <c r="AA544">
        <v>1</v>
      </c>
      <c r="AB544">
        <v>0</v>
      </c>
      <c r="AC544">
        <v>0</v>
      </c>
      <c r="AD544">
        <v>1</v>
      </c>
      <c r="AE544">
        <f t="shared" si="5"/>
        <v>880.98299999999995</v>
      </c>
      <c r="AF544">
        <v>0</v>
      </c>
      <c r="AG544">
        <v>0</v>
      </c>
      <c r="AH544">
        <v>1</v>
      </c>
      <c r="AI544">
        <v>0</v>
      </c>
      <c r="AJ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4.2616000000000005</v>
      </c>
      <c r="AX544">
        <v>1.7550000000000003</v>
      </c>
      <c r="AY544">
        <v>880.98299999999995</v>
      </c>
      <c r="AZ544">
        <v>61.6</v>
      </c>
      <c r="BA544">
        <v>380</v>
      </c>
      <c r="BE544" t="s">
        <v>281</v>
      </c>
      <c r="BF544" t="s">
        <v>60</v>
      </c>
    </row>
    <row r="545" spans="1:58" x14ac:dyDescent="0.45">
      <c r="A545">
        <v>10544</v>
      </c>
      <c r="B545">
        <v>1</v>
      </c>
      <c r="C545">
        <v>78.180000000000007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2.59</v>
      </c>
      <c r="K545">
        <v>15.28</v>
      </c>
      <c r="L545">
        <v>0</v>
      </c>
      <c r="M545">
        <v>3.94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Z545">
        <v>0</v>
      </c>
      <c r="AA545">
        <v>1</v>
      </c>
      <c r="AB545">
        <v>0</v>
      </c>
      <c r="AC545">
        <v>0</v>
      </c>
      <c r="AD545">
        <v>1</v>
      </c>
      <c r="AE545">
        <f t="shared" si="5"/>
        <v>880.67700000000002</v>
      </c>
      <c r="AF545">
        <v>0</v>
      </c>
      <c r="AG545">
        <v>0</v>
      </c>
      <c r="AH545">
        <v>1</v>
      </c>
      <c r="AI545">
        <v>0</v>
      </c>
      <c r="AJ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4.2784000000000004</v>
      </c>
      <c r="AX545">
        <v>1.7449999999999999</v>
      </c>
      <c r="AY545">
        <v>880.67700000000002</v>
      </c>
      <c r="AZ545">
        <v>47.8</v>
      </c>
      <c r="BA545">
        <v>515</v>
      </c>
      <c r="BE545" t="s">
        <v>282</v>
      </c>
      <c r="BF545" t="s">
        <v>60</v>
      </c>
    </row>
    <row r="546" spans="1:58" x14ac:dyDescent="0.45">
      <c r="A546">
        <v>10545</v>
      </c>
      <c r="B546">
        <v>1</v>
      </c>
      <c r="C546">
        <v>78.61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2.4</v>
      </c>
      <c r="K546">
        <v>15.040000000000001</v>
      </c>
      <c r="L546">
        <v>0</v>
      </c>
      <c r="M546">
        <v>3.95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Z546">
        <v>0</v>
      </c>
      <c r="AA546">
        <v>1</v>
      </c>
      <c r="AB546">
        <v>0</v>
      </c>
      <c r="AC546">
        <v>0</v>
      </c>
      <c r="AD546">
        <v>1</v>
      </c>
      <c r="AE546">
        <f t="shared" si="5"/>
        <v>882.03000000000009</v>
      </c>
      <c r="AF546">
        <v>0</v>
      </c>
      <c r="AG546">
        <v>0</v>
      </c>
      <c r="AH546">
        <v>1</v>
      </c>
      <c r="AI546">
        <v>0</v>
      </c>
      <c r="AJ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4.2112000000000007</v>
      </c>
      <c r="AX546">
        <v>1.7166666666666666</v>
      </c>
      <c r="AY546">
        <v>882.03000000000009</v>
      </c>
      <c r="AZ546">
        <v>53.2</v>
      </c>
      <c r="BA546">
        <v>649</v>
      </c>
      <c r="BE546" t="s">
        <v>283</v>
      </c>
      <c r="BF546" t="s">
        <v>60</v>
      </c>
    </row>
    <row r="547" spans="1:58" x14ac:dyDescent="0.45">
      <c r="A547">
        <v>10546</v>
      </c>
      <c r="B547">
        <v>1</v>
      </c>
      <c r="C547">
        <v>83.84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1.51</v>
      </c>
      <c r="K547">
        <v>14.04</v>
      </c>
      <c r="L547">
        <v>0</v>
      </c>
      <c r="M547">
        <v>0.61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Z547">
        <v>0</v>
      </c>
      <c r="AA547">
        <v>1</v>
      </c>
      <c r="AB547">
        <v>0</v>
      </c>
      <c r="AC547">
        <v>0</v>
      </c>
      <c r="AD547">
        <v>1</v>
      </c>
      <c r="AE547">
        <f t="shared" si="5"/>
        <v>874.14300000000003</v>
      </c>
      <c r="AF547">
        <v>0</v>
      </c>
      <c r="AG547">
        <v>1</v>
      </c>
      <c r="AH547">
        <v>0</v>
      </c>
      <c r="AI547">
        <v>0</v>
      </c>
      <c r="AJ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3.9312</v>
      </c>
      <c r="AX547">
        <v>0.45499999999999996</v>
      </c>
      <c r="AY547">
        <v>874.14300000000003</v>
      </c>
      <c r="AZ547">
        <v>75</v>
      </c>
      <c r="BA547">
        <v>499</v>
      </c>
      <c r="BE547" t="s">
        <v>284</v>
      </c>
      <c r="BF547" t="s">
        <v>60</v>
      </c>
    </row>
    <row r="548" spans="1:58" x14ac:dyDescent="0.45">
      <c r="A548">
        <v>10547</v>
      </c>
      <c r="B548">
        <v>1</v>
      </c>
      <c r="C548">
        <v>61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9</v>
      </c>
      <c r="K548">
        <v>18.3</v>
      </c>
      <c r="L548">
        <v>0</v>
      </c>
      <c r="M548">
        <v>11.7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J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5.1240000000000006</v>
      </c>
      <c r="AX548">
        <v>5.4</v>
      </c>
      <c r="AY548">
        <v>869.04</v>
      </c>
      <c r="AZ548">
        <v>56</v>
      </c>
    </row>
    <row r="549" spans="1:58" x14ac:dyDescent="0.45">
      <c r="A549">
        <v>10548</v>
      </c>
      <c r="B549">
        <v>1</v>
      </c>
      <c r="C549">
        <v>54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17.2</v>
      </c>
      <c r="K549">
        <v>17.600000000000001</v>
      </c>
      <c r="L549">
        <v>0</v>
      </c>
      <c r="M549">
        <v>11.2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J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4.9280000000000008</v>
      </c>
      <c r="AX549">
        <v>6.6</v>
      </c>
      <c r="AY549">
        <v>810.3599999999999</v>
      </c>
      <c r="AZ549">
        <v>63</v>
      </c>
    </row>
    <row r="550" spans="1:58" x14ac:dyDescent="0.45">
      <c r="A550">
        <v>10549</v>
      </c>
      <c r="B550">
        <v>1</v>
      </c>
      <c r="C550">
        <v>56.1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8.1</v>
      </c>
      <c r="K550">
        <v>25.2</v>
      </c>
      <c r="L550">
        <v>0</v>
      </c>
      <c r="M550">
        <v>10.6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J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7.056</v>
      </c>
      <c r="AX550">
        <v>4.8833333333333329</v>
      </c>
      <c r="AY550">
        <v>870.63</v>
      </c>
      <c r="AZ550">
        <v>59</v>
      </c>
    </row>
    <row r="551" spans="1:58" x14ac:dyDescent="0.45">
      <c r="A551">
        <v>10550</v>
      </c>
      <c r="B551">
        <v>1</v>
      </c>
      <c r="C551">
        <v>49.8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15.8</v>
      </c>
      <c r="K551">
        <v>24.2</v>
      </c>
      <c r="L551">
        <v>0</v>
      </c>
      <c r="M551">
        <v>10.199999999999999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J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6.7760000000000007</v>
      </c>
      <c r="AX551">
        <v>6.0333333333333332</v>
      </c>
      <c r="AY551">
        <v>815.82</v>
      </c>
      <c r="AZ551">
        <v>64</v>
      </c>
    </row>
    <row r="552" spans="1:58" x14ac:dyDescent="0.45">
      <c r="A552">
        <v>10551</v>
      </c>
      <c r="B552">
        <v>1</v>
      </c>
      <c r="C552">
        <v>78.16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15.38</v>
      </c>
      <c r="K552">
        <v>2.52</v>
      </c>
      <c r="L552">
        <v>0</v>
      </c>
      <c r="M552">
        <v>3.94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J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0.70560000000000012</v>
      </c>
      <c r="AX552">
        <v>3.8766666666666669</v>
      </c>
      <c r="AY552">
        <v>792.42599999999993</v>
      </c>
      <c r="AZ552">
        <v>53</v>
      </c>
    </row>
    <row r="553" spans="1:58" x14ac:dyDescent="0.45">
      <c r="A553">
        <v>10552</v>
      </c>
      <c r="B553">
        <v>1</v>
      </c>
      <c r="C553">
        <v>73.05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4.49</v>
      </c>
      <c r="K553">
        <v>21.09</v>
      </c>
      <c r="L553">
        <v>0</v>
      </c>
      <c r="M553">
        <v>1.37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J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5.9052000000000007</v>
      </c>
      <c r="AX553">
        <v>1.2050000000000001</v>
      </c>
      <c r="AY553">
        <v>856.77300000000002</v>
      </c>
      <c r="AZ553">
        <v>54.2</v>
      </c>
    </row>
    <row r="554" spans="1:58" x14ac:dyDescent="0.45">
      <c r="A554">
        <v>10553</v>
      </c>
      <c r="B554">
        <v>1</v>
      </c>
      <c r="C554">
        <v>76.47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5.88</v>
      </c>
      <c r="K554">
        <v>11.78</v>
      </c>
      <c r="L554">
        <v>0</v>
      </c>
      <c r="M554">
        <v>5.87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J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3.2984</v>
      </c>
      <c r="AX554">
        <v>2.9366666666666665</v>
      </c>
      <c r="AY554">
        <v>866.08199999999999</v>
      </c>
      <c r="AZ554">
        <v>56</v>
      </c>
    </row>
    <row r="555" spans="1:58" x14ac:dyDescent="0.45">
      <c r="A555">
        <v>10554</v>
      </c>
      <c r="B555">
        <v>1</v>
      </c>
      <c r="C555">
        <v>72.22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5.56</v>
      </c>
      <c r="K555">
        <v>16.66</v>
      </c>
      <c r="L555">
        <v>0</v>
      </c>
      <c r="M555">
        <v>5.56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J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4.6648000000000005</v>
      </c>
      <c r="AX555">
        <v>2.78</v>
      </c>
      <c r="AY555">
        <v>866.98799999999994</v>
      </c>
      <c r="AZ555">
        <v>59</v>
      </c>
    </row>
    <row r="556" spans="1:58" x14ac:dyDescent="0.45">
      <c r="A556">
        <v>10555</v>
      </c>
      <c r="B556">
        <v>1</v>
      </c>
      <c r="C556">
        <v>66.67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11.11</v>
      </c>
      <c r="K556">
        <v>16.66</v>
      </c>
      <c r="L556">
        <v>0</v>
      </c>
      <c r="M556">
        <v>5.56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J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4.6648000000000005</v>
      </c>
      <c r="AX556">
        <v>3.7050000000000001</v>
      </c>
      <c r="AY556">
        <v>828.69299999999998</v>
      </c>
      <c r="AZ556">
        <v>64</v>
      </c>
    </row>
    <row r="557" spans="1:58" x14ac:dyDescent="0.45">
      <c r="A557">
        <v>10556</v>
      </c>
      <c r="B557">
        <v>1</v>
      </c>
      <c r="C557">
        <v>72.22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5.56</v>
      </c>
      <c r="K557">
        <v>16.66</v>
      </c>
      <c r="L557">
        <v>0</v>
      </c>
      <c r="M557">
        <v>5.56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J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4.6648000000000005</v>
      </c>
      <c r="AX557">
        <v>2.78</v>
      </c>
      <c r="AY557">
        <v>866.98799999999994</v>
      </c>
      <c r="AZ557">
        <v>59</v>
      </c>
    </row>
    <row r="558" spans="1:58" x14ac:dyDescent="0.45">
      <c r="A558">
        <v>10557</v>
      </c>
      <c r="B558">
        <v>1</v>
      </c>
      <c r="C558">
        <v>66.67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11.11</v>
      </c>
      <c r="K558">
        <v>16.66</v>
      </c>
      <c r="L558">
        <v>0</v>
      </c>
      <c r="M558">
        <v>5.56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J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4.6648000000000005</v>
      </c>
      <c r="AX558">
        <v>3.7050000000000001</v>
      </c>
      <c r="AY558">
        <v>828.69299999999998</v>
      </c>
      <c r="AZ558">
        <v>64</v>
      </c>
    </row>
    <row r="559" spans="1:58" x14ac:dyDescent="0.45">
      <c r="A559">
        <v>10558</v>
      </c>
      <c r="B559">
        <v>1</v>
      </c>
      <c r="C559">
        <v>72.22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5.56</v>
      </c>
      <c r="K559">
        <v>16.66</v>
      </c>
      <c r="L559">
        <v>0</v>
      </c>
      <c r="M559">
        <v>5.56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J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4.6648000000000005</v>
      </c>
      <c r="AX559">
        <v>2.78</v>
      </c>
      <c r="AY559">
        <v>866.98799999999994</v>
      </c>
      <c r="AZ559">
        <v>59</v>
      </c>
    </row>
    <row r="560" spans="1:58" x14ac:dyDescent="0.45">
      <c r="A560">
        <v>10559</v>
      </c>
      <c r="B560">
        <v>1</v>
      </c>
      <c r="C560">
        <v>66.67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11.11</v>
      </c>
      <c r="K560">
        <v>16.66</v>
      </c>
      <c r="L560">
        <v>0</v>
      </c>
      <c r="M560">
        <v>5.56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J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4.6648000000000005</v>
      </c>
      <c r="AX560">
        <v>3.7050000000000001</v>
      </c>
      <c r="AY560">
        <v>828.69299999999998</v>
      </c>
      <c r="AZ560">
        <v>64</v>
      </c>
    </row>
    <row r="561" spans="1:58" x14ac:dyDescent="0.45">
      <c r="A561">
        <v>10560</v>
      </c>
      <c r="B561">
        <v>1</v>
      </c>
      <c r="C561">
        <v>76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2.64</v>
      </c>
      <c r="K561">
        <v>15.53</v>
      </c>
      <c r="L561">
        <v>0</v>
      </c>
      <c r="M561">
        <v>5.83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J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4.3483999999999998</v>
      </c>
      <c r="AX561">
        <v>2.3833333333333333</v>
      </c>
      <c r="AY561">
        <v>888.27</v>
      </c>
      <c r="AZ561">
        <v>88</v>
      </c>
    </row>
    <row r="562" spans="1:58" x14ac:dyDescent="0.45">
      <c r="A562">
        <v>10561</v>
      </c>
      <c r="B562">
        <v>1</v>
      </c>
      <c r="C562">
        <v>75.540000000000006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5.24</v>
      </c>
      <c r="K562">
        <v>15.44</v>
      </c>
      <c r="L562">
        <v>0</v>
      </c>
      <c r="M562">
        <v>3.78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J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4.3231999999999999</v>
      </c>
      <c r="AX562">
        <v>2.1333333333333333</v>
      </c>
      <c r="AY562">
        <v>861.72</v>
      </c>
      <c r="AZ562">
        <v>79</v>
      </c>
    </row>
    <row r="563" spans="1:58" x14ac:dyDescent="0.45">
      <c r="A563">
        <v>10562</v>
      </c>
      <c r="B563">
        <v>1</v>
      </c>
      <c r="C563">
        <v>77.14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2.59</v>
      </c>
      <c r="K563">
        <v>16.53</v>
      </c>
      <c r="L563">
        <v>0</v>
      </c>
      <c r="M563">
        <v>3.74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J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4.628400000000001</v>
      </c>
      <c r="AX563">
        <v>1.6783333333333335</v>
      </c>
      <c r="AY563">
        <v>879.83699999999999</v>
      </c>
      <c r="AZ563">
        <v>61</v>
      </c>
    </row>
    <row r="564" spans="1:58" x14ac:dyDescent="0.45">
      <c r="A564">
        <v>10563</v>
      </c>
      <c r="B564">
        <v>1</v>
      </c>
      <c r="C564">
        <v>74.400000000000006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2.66</v>
      </c>
      <c r="K564">
        <v>17.04</v>
      </c>
      <c r="L564">
        <v>0</v>
      </c>
      <c r="M564">
        <v>5.9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J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4.7712000000000003</v>
      </c>
      <c r="AX564">
        <v>2.41</v>
      </c>
      <c r="AY564">
        <v>888.42599999999993</v>
      </c>
      <c r="AZ564">
        <v>54</v>
      </c>
    </row>
    <row r="565" spans="1:58" x14ac:dyDescent="0.45">
      <c r="A565">
        <v>10564</v>
      </c>
      <c r="B565">
        <v>1</v>
      </c>
      <c r="C565">
        <v>79.099999999999994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2.57</v>
      </c>
      <c r="K565">
        <v>12.64</v>
      </c>
      <c r="L565">
        <v>0</v>
      </c>
      <c r="M565">
        <v>5.69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J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3.5392000000000006</v>
      </c>
      <c r="AX565">
        <v>2.3250000000000002</v>
      </c>
      <c r="AY565">
        <v>888.16500000000008</v>
      </c>
      <c r="AZ565">
        <v>77</v>
      </c>
    </row>
    <row r="566" spans="1:58" x14ac:dyDescent="0.45">
      <c r="A566">
        <v>10565</v>
      </c>
      <c r="B566">
        <v>1</v>
      </c>
      <c r="C566">
        <v>80.16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2.5299999999999998</v>
      </c>
      <c r="K566">
        <v>13.66</v>
      </c>
      <c r="L566">
        <v>0</v>
      </c>
      <c r="M566">
        <v>3.65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J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3.8248000000000002</v>
      </c>
      <c r="AX566">
        <v>1.6383333333333332</v>
      </c>
      <c r="AY566">
        <v>879.87300000000005</v>
      </c>
      <c r="AZ566">
        <v>61</v>
      </c>
    </row>
    <row r="567" spans="1:58" x14ac:dyDescent="0.45">
      <c r="A567">
        <v>10566</v>
      </c>
      <c r="B567">
        <v>1</v>
      </c>
      <c r="C567">
        <v>79.73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2.52</v>
      </c>
      <c r="K567">
        <v>16.059999999999999</v>
      </c>
      <c r="L567">
        <v>0</v>
      </c>
      <c r="M567">
        <v>1.69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J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4.4968000000000004</v>
      </c>
      <c r="AX567">
        <v>0.98333333333333339</v>
      </c>
      <c r="AY567">
        <v>871.70999999999992</v>
      </c>
      <c r="AZ567">
        <v>69</v>
      </c>
    </row>
    <row r="568" spans="1:58" x14ac:dyDescent="0.45">
      <c r="A568">
        <v>10567</v>
      </c>
      <c r="B568">
        <v>1</v>
      </c>
      <c r="C568">
        <v>81.62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2.5</v>
      </c>
      <c r="K568">
        <v>12.28</v>
      </c>
      <c r="L568">
        <v>0</v>
      </c>
      <c r="M568">
        <v>3.6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J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3.4384000000000001</v>
      </c>
      <c r="AX568">
        <v>1.6166666666666667</v>
      </c>
      <c r="AY568">
        <v>879.87</v>
      </c>
      <c r="AZ568">
        <v>73</v>
      </c>
    </row>
    <row r="569" spans="1:58" x14ac:dyDescent="0.45">
      <c r="A569">
        <v>10568</v>
      </c>
      <c r="B569">
        <v>1</v>
      </c>
      <c r="C569">
        <v>58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6</v>
      </c>
      <c r="K569">
        <v>31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600</v>
      </c>
      <c r="Y569">
        <v>75</v>
      </c>
      <c r="Z569">
        <v>0</v>
      </c>
      <c r="AA569">
        <v>1</v>
      </c>
      <c r="AB569">
        <v>0</v>
      </c>
      <c r="AC569">
        <v>0</v>
      </c>
      <c r="AD569">
        <v>0</v>
      </c>
      <c r="AJ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13.680000000000001</v>
      </c>
      <c r="AX569">
        <v>1</v>
      </c>
      <c r="AY569">
        <v>793.1</v>
      </c>
      <c r="BB569">
        <v>672</v>
      </c>
      <c r="BC569">
        <v>26.7</v>
      </c>
      <c r="BF569" t="s">
        <v>140</v>
      </c>
    </row>
    <row r="570" spans="1:58" x14ac:dyDescent="0.45">
      <c r="A570">
        <v>10569</v>
      </c>
      <c r="B570">
        <v>1</v>
      </c>
      <c r="C570">
        <v>58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6</v>
      </c>
      <c r="K570">
        <v>31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600</v>
      </c>
      <c r="Y570">
        <v>75</v>
      </c>
      <c r="Z570">
        <v>0</v>
      </c>
      <c r="AA570">
        <v>1</v>
      </c>
      <c r="AB570">
        <v>0</v>
      </c>
      <c r="AC570">
        <v>0</v>
      </c>
      <c r="AD570">
        <v>1</v>
      </c>
      <c r="AE570">
        <v>800</v>
      </c>
      <c r="AF570">
        <v>0.5</v>
      </c>
      <c r="AG570">
        <v>1</v>
      </c>
      <c r="AH570">
        <v>0</v>
      </c>
      <c r="AI570">
        <v>0</v>
      </c>
      <c r="AJ570">
        <v>1</v>
      </c>
      <c r="AK570">
        <v>300</v>
      </c>
      <c r="AL570">
        <v>2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13.680000000000001</v>
      </c>
      <c r="AX570">
        <v>1</v>
      </c>
      <c r="AY570">
        <v>793.1</v>
      </c>
      <c r="BB570">
        <v>747</v>
      </c>
      <c r="BC570">
        <v>20.6</v>
      </c>
      <c r="BF570" t="s">
        <v>140</v>
      </c>
    </row>
    <row r="571" spans="1:58" x14ac:dyDescent="0.45">
      <c r="A571">
        <v>10570</v>
      </c>
      <c r="B571">
        <v>1</v>
      </c>
      <c r="C571">
        <v>60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4</v>
      </c>
      <c r="K571">
        <v>31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600</v>
      </c>
      <c r="Y571">
        <v>75</v>
      </c>
      <c r="Z571">
        <v>0</v>
      </c>
      <c r="AA571">
        <v>1</v>
      </c>
      <c r="AB571">
        <v>0</v>
      </c>
      <c r="AC571">
        <v>0</v>
      </c>
      <c r="AD571">
        <v>0</v>
      </c>
      <c r="AJ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13.680000000000001</v>
      </c>
      <c r="AX571">
        <v>0.66666666666666663</v>
      </c>
      <c r="AY571">
        <v>806.9</v>
      </c>
      <c r="BB571">
        <v>672</v>
      </c>
      <c r="BC571">
        <v>26.7</v>
      </c>
      <c r="BF571" t="s">
        <v>141</v>
      </c>
    </row>
    <row r="572" spans="1:58" x14ac:dyDescent="0.45">
      <c r="A572">
        <v>10571</v>
      </c>
      <c r="B572">
        <v>1</v>
      </c>
      <c r="C572">
        <v>60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</v>
      </c>
      <c r="K572">
        <v>31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600</v>
      </c>
      <c r="Y572">
        <v>75</v>
      </c>
      <c r="Z572">
        <v>0</v>
      </c>
      <c r="AA572">
        <v>1</v>
      </c>
      <c r="AB572">
        <v>0</v>
      </c>
      <c r="AC572">
        <v>0</v>
      </c>
      <c r="AD572">
        <v>1</v>
      </c>
      <c r="AE572">
        <v>800</v>
      </c>
      <c r="AF572">
        <v>0.5</v>
      </c>
      <c r="AG572">
        <v>1</v>
      </c>
      <c r="AH572">
        <v>0</v>
      </c>
      <c r="AI572">
        <v>0</v>
      </c>
      <c r="AJ572">
        <v>1</v>
      </c>
      <c r="AK572">
        <v>300</v>
      </c>
      <c r="AL572">
        <v>2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13.680000000000001</v>
      </c>
      <c r="AX572">
        <v>0.66666666666666663</v>
      </c>
      <c r="AY572">
        <v>806.9</v>
      </c>
      <c r="BB572">
        <v>747</v>
      </c>
      <c r="BC572">
        <v>20.6</v>
      </c>
      <c r="BF572" t="s">
        <v>142</v>
      </c>
    </row>
    <row r="573" spans="1:58" x14ac:dyDescent="0.45">
      <c r="A573">
        <v>10572</v>
      </c>
      <c r="B573">
        <v>1</v>
      </c>
      <c r="C573">
        <v>69.510000000000005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8.1100000000000012</v>
      </c>
      <c r="K573">
        <v>17.239999999999998</v>
      </c>
      <c r="L573">
        <v>5.1400000000000006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Z573">
        <v>0</v>
      </c>
      <c r="AA573">
        <v>1</v>
      </c>
      <c r="AB573">
        <v>0</v>
      </c>
      <c r="AC573">
        <v>0</v>
      </c>
      <c r="AD573">
        <v>1</v>
      </c>
      <c r="AE573">
        <f>AY573</f>
        <v>777.2109999999999</v>
      </c>
      <c r="AF573">
        <v>0</v>
      </c>
      <c r="AG573">
        <v>1</v>
      </c>
      <c r="AH573">
        <v>0</v>
      </c>
      <c r="AI573">
        <v>0</v>
      </c>
      <c r="AJ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9.9672000000000018</v>
      </c>
      <c r="AX573">
        <v>1.3516666666666668</v>
      </c>
      <c r="AY573">
        <v>777.2109999999999</v>
      </c>
      <c r="AZ573">
        <v>66.599999999999994</v>
      </c>
      <c r="BA573">
        <v>754.7</v>
      </c>
      <c r="BF573" t="s">
        <v>60</v>
      </c>
    </row>
    <row r="574" spans="1:58" x14ac:dyDescent="0.45">
      <c r="A574">
        <v>10573</v>
      </c>
      <c r="B574">
        <v>1</v>
      </c>
      <c r="C574">
        <v>51.71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29.080000000000002</v>
      </c>
      <c r="K574">
        <v>17.760000000000002</v>
      </c>
      <c r="L574">
        <v>1.46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f>AY574</f>
        <v>667.47799999999995</v>
      </c>
      <c r="AF574">
        <v>0</v>
      </c>
      <c r="AG574">
        <v>1</v>
      </c>
      <c r="AH574">
        <v>0</v>
      </c>
      <c r="AI574">
        <v>0</v>
      </c>
      <c r="AJ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6.4328000000000012</v>
      </c>
      <c r="AX574">
        <v>4.8466666666666667</v>
      </c>
      <c r="AY574">
        <v>667.47799999999995</v>
      </c>
      <c r="AZ574">
        <v>64.2</v>
      </c>
      <c r="BA574">
        <v>714</v>
      </c>
      <c r="BF574" t="s">
        <v>60</v>
      </c>
    </row>
    <row r="575" spans="1:58" x14ac:dyDescent="0.45">
      <c r="A575">
        <v>10574</v>
      </c>
      <c r="B575">
        <v>1</v>
      </c>
      <c r="C575">
        <v>82.13000000000001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3.9600000000000004</v>
      </c>
      <c r="K575">
        <v>5.93</v>
      </c>
      <c r="L575">
        <v>7.9799999999999995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Z575">
        <v>0</v>
      </c>
      <c r="AA575">
        <v>1</v>
      </c>
      <c r="AB575">
        <v>0</v>
      </c>
      <c r="AC575">
        <v>0</v>
      </c>
      <c r="AD575">
        <v>1</v>
      </c>
      <c r="AE575">
        <f>AY575</f>
        <v>778.8660000000001</v>
      </c>
      <c r="AF575">
        <v>0</v>
      </c>
      <c r="AG575">
        <v>1</v>
      </c>
      <c r="AH575">
        <v>0</v>
      </c>
      <c r="AI575">
        <v>0</v>
      </c>
      <c r="AJ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9.6403999999999996</v>
      </c>
      <c r="AX575">
        <v>0.66</v>
      </c>
      <c r="AY575">
        <v>778.8660000000001</v>
      </c>
      <c r="AZ575">
        <v>72</v>
      </c>
      <c r="BA575">
        <v>899</v>
      </c>
      <c r="BF575" t="s">
        <v>60</v>
      </c>
    </row>
    <row r="576" spans="1:58" x14ac:dyDescent="0.45">
      <c r="A576">
        <v>10575</v>
      </c>
      <c r="B576">
        <v>1</v>
      </c>
      <c r="C576">
        <v>84.11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2.97</v>
      </c>
      <c r="K576">
        <v>4.9399999999999995</v>
      </c>
      <c r="L576">
        <v>7.9799999999999995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Z576">
        <v>0</v>
      </c>
      <c r="AA576">
        <v>1</v>
      </c>
      <c r="AB576">
        <v>0</v>
      </c>
      <c r="AC576">
        <v>0</v>
      </c>
      <c r="AD576">
        <v>1</v>
      </c>
      <c r="AE576">
        <f>AY576</f>
        <v>785.697</v>
      </c>
      <c r="AF576">
        <v>0</v>
      </c>
      <c r="AG576">
        <v>1</v>
      </c>
      <c r="AH576">
        <v>0</v>
      </c>
      <c r="AI576">
        <v>0</v>
      </c>
      <c r="AJ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9.3631999999999991</v>
      </c>
      <c r="AX576">
        <v>0.49500000000000005</v>
      </c>
      <c r="AY576">
        <v>785.697</v>
      </c>
      <c r="AZ576">
        <v>69</v>
      </c>
      <c r="BA576">
        <v>947</v>
      </c>
      <c r="BF576" t="s">
        <v>60</v>
      </c>
    </row>
    <row r="577" spans="1:58" x14ac:dyDescent="0.45">
      <c r="A577">
        <v>10576</v>
      </c>
      <c r="B577">
        <v>1</v>
      </c>
      <c r="C577">
        <v>84.04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5.0200000000000005</v>
      </c>
      <c r="K577">
        <v>2.96</v>
      </c>
      <c r="L577">
        <v>7.9799999999999995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Z577">
        <v>0</v>
      </c>
      <c r="AA577">
        <v>1</v>
      </c>
      <c r="AB577">
        <v>0</v>
      </c>
      <c r="AC577">
        <v>0</v>
      </c>
      <c r="AD577">
        <v>1</v>
      </c>
      <c r="AE577">
        <f>AY577</f>
        <v>771.55200000000002</v>
      </c>
      <c r="AF577">
        <v>0</v>
      </c>
      <c r="AG577">
        <v>1</v>
      </c>
      <c r="AH577">
        <v>0</v>
      </c>
      <c r="AI577">
        <v>0</v>
      </c>
      <c r="AJ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8.8087999999999997</v>
      </c>
      <c r="AX577">
        <v>0.83666666666666678</v>
      </c>
      <c r="AY577">
        <v>771.55200000000002</v>
      </c>
      <c r="AZ577">
        <v>52</v>
      </c>
      <c r="BA577">
        <v>483</v>
      </c>
      <c r="BF577" t="s">
        <v>60</v>
      </c>
    </row>
    <row r="578" spans="1:58" x14ac:dyDescent="0.45">
      <c r="A578">
        <v>10577</v>
      </c>
      <c r="B578">
        <v>1</v>
      </c>
      <c r="C578">
        <v>81.099999999999994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6.3</v>
      </c>
      <c r="K578">
        <v>6.3</v>
      </c>
      <c r="L578">
        <v>6.3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J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8.0640000000000001</v>
      </c>
      <c r="AX578">
        <v>1.05</v>
      </c>
      <c r="AY578">
        <v>778.68</v>
      </c>
      <c r="AZ578">
        <v>75</v>
      </c>
    </row>
    <row r="579" spans="1:58" x14ac:dyDescent="0.45">
      <c r="A579">
        <v>10578</v>
      </c>
      <c r="B579">
        <v>1</v>
      </c>
      <c r="C579">
        <v>74.900000000000006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12.5</v>
      </c>
      <c r="K579">
        <v>6.3</v>
      </c>
      <c r="L579">
        <v>6.3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J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8.0640000000000001</v>
      </c>
      <c r="AX579">
        <v>2.0833333333333335</v>
      </c>
      <c r="AY579">
        <v>735.9</v>
      </c>
      <c r="AZ579">
        <v>68</v>
      </c>
    </row>
    <row r="580" spans="1:58" x14ac:dyDescent="0.45">
      <c r="A580">
        <v>10579</v>
      </c>
      <c r="B580">
        <v>1</v>
      </c>
      <c r="C580">
        <v>68.7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18.7</v>
      </c>
      <c r="K580">
        <v>6.3</v>
      </c>
      <c r="L580">
        <v>6.3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J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8.0640000000000001</v>
      </c>
      <c r="AX580">
        <v>3.1166666666666667</v>
      </c>
      <c r="AY580">
        <v>693.12</v>
      </c>
      <c r="AZ580">
        <v>79</v>
      </c>
    </row>
    <row r="581" spans="1:58" x14ac:dyDescent="0.45">
      <c r="A581">
        <v>10580</v>
      </c>
      <c r="B581">
        <v>1</v>
      </c>
      <c r="C581">
        <v>69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10.1</v>
      </c>
      <c r="K581">
        <v>10.3</v>
      </c>
      <c r="L581">
        <v>10.6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J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13.484</v>
      </c>
      <c r="AX581">
        <v>1.6833333333333333</v>
      </c>
      <c r="AY581">
        <v>711.6099999999999</v>
      </c>
      <c r="AZ581">
        <v>75</v>
      </c>
    </row>
    <row r="582" spans="1:58" x14ac:dyDescent="0.45">
      <c r="A582">
        <v>10581</v>
      </c>
      <c r="B582">
        <v>1</v>
      </c>
      <c r="C582">
        <v>60.8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19.3</v>
      </c>
      <c r="K582">
        <v>9.8000000000000007</v>
      </c>
      <c r="L582">
        <v>10.1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J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12.844000000000001</v>
      </c>
      <c r="AX582">
        <v>3.2166666666666668</v>
      </c>
      <c r="AY582">
        <v>652.87999999999988</v>
      </c>
      <c r="AZ582">
        <v>68</v>
      </c>
    </row>
    <row r="583" spans="1:58" x14ac:dyDescent="0.45">
      <c r="A583">
        <v>10582</v>
      </c>
      <c r="B583">
        <v>1</v>
      </c>
      <c r="C583">
        <v>63.3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17.7</v>
      </c>
      <c r="K583">
        <v>9.4</v>
      </c>
      <c r="L583">
        <v>9.6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J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12.231999999999999</v>
      </c>
      <c r="AX583">
        <v>2.9499999999999997</v>
      </c>
      <c r="AY583">
        <v>668.67</v>
      </c>
      <c r="AZ583">
        <v>79</v>
      </c>
    </row>
    <row r="584" spans="1:58" x14ac:dyDescent="0.45">
      <c r="A584">
        <v>10583</v>
      </c>
      <c r="B584">
        <v>1</v>
      </c>
      <c r="C584">
        <v>62.5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9.1999999999999993</v>
      </c>
      <c r="K584">
        <v>18.7</v>
      </c>
      <c r="L584">
        <v>9.6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J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14.836</v>
      </c>
      <c r="AX584">
        <v>1.5333333333333332</v>
      </c>
      <c r="AY584">
        <v>727.31999999999994</v>
      </c>
      <c r="AZ584">
        <v>72</v>
      </c>
    </row>
    <row r="585" spans="1:58" x14ac:dyDescent="0.45">
      <c r="A585">
        <v>10584</v>
      </c>
      <c r="B585">
        <v>1</v>
      </c>
      <c r="C585">
        <v>55.3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17.600000000000001</v>
      </c>
      <c r="K585">
        <v>17.899999999999999</v>
      </c>
      <c r="L585">
        <v>9.1999999999999993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J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14.212</v>
      </c>
      <c r="AX585">
        <v>2.9333333333333336</v>
      </c>
      <c r="AY585">
        <v>673.16</v>
      </c>
      <c r="AZ585">
        <v>70</v>
      </c>
    </row>
    <row r="586" spans="1:58" x14ac:dyDescent="0.45">
      <c r="A586">
        <v>10585</v>
      </c>
      <c r="B586">
        <v>1</v>
      </c>
      <c r="C586">
        <v>57.2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8.4</v>
      </c>
      <c r="K586">
        <v>25.6</v>
      </c>
      <c r="L586">
        <v>8.8000000000000007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J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15.968000000000002</v>
      </c>
      <c r="AX586">
        <v>1.4000000000000001</v>
      </c>
      <c r="AY586">
        <v>740.43999999999994</v>
      </c>
      <c r="AZ586">
        <v>70</v>
      </c>
    </row>
    <row r="587" spans="1:58" x14ac:dyDescent="0.45">
      <c r="A587">
        <v>10586</v>
      </c>
      <c r="B587">
        <v>1</v>
      </c>
      <c r="C587">
        <v>50.8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16.100000000000001</v>
      </c>
      <c r="K587">
        <v>24.6</v>
      </c>
      <c r="L587">
        <v>8.5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J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15.388000000000002</v>
      </c>
      <c r="AX587">
        <v>2.6833333333333336</v>
      </c>
      <c r="AY587">
        <v>690.16</v>
      </c>
      <c r="AZ587">
        <v>69</v>
      </c>
    </row>
    <row r="588" spans="1:58" x14ac:dyDescent="0.45">
      <c r="A588">
        <v>10587</v>
      </c>
      <c r="B588">
        <v>1</v>
      </c>
      <c r="C588">
        <v>38.5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38.5</v>
      </c>
      <c r="K588">
        <v>15</v>
      </c>
      <c r="L588">
        <v>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J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12.2</v>
      </c>
      <c r="AX588">
        <v>6.416666666666667</v>
      </c>
      <c r="AY588">
        <v>540.34999999999991</v>
      </c>
      <c r="AZ588">
        <v>96</v>
      </c>
    </row>
    <row r="589" spans="1:58" x14ac:dyDescent="0.45">
      <c r="A589">
        <v>10588</v>
      </c>
      <c r="B589">
        <v>1</v>
      </c>
      <c r="C589">
        <v>37.5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37.5</v>
      </c>
      <c r="K589">
        <v>15</v>
      </c>
      <c r="L589">
        <v>10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J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14.2</v>
      </c>
      <c r="AX589">
        <v>6.25</v>
      </c>
      <c r="AY589">
        <v>528.25</v>
      </c>
      <c r="AZ589">
        <v>97</v>
      </c>
    </row>
    <row r="590" spans="1:58" x14ac:dyDescent="0.45">
      <c r="A590">
        <v>10589</v>
      </c>
      <c r="B590">
        <v>1</v>
      </c>
      <c r="C590">
        <v>36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36</v>
      </c>
      <c r="K590">
        <v>15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J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17.2</v>
      </c>
      <c r="AX590">
        <v>6</v>
      </c>
      <c r="AY590">
        <v>510.1</v>
      </c>
      <c r="AZ590">
        <v>104</v>
      </c>
    </row>
    <row r="591" spans="1:58" x14ac:dyDescent="0.45">
      <c r="A591">
        <v>10590</v>
      </c>
      <c r="B591">
        <v>1</v>
      </c>
      <c r="C591">
        <v>35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35</v>
      </c>
      <c r="K591">
        <v>15</v>
      </c>
      <c r="L591">
        <v>15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J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19.2</v>
      </c>
      <c r="AX591">
        <v>5.833333333333333</v>
      </c>
      <c r="AY591">
        <v>498</v>
      </c>
      <c r="AZ591">
        <v>105</v>
      </c>
    </row>
    <row r="592" spans="1:58" x14ac:dyDescent="0.45">
      <c r="A592">
        <v>10591</v>
      </c>
      <c r="B592">
        <v>1</v>
      </c>
      <c r="C592">
        <v>71.930000000000007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9.93</v>
      </c>
      <c r="K592">
        <v>16.25</v>
      </c>
      <c r="L592">
        <v>1.89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J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6.44</v>
      </c>
      <c r="AX592">
        <v>1.655</v>
      </c>
      <c r="AY592">
        <v>795.52800000000002</v>
      </c>
      <c r="AZ592">
        <v>75</v>
      </c>
    </row>
    <row r="593" spans="1:58" x14ac:dyDescent="0.45">
      <c r="A593">
        <v>10592</v>
      </c>
      <c r="B593">
        <v>1</v>
      </c>
      <c r="C593">
        <v>84.72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</v>
      </c>
      <c r="K593">
        <v>8.85</v>
      </c>
      <c r="L593">
        <v>3.43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J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5.9080000000000004</v>
      </c>
      <c r="AX593">
        <v>0.5</v>
      </c>
      <c r="AY593">
        <v>828.71499999999992</v>
      </c>
      <c r="AZ593">
        <v>84</v>
      </c>
      <c r="BE593" t="s">
        <v>285</v>
      </c>
    </row>
    <row r="594" spans="1:58" x14ac:dyDescent="0.45">
      <c r="A594">
        <v>10593</v>
      </c>
      <c r="B594">
        <v>1</v>
      </c>
      <c r="C594">
        <v>79.760000000000005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3.13</v>
      </c>
      <c r="K594">
        <v>15.33</v>
      </c>
      <c r="L594">
        <v>1.78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J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6.0724000000000009</v>
      </c>
      <c r="AX594">
        <v>0.52166666666666661</v>
      </c>
      <c r="AY594">
        <v>843.49300000000005</v>
      </c>
      <c r="AZ594">
        <v>67</v>
      </c>
      <c r="BE594" t="s">
        <v>285</v>
      </c>
    </row>
    <row r="595" spans="1:58" x14ac:dyDescent="0.45">
      <c r="A595">
        <v>10594</v>
      </c>
      <c r="B595">
        <v>1</v>
      </c>
      <c r="C595">
        <v>69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25</v>
      </c>
      <c r="L595">
        <v>2</v>
      </c>
      <c r="M595">
        <v>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20</v>
      </c>
      <c r="Y595">
        <v>70</v>
      </c>
      <c r="Z595">
        <v>0</v>
      </c>
      <c r="AA595">
        <v>1</v>
      </c>
      <c r="AB595">
        <v>0</v>
      </c>
      <c r="AC595">
        <v>0</v>
      </c>
      <c r="AD595">
        <v>0</v>
      </c>
      <c r="AJ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9</v>
      </c>
      <c r="AX595">
        <v>1.3333333333333333</v>
      </c>
      <c r="AY595">
        <v>879.8</v>
      </c>
      <c r="BB595">
        <v>813</v>
      </c>
      <c r="BC595">
        <v>5.22</v>
      </c>
      <c r="BE595" t="s">
        <v>285</v>
      </c>
      <c r="BF595" t="s">
        <v>143</v>
      </c>
    </row>
    <row r="596" spans="1:58" x14ac:dyDescent="0.45">
      <c r="A596">
        <v>10595</v>
      </c>
      <c r="B596">
        <v>1</v>
      </c>
      <c r="C596">
        <v>69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25</v>
      </c>
      <c r="L596">
        <v>2</v>
      </c>
      <c r="M596">
        <v>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20</v>
      </c>
      <c r="Y596">
        <v>70</v>
      </c>
      <c r="Z596">
        <v>0</v>
      </c>
      <c r="AA596">
        <v>1</v>
      </c>
      <c r="AB596">
        <v>0</v>
      </c>
      <c r="AC596">
        <v>0</v>
      </c>
      <c r="AD596">
        <v>1</v>
      </c>
      <c r="AE596">
        <v>475</v>
      </c>
      <c r="AF596">
        <v>0.25</v>
      </c>
      <c r="AG596">
        <v>1</v>
      </c>
      <c r="AH596">
        <v>0</v>
      </c>
      <c r="AI596">
        <v>0</v>
      </c>
      <c r="AJ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9</v>
      </c>
      <c r="AX596">
        <v>1.3333333333333333</v>
      </c>
      <c r="AY596">
        <v>879.8</v>
      </c>
      <c r="BB596">
        <v>1113</v>
      </c>
      <c r="BC596">
        <v>3.62</v>
      </c>
      <c r="BE596" t="s">
        <v>286</v>
      </c>
      <c r="BF596" t="s">
        <v>143</v>
      </c>
    </row>
    <row r="597" spans="1:58" x14ac:dyDescent="0.45">
      <c r="A597">
        <v>10596</v>
      </c>
      <c r="B597">
        <v>1</v>
      </c>
      <c r="C597">
        <v>78.72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18.72</v>
      </c>
      <c r="L597">
        <v>0.6</v>
      </c>
      <c r="M597">
        <v>1.95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Z597">
        <v>0</v>
      </c>
      <c r="AA597">
        <v>1</v>
      </c>
      <c r="AB597">
        <v>0</v>
      </c>
      <c r="AC597">
        <v>0</v>
      </c>
      <c r="AD597">
        <v>1</v>
      </c>
      <c r="AE597">
        <f>AY597</f>
        <v>884.49</v>
      </c>
      <c r="AF597">
        <v>0</v>
      </c>
      <c r="AG597">
        <v>1</v>
      </c>
      <c r="AH597">
        <v>0</v>
      </c>
      <c r="AI597">
        <v>0</v>
      </c>
      <c r="AJ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5.8415999999999997</v>
      </c>
      <c r="AX597">
        <v>0.65</v>
      </c>
      <c r="AY597">
        <v>884.49</v>
      </c>
      <c r="AZ597">
        <v>46</v>
      </c>
      <c r="BA597">
        <v>130</v>
      </c>
      <c r="BF597" t="s">
        <v>60</v>
      </c>
    </row>
    <row r="598" spans="1:58" x14ac:dyDescent="0.45">
      <c r="A598">
        <v>10597</v>
      </c>
      <c r="B598">
        <v>1</v>
      </c>
      <c r="C598">
        <v>78.72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18.72</v>
      </c>
      <c r="L598">
        <v>0.6</v>
      </c>
      <c r="M598">
        <v>1.95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Z598">
        <v>0</v>
      </c>
      <c r="AA598">
        <v>1</v>
      </c>
      <c r="AB598">
        <v>0</v>
      </c>
      <c r="AC598">
        <v>0</v>
      </c>
      <c r="AD598">
        <v>1</v>
      </c>
      <c r="AE598">
        <f>AY598</f>
        <v>884.49</v>
      </c>
      <c r="AF598">
        <v>0</v>
      </c>
      <c r="AG598">
        <v>1</v>
      </c>
      <c r="AH598">
        <v>0</v>
      </c>
      <c r="AI598">
        <v>0</v>
      </c>
      <c r="AJ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5.8415999999999997</v>
      </c>
      <c r="AX598">
        <v>0.65</v>
      </c>
      <c r="AY598">
        <v>884.49</v>
      </c>
      <c r="AZ598">
        <v>45</v>
      </c>
      <c r="BA598">
        <v>220</v>
      </c>
      <c r="BF598" t="s">
        <v>60</v>
      </c>
    </row>
    <row r="599" spans="1:58" x14ac:dyDescent="0.45">
      <c r="A599">
        <v>10598</v>
      </c>
      <c r="B599">
        <v>1</v>
      </c>
      <c r="C599">
        <v>81.67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15.24</v>
      </c>
      <c r="L599">
        <v>1.18</v>
      </c>
      <c r="M599">
        <v>1.91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Z599">
        <v>0</v>
      </c>
      <c r="AA599">
        <v>1</v>
      </c>
      <c r="AB599">
        <v>0</v>
      </c>
      <c r="AC599">
        <v>0</v>
      </c>
      <c r="AD599">
        <v>1</v>
      </c>
      <c r="AE599">
        <f>AY599</f>
        <v>878.81200000000001</v>
      </c>
      <c r="AF599">
        <v>0</v>
      </c>
      <c r="AG599">
        <v>1</v>
      </c>
      <c r="AH599">
        <v>0</v>
      </c>
      <c r="AI599">
        <v>0</v>
      </c>
      <c r="AJ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5.4472000000000005</v>
      </c>
      <c r="AX599">
        <v>0.6366666666666666</v>
      </c>
      <c r="AY599">
        <v>878.81200000000001</v>
      </c>
      <c r="AZ599">
        <v>53.1</v>
      </c>
      <c r="BA599">
        <v>361</v>
      </c>
      <c r="BF599" t="s">
        <v>60</v>
      </c>
    </row>
    <row r="600" spans="1:58" x14ac:dyDescent="0.45">
      <c r="A600">
        <v>10599</v>
      </c>
      <c r="B600">
        <v>1</v>
      </c>
      <c r="C600">
        <v>69.599999999999994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19.399999999999999</v>
      </c>
      <c r="L600">
        <v>4.9000000000000004</v>
      </c>
      <c r="M600">
        <v>6.1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J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10.332000000000001</v>
      </c>
      <c r="AX600">
        <v>2.0333333333333332</v>
      </c>
      <c r="AY600">
        <v>861.07</v>
      </c>
      <c r="AZ600">
        <v>51</v>
      </c>
    </row>
    <row r="601" spans="1:58" x14ac:dyDescent="0.45">
      <c r="A601">
        <v>10600</v>
      </c>
      <c r="B601">
        <v>1</v>
      </c>
      <c r="C601">
        <v>82.35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11.78</v>
      </c>
      <c r="L601">
        <v>2.94</v>
      </c>
      <c r="M601">
        <v>2.93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J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6.2384000000000004</v>
      </c>
      <c r="AX601">
        <v>0.97666666666666668</v>
      </c>
      <c r="AY601">
        <v>866.37600000000009</v>
      </c>
      <c r="AZ601">
        <v>51</v>
      </c>
    </row>
    <row r="602" spans="1:58" x14ac:dyDescent="0.45">
      <c r="A602">
        <v>10601</v>
      </c>
      <c r="B602">
        <v>1</v>
      </c>
      <c r="C602">
        <v>82.35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11.76</v>
      </c>
      <c r="L602">
        <v>2.94</v>
      </c>
      <c r="M602">
        <v>2.95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J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6.2328000000000001</v>
      </c>
      <c r="AX602">
        <v>0.98333333333333339</v>
      </c>
      <c r="AY602">
        <v>866.46</v>
      </c>
      <c r="AZ602">
        <v>51</v>
      </c>
    </row>
    <row r="603" spans="1:58" x14ac:dyDescent="0.45">
      <c r="A603">
        <v>10602</v>
      </c>
      <c r="B603">
        <v>1</v>
      </c>
      <c r="C603">
        <v>85.5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7.5</v>
      </c>
      <c r="L603">
        <v>4</v>
      </c>
      <c r="M603">
        <v>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J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6.1</v>
      </c>
      <c r="AX603">
        <v>1</v>
      </c>
      <c r="AY603">
        <v>856.6</v>
      </c>
      <c r="AZ603">
        <v>46</v>
      </c>
    </row>
    <row r="604" spans="1:58" x14ac:dyDescent="0.45">
      <c r="A604">
        <v>10603</v>
      </c>
      <c r="B604">
        <v>1</v>
      </c>
      <c r="C604">
        <v>84.5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7.5</v>
      </c>
      <c r="L604">
        <v>4</v>
      </c>
      <c r="M604">
        <v>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J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6.1</v>
      </c>
      <c r="AX604">
        <v>1.3333333333333333</v>
      </c>
      <c r="AY604">
        <v>860.8</v>
      </c>
      <c r="AZ604">
        <v>87</v>
      </c>
    </row>
    <row r="605" spans="1:58" x14ac:dyDescent="0.45">
      <c r="A605">
        <v>10604</v>
      </c>
      <c r="B605">
        <v>1</v>
      </c>
      <c r="C605">
        <v>70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26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20</v>
      </c>
      <c r="Y605">
        <v>84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800</v>
      </c>
      <c r="AF605">
        <v>1</v>
      </c>
      <c r="AG605">
        <v>1</v>
      </c>
      <c r="AH605">
        <v>0</v>
      </c>
      <c r="AI605">
        <v>0</v>
      </c>
      <c r="AJ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13.080000000000002</v>
      </c>
      <c r="AX605">
        <v>0.66666666666666663</v>
      </c>
      <c r="AY605">
        <v>859.6</v>
      </c>
      <c r="BB605">
        <v>679</v>
      </c>
      <c r="BC605">
        <v>25.04</v>
      </c>
      <c r="BF605" t="s">
        <v>96</v>
      </c>
    </row>
    <row r="606" spans="1:58" x14ac:dyDescent="0.45">
      <c r="A606">
        <v>10605</v>
      </c>
      <c r="B606">
        <v>1</v>
      </c>
      <c r="C606">
        <v>68</v>
      </c>
      <c r="D606">
        <v>0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26</v>
      </c>
      <c r="L606">
        <v>0</v>
      </c>
      <c r="M606">
        <v>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20</v>
      </c>
      <c r="Y606">
        <v>84</v>
      </c>
      <c r="Z606">
        <v>0</v>
      </c>
      <c r="AA606">
        <v>1</v>
      </c>
      <c r="AB606">
        <v>0</v>
      </c>
      <c r="AC606">
        <v>0</v>
      </c>
      <c r="AD606">
        <v>1</v>
      </c>
      <c r="AE606">
        <v>800</v>
      </c>
      <c r="AF606">
        <v>1</v>
      </c>
      <c r="AG606">
        <v>1</v>
      </c>
      <c r="AH606">
        <v>0</v>
      </c>
      <c r="AI606">
        <v>0</v>
      </c>
      <c r="AJ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13.080000000000002</v>
      </c>
      <c r="AX606">
        <v>1.3333333333333333</v>
      </c>
      <c r="AY606">
        <v>868</v>
      </c>
      <c r="BB606">
        <v>622</v>
      </c>
      <c r="BC606">
        <v>19.16</v>
      </c>
      <c r="BF606" t="s">
        <v>96</v>
      </c>
    </row>
    <row r="607" spans="1:58" x14ac:dyDescent="0.45">
      <c r="A607">
        <v>10606</v>
      </c>
      <c r="B607">
        <v>1</v>
      </c>
      <c r="C607">
        <v>66</v>
      </c>
      <c r="D607">
        <v>0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0</v>
      </c>
      <c r="K607">
        <v>26</v>
      </c>
      <c r="L607">
        <v>0</v>
      </c>
      <c r="M607">
        <v>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20</v>
      </c>
      <c r="Y607">
        <v>84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800</v>
      </c>
      <c r="AF607">
        <v>1</v>
      </c>
      <c r="AG607">
        <v>1</v>
      </c>
      <c r="AH607">
        <v>0</v>
      </c>
      <c r="AI607">
        <v>0</v>
      </c>
      <c r="AJ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13.080000000000002</v>
      </c>
      <c r="AX607">
        <v>2</v>
      </c>
      <c r="AY607">
        <v>876.40000000000009</v>
      </c>
      <c r="BB607">
        <v>577</v>
      </c>
      <c r="BC607">
        <v>28.81</v>
      </c>
      <c r="BF607" t="s">
        <v>96</v>
      </c>
    </row>
    <row r="608" spans="1:58" x14ac:dyDescent="0.45">
      <c r="A608">
        <v>10607</v>
      </c>
      <c r="B608">
        <v>1</v>
      </c>
      <c r="C608">
        <v>64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0</v>
      </c>
      <c r="K608">
        <v>26</v>
      </c>
      <c r="L608">
        <v>0</v>
      </c>
      <c r="M608">
        <v>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20</v>
      </c>
      <c r="Y608">
        <v>84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800</v>
      </c>
      <c r="AF608">
        <v>1</v>
      </c>
      <c r="AG608">
        <v>1</v>
      </c>
      <c r="AH608">
        <v>0</v>
      </c>
      <c r="AI608">
        <v>0</v>
      </c>
      <c r="AJ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13.080000000000002</v>
      </c>
      <c r="AX608">
        <v>2.6666666666666665</v>
      </c>
      <c r="AY608">
        <v>884.80000000000007</v>
      </c>
      <c r="BB608">
        <v>582</v>
      </c>
      <c r="BC608">
        <v>23.83</v>
      </c>
      <c r="BF608" t="s">
        <v>96</v>
      </c>
    </row>
    <row r="609" spans="1:58" x14ac:dyDescent="0.45">
      <c r="A609">
        <v>10608</v>
      </c>
      <c r="B609">
        <v>1</v>
      </c>
      <c r="C609">
        <v>70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26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20</v>
      </c>
      <c r="Y609">
        <v>84</v>
      </c>
      <c r="Z609">
        <v>0</v>
      </c>
      <c r="AA609">
        <v>1</v>
      </c>
      <c r="AB609">
        <v>0</v>
      </c>
      <c r="AC609">
        <v>0</v>
      </c>
      <c r="AD609">
        <v>1</v>
      </c>
      <c r="AE609">
        <v>800</v>
      </c>
      <c r="AF609">
        <v>1</v>
      </c>
      <c r="AG609">
        <v>1</v>
      </c>
      <c r="AH609">
        <v>0</v>
      </c>
      <c r="AI609">
        <v>0</v>
      </c>
      <c r="AJ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13.080000000000002</v>
      </c>
      <c r="AX609">
        <v>0.66666666666666663</v>
      </c>
      <c r="AY609">
        <v>859.6</v>
      </c>
      <c r="BB609">
        <v>679</v>
      </c>
      <c r="BC609">
        <v>25.15</v>
      </c>
      <c r="BF609" t="s">
        <v>144</v>
      </c>
    </row>
    <row r="610" spans="1:58" x14ac:dyDescent="0.45">
      <c r="A610">
        <v>10609</v>
      </c>
      <c r="B610">
        <v>1</v>
      </c>
      <c r="C610">
        <v>68</v>
      </c>
      <c r="D610">
        <v>0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26</v>
      </c>
      <c r="L610">
        <v>0</v>
      </c>
      <c r="M610">
        <v>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20</v>
      </c>
      <c r="Y610">
        <v>84</v>
      </c>
      <c r="Z610">
        <v>0</v>
      </c>
      <c r="AA610">
        <v>1</v>
      </c>
      <c r="AB610">
        <v>0</v>
      </c>
      <c r="AC610">
        <v>0</v>
      </c>
      <c r="AD610">
        <v>1</v>
      </c>
      <c r="AE610">
        <v>800</v>
      </c>
      <c r="AF610">
        <v>1</v>
      </c>
      <c r="AG610">
        <v>1</v>
      </c>
      <c r="AH610">
        <v>0</v>
      </c>
      <c r="AI610">
        <v>0</v>
      </c>
      <c r="AJ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13.080000000000002</v>
      </c>
      <c r="AX610">
        <v>1.3333333333333333</v>
      </c>
      <c r="AY610">
        <v>868</v>
      </c>
      <c r="BB610">
        <v>622</v>
      </c>
      <c r="BC610">
        <v>19.04</v>
      </c>
      <c r="BF610" t="s">
        <v>145</v>
      </c>
    </row>
    <row r="611" spans="1:58" x14ac:dyDescent="0.45">
      <c r="A611">
        <v>10610</v>
      </c>
      <c r="B611">
        <v>1</v>
      </c>
      <c r="C611">
        <v>66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0</v>
      </c>
      <c r="J611">
        <v>0</v>
      </c>
      <c r="K611">
        <v>26</v>
      </c>
      <c r="L611">
        <v>0</v>
      </c>
      <c r="M611">
        <v>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20</v>
      </c>
      <c r="Y611">
        <v>84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800</v>
      </c>
      <c r="AF611">
        <v>1</v>
      </c>
      <c r="AG611">
        <v>1</v>
      </c>
      <c r="AH611">
        <v>0</v>
      </c>
      <c r="AI611">
        <v>0</v>
      </c>
      <c r="AJ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13.080000000000002</v>
      </c>
      <c r="AX611">
        <v>2</v>
      </c>
      <c r="AY611">
        <v>876.40000000000009</v>
      </c>
      <c r="BB611">
        <v>577</v>
      </c>
      <c r="BC611">
        <v>28.77</v>
      </c>
      <c r="BF611" t="s">
        <v>146</v>
      </c>
    </row>
    <row r="612" spans="1:58" x14ac:dyDescent="0.45">
      <c r="A612">
        <v>10611</v>
      </c>
      <c r="B612">
        <v>1</v>
      </c>
      <c r="C612">
        <v>64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0</v>
      </c>
      <c r="J612">
        <v>0</v>
      </c>
      <c r="K612">
        <v>26</v>
      </c>
      <c r="L612">
        <v>0</v>
      </c>
      <c r="M612">
        <v>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20</v>
      </c>
      <c r="Y612">
        <v>84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800</v>
      </c>
      <c r="AF612">
        <v>1</v>
      </c>
      <c r="AG612">
        <v>1</v>
      </c>
      <c r="AH612">
        <v>0</v>
      </c>
      <c r="AI612">
        <v>0</v>
      </c>
      <c r="AJ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13.080000000000002</v>
      </c>
      <c r="AX612">
        <v>2.6666666666666665</v>
      </c>
      <c r="AY612">
        <v>884.80000000000007</v>
      </c>
      <c r="BB612">
        <v>582</v>
      </c>
      <c r="BC612">
        <v>23.78</v>
      </c>
      <c r="BF612" t="s">
        <v>147</v>
      </c>
    </row>
    <row r="613" spans="1:58" x14ac:dyDescent="0.45">
      <c r="A613">
        <v>10612</v>
      </c>
      <c r="B613">
        <v>1</v>
      </c>
      <c r="C613">
        <v>83.76</v>
      </c>
      <c r="D613">
        <v>0</v>
      </c>
      <c r="E613">
        <v>0</v>
      </c>
      <c r="F613">
        <v>0</v>
      </c>
      <c r="G613">
        <v>0</v>
      </c>
      <c r="H613">
        <v>2.56</v>
      </c>
      <c r="I613">
        <v>0</v>
      </c>
      <c r="J613">
        <v>0</v>
      </c>
      <c r="K613">
        <v>11</v>
      </c>
      <c r="L613">
        <v>0</v>
      </c>
      <c r="M613">
        <v>2.68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Z613">
        <v>0</v>
      </c>
      <c r="AA613">
        <v>1</v>
      </c>
      <c r="AB613">
        <v>0</v>
      </c>
      <c r="AC613">
        <v>0</v>
      </c>
      <c r="AD613">
        <v>1</v>
      </c>
      <c r="AE613">
        <f>AY613</f>
        <v>853.83199999999999</v>
      </c>
      <c r="AF613">
        <v>0</v>
      </c>
      <c r="AG613">
        <v>1</v>
      </c>
      <c r="AH613">
        <v>0</v>
      </c>
      <c r="AI613">
        <v>0</v>
      </c>
      <c r="AJ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10.504</v>
      </c>
      <c r="AX613">
        <v>0.89333333333333342</v>
      </c>
      <c r="AY613">
        <v>853.83199999999999</v>
      </c>
      <c r="AZ613">
        <v>71</v>
      </c>
      <c r="BA613">
        <v>765</v>
      </c>
      <c r="BF613" t="s">
        <v>60</v>
      </c>
    </row>
    <row r="614" spans="1:58" x14ac:dyDescent="0.45">
      <c r="A614">
        <v>10613</v>
      </c>
      <c r="B614">
        <v>1</v>
      </c>
      <c r="C614">
        <v>87.5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5</v>
      </c>
      <c r="M614">
        <v>2.5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Z614">
        <v>1</v>
      </c>
      <c r="AA614">
        <v>0</v>
      </c>
      <c r="AB614">
        <v>0</v>
      </c>
      <c r="AC614">
        <v>0</v>
      </c>
      <c r="AD614">
        <v>1</v>
      </c>
      <c r="AE614">
        <v>1000</v>
      </c>
      <c r="AF614">
        <v>1</v>
      </c>
      <c r="AG614">
        <v>0</v>
      </c>
      <c r="AH614">
        <v>0</v>
      </c>
      <c r="AI614">
        <v>1</v>
      </c>
      <c r="AJ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5.833333333333333</v>
      </c>
      <c r="AY614">
        <v>855.5</v>
      </c>
      <c r="BB614">
        <v>1016</v>
      </c>
      <c r="BC614">
        <v>5.8</v>
      </c>
      <c r="BF614" t="s">
        <v>114</v>
      </c>
    </row>
    <row r="615" spans="1:58" x14ac:dyDescent="0.45">
      <c r="A615">
        <v>10614</v>
      </c>
      <c r="B615">
        <v>1</v>
      </c>
      <c r="C615">
        <v>82.5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10</v>
      </c>
      <c r="M615">
        <v>2.5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1000</v>
      </c>
      <c r="AF615">
        <v>1</v>
      </c>
      <c r="AG615">
        <v>0</v>
      </c>
      <c r="AH615">
        <v>0</v>
      </c>
      <c r="AI615">
        <v>1</v>
      </c>
      <c r="AJ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5</v>
      </c>
      <c r="AX615">
        <v>5.833333333333333</v>
      </c>
      <c r="AY615">
        <v>808</v>
      </c>
      <c r="BB615">
        <v>1260</v>
      </c>
      <c r="BC615">
        <v>8.4</v>
      </c>
      <c r="BF615" t="s">
        <v>114</v>
      </c>
    </row>
    <row r="616" spans="1:58" x14ac:dyDescent="0.45">
      <c r="A616">
        <v>10615</v>
      </c>
      <c r="B616">
        <v>1</v>
      </c>
      <c r="C616">
        <v>77.5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15</v>
      </c>
      <c r="M616">
        <v>2.5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1000</v>
      </c>
      <c r="AF616">
        <v>1</v>
      </c>
      <c r="AG616">
        <v>0</v>
      </c>
      <c r="AH616">
        <v>0</v>
      </c>
      <c r="AI616">
        <v>1</v>
      </c>
      <c r="AJ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10</v>
      </c>
      <c r="AX616">
        <v>5.833333333333333</v>
      </c>
      <c r="AY616">
        <v>760.5</v>
      </c>
      <c r="BB616">
        <v>724</v>
      </c>
      <c r="BC616">
        <v>9.3000000000000007</v>
      </c>
      <c r="BF616" t="s">
        <v>114</v>
      </c>
    </row>
    <row r="617" spans="1:58" x14ac:dyDescent="0.45">
      <c r="A617">
        <v>10616</v>
      </c>
      <c r="B617">
        <v>1</v>
      </c>
      <c r="C617">
        <v>87.5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5</v>
      </c>
      <c r="M617">
        <v>2.5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Z617">
        <v>0</v>
      </c>
      <c r="AA617">
        <v>1</v>
      </c>
      <c r="AB617">
        <v>0</v>
      </c>
      <c r="AC617">
        <v>0</v>
      </c>
      <c r="AD617">
        <v>0</v>
      </c>
      <c r="AJ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5.833333333333333</v>
      </c>
      <c r="AY617">
        <v>855.5</v>
      </c>
      <c r="BA617">
        <v>966</v>
      </c>
      <c r="BB617">
        <v>1016</v>
      </c>
      <c r="BC617">
        <v>5.8</v>
      </c>
      <c r="BD617">
        <v>342</v>
      </c>
      <c r="BF617" t="s">
        <v>98</v>
      </c>
    </row>
    <row r="618" spans="1:58" x14ac:dyDescent="0.45">
      <c r="A618">
        <v>10617</v>
      </c>
      <c r="B618">
        <v>1</v>
      </c>
      <c r="C618">
        <v>82.5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10</v>
      </c>
      <c r="M618">
        <v>2.5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Z618">
        <v>0</v>
      </c>
      <c r="AA618">
        <v>1</v>
      </c>
      <c r="AB618">
        <v>0</v>
      </c>
      <c r="AC618">
        <v>0</v>
      </c>
      <c r="AD618">
        <v>0</v>
      </c>
      <c r="AJ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5</v>
      </c>
      <c r="AX618">
        <v>5.833333333333333</v>
      </c>
      <c r="AY618">
        <v>808</v>
      </c>
      <c r="BA618">
        <v>1198</v>
      </c>
      <c r="BB618">
        <v>1260</v>
      </c>
      <c r="BC618">
        <v>8.4</v>
      </c>
      <c r="BD618">
        <v>388</v>
      </c>
      <c r="BF618" t="s">
        <v>98</v>
      </c>
    </row>
    <row r="619" spans="1:58" x14ac:dyDescent="0.45">
      <c r="A619">
        <v>10618</v>
      </c>
      <c r="B619">
        <v>1</v>
      </c>
      <c r="C619">
        <v>77.5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15</v>
      </c>
      <c r="M619">
        <v>2.5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Z619">
        <v>0</v>
      </c>
      <c r="AA619">
        <v>1</v>
      </c>
      <c r="AB619">
        <v>0</v>
      </c>
      <c r="AC619">
        <v>0</v>
      </c>
      <c r="AD619">
        <v>0</v>
      </c>
      <c r="AJ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10</v>
      </c>
      <c r="AX619">
        <v>5.833333333333333</v>
      </c>
      <c r="AY619">
        <v>760.5</v>
      </c>
      <c r="BA619">
        <v>711</v>
      </c>
      <c r="BB619">
        <v>724</v>
      </c>
      <c r="BC619">
        <v>9.3000000000000007</v>
      </c>
      <c r="BD619">
        <v>275</v>
      </c>
      <c r="BE619" t="s">
        <v>351</v>
      </c>
      <c r="BF619" t="s">
        <v>98</v>
      </c>
    </row>
    <row r="620" spans="1:58" x14ac:dyDescent="0.45">
      <c r="A620">
        <v>10619</v>
      </c>
      <c r="B620">
        <v>1</v>
      </c>
      <c r="C620">
        <v>90.1</v>
      </c>
      <c r="D620">
        <v>7.1</v>
      </c>
      <c r="E620">
        <v>1.2</v>
      </c>
      <c r="F620">
        <v>0</v>
      </c>
      <c r="G620">
        <v>0</v>
      </c>
      <c r="H620">
        <v>0</v>
      </c>
      <c r="I620">
        <v>0</v>
      </c>
      <c r="J620">
        <v>1.6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J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-6.2959999999999994</v>
      </c>
      <c r="AX620">
        <v>7.3666666666666663</v>
      </c>
      <c r="AY620">
        <v>871.71</v>
      </c>
      <c r="BB620">
        <v>787.75</v>
      </c>
      <c r="BC620">
        <v>13.42</v>
      </c>
      <c r="BE620" t="s">
        <v>351</v>
      </c>
      <c r="BF620" t="s">
        <v>148</v>
      </c>
    </row>
    <row r="621" spans="1:58" x14ac:dyDescent="0.45">
      <c r="A621">
        <v>10620</v>
      </c>
      <c r="B621">
        <v>1</v>
      </c>
      <c r="C621">
        <v>87.9</v>
      </c>
      <c r="D621">
        <v>6.8</v>
      </c>
      <c r="E621">
        <v>2.4</v>
      </c>
      <c r="F621">
        <v>0</v>
      </c>
      <c r="G621">
        <v>0</v>
      </c>
      <c r="H621">
        <v>0</v>
      </c>
      <c r="I621">
        <v>0</v>
      </c>
      <c r="J621">
        <v>2.9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J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-5.1920000000000002</v>
      </c>
      <c r="AX621">
        <v>7.2833333333333332</v>
      </c>
      <c r="AY621">
        <v>847.94999999999993</v>
      </c>
      <c r="BB621">
        <v>840.86</v>
      </c>
      <c r="BC621">
        <v>10.41</v>
      </c>
      <c r="BF621" t="s">
        <v>148</v>
      </c>
    </row>
    <row r="622" spans="1:58" x14ac:dyDescent="0.45">
      <c r="A622">
        <v>10621</v>
      </c>
      <c r="B622">
        <v>1</v>
      </c>
      <c r="C622">
        <v>85.8</v>
      </c>
      <c r="D622">
        <v>6.5</v>
      </c>
      <c r="E622">
        <v>3.5</v>
      </c>
      <c r="F622">
        <v>0</v>
      </c>
      <c r="G622">
        <v>0</v>
      </c>
      <c r="H622">
        <v>0</v>
      </c>
      <c r="I622">
        <v>0</v>
      </c>
      <c r="J622">
        <v>4.2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J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-4.1549999999999994</v>
      </c>
      <c r="AX622">
        <v>7.2</v>
      </c>
      <c r="AY622">
        <v>825.37</v>
      </c>
      <c r="BB622">
        <v>963.77</v>
      </c>
      <c r="BC622">
        <v>7.18</v>
      </c>
      <c r="BF622" t="s">
        <v>148</v>
      </c>
    </row>
    <row r="623" spans="1:58" x14ac:dyDescent="0.45">
      <c r="A623">
        <v>10622</v>
      </c>
      <c r="B623">
        <v>1</v>
      </c>
      <c r="C623">
        <v>83.6</v>
      </c>
      <c r="D623">
        <v>6.2</v>
      </c>
      <c r="E623">
        <v>4.5999999999999996</v>
      </c>
      <c r="F623">
        <v>0</v>
      </c>
      <c r="G623">
        <v>0</v>
      </c>
      <c r="H623">
        <v>0</v>
      </c>
      <c r="I623">
        <v>0</v>
      </c>
      <c r="J623">
        <v>5.6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J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-3.1180000000000003</v>
      </c>
      <c r="AX623">
        <v>7.1333333333333337</v>
      </c>
      <c r="AY623">
        <v>802.1</v>
      </c>
      <c r="BB623">
        <v>1070.49</v>
      </c>
      <c r="BC623">
        <v>5.13</v>
      </c>
      <c r="BF623" t="s">
        <v>148</v>
      </c>
    </row>
    <row r="624" spans="1:58" x14ac:dyDescent="0.45">
      <c r="A624">
        <v>10623</v>
      </c>
      <c r="B624">
        <v>1</v>
      </c>
      <c r="C624">
        <v>81.599999999999994</v>
      </c>
      <c r="D624">
        <v>5.9</v>
      </c>
      <c r="E624">
        <v>5.7</v>
      </c>
      <c r="F624">
        <v>0</v>
      </c>
      <c r="G624">
        <v>0</v>
      </c>
      <c r="H624">
        <v>0</v>
      </c>
      <c r="I624">
        <v>0</v>
      </c>
      <c r="J624">
        <v>6.8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J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-2.081</v>
      </c>
      <c r="AX624">
        <v>7.0333333333333332</v>
      </c>
      <c r="AY624">
        <v>780.21</v>
      </c>
      <c r="BB624">
        <v>1193.4000000000001</v>
      </c>
      <c r="BC624">
        <v>1.79</v>
      </c>
      <c r="BF624" t="s">
        <v>148</v>
      </c>
    </row>
    <row r="625" spans="1:58" x14ac:dyDescent="0.45">
      <c r="A625">
        <v>10624</v>
      </c>
      <c r="B625">
        <v>1</v>
      </c>
      <c r="C625">
        <v>79.5</v>
      </c>
      <c r="D625">
        <v>5.6</v>
      </c>
      <c r="E625">
        <v>6.8</v>
      </c>
      <c r="F625">
        <v>0</v>
      </c>
      <c r="G625">
        <v>0</v>
      </c>
      <c r="H625">
        <v>0</v>
      </c>
      <c r="I625">
        <v>0</v>
      </c>
      <c r="J625">
        <v>8.1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J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-1.0439999999999996</v>
      </c>
      <c r="AX625">
        <v>6.9499999999999993</v>
      </c>
      <c r="AY625">
        <v>757.63</v>
      </c>
      <c r="BB625">
        <v>1293</v>
      </c>
      <c r="BC625">
        <v>2.0099999999999998</v>
      </c>
      <c r="BF625" t="s">
        <v>148</v>
      </c>
    </row>
    <row r="626" spans="1:58" x14ac:dyDescent="0.45">
      <c r="A626">
        <v>10625</v>
      </c>
      <c r="B626">
        <v>1</v>
      </c>
      <c r="C626">
        <v>77.599999999999994</v>
      </c>
      <c r="D626">
        <v>5.3</v>
      </c>
      <c r="E626">
        <v>7.8</v>
      </c>
      <c r="F626">
        <v>0</v>
      </c>
      <c r="G626">
        <v>0</v>
      </c>
      <c r="H626">
        <v>0</v>
      </c>
      <c r="I626">
        <v>0</v>
      </c>
      <c r="J626">
        <v>9.3000000000000007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J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-7.3999999999999844E-2</v>
      </c>
      <c r="AX626">
        <v>6.85</v>
      </c>
      <c r="AY626">
        <v>736.92000000000007</v>
      </c>
      <c r="BB626">
        <v>1253.07</v>
      </c>
      <c r="BC626">
        <v>4.79</v>
      </c>
      <c r="BF626" t="s">
        <v>148</v>
      </c>
    </row>
    <row r="627" spans="1:58" x14ac:dyDescent="0.45">
      <c r="A627">
        <v>10626</v>
      </c>
      <c r="B627">
        <v>1</v>
      </c>
      <c r="C627">
        <v>90.1</v>
      </c>
      <c r="D627">
        <v>7.1</v>
      </c>
      <c r="E627">
        <v>1.2</v>
      </c>
      <c r="F627">
        <v>0</v>
      </c>
      <c r="G627">
        <v>0</v>
      </c>
      <c r="H627">
        <v>0</v>
      </c>
      <c r="I627">
        <v>0</v>
      </c>
      <c r="J627">
        <v>1.6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Z627">
        <v>0</v>
      </c>
      <c r="AA627">
        <v>1</v>
      </c>
      <c r="AB627">
        <v>0</v>
      </c>
      <c r="AC627">
        <v>0</v>
      </c>
      <c r="AD627">
        <v>0</v>
      </c>
      <c r="AJ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-6.2959999999999994</v>
      </c>
      <c r="AX627">
        <v>7.3666666666666663</v>
      </c>
      <c r="AY627">
        <v>871.71</v>
      </c>
      <c r="BB627">
        <v>787.75</v>
      </c>
      <c r="BC627">
        <v>14</v>
      </c>
      <c r="BF627" t="s">
        <v>149</v>
      </c>
    </row>
    <row r="628" spans="1:58" x14ac:dyDescent="0.45">
      <c r="A628">
        <v>10627</v>
      </c>
      <c r="B628">
        <v>1</v>
      </c>
      <c r="C628">
        <v>87.9</v>
      </c>
      <c r="D628">
        <v>6.8</v>
      </c>
      <c r="E628">
        <v>2.4</v>
      </c>
      <c r="F628">
        <v>0</v>
      </c>
      <c r="G628">
        <v>0</v>
      </c>
      <c r="H628">
        <v>0</v>
      </c>
      <c r="I628">
        <v>0</v>
      </c>
      <c r="J628">
        <v>2.9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Z628">
        <v>0</v>
      </c>
      <c r="AA628">
        <v>1</v>
      </c>
      <c r="AB628">
        <v>0</v>
      </c>
      <c r="AC628">
        <v>0</v>
      </c>
      <c r="AD628">
        <v>0</v>
      </c>
      <c r="AJ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-5.1920000000000002</v>
      </c>
      <c r="AX628">
        <v>7.2833333333333332</v>
      </c>
      <c r="AY628">
        <v>847.94999999999993</v>
      </c>
      <c r="BB628">
        <v>840.86</v>
      </c>
      <c r="BC628">
        <v>10.44</v>
      </c>
      <c r="BF628" t="s">
        <v>149</v>
      </c>
    </row>
    <row r="629" spans="1:58" x14ac:dyDescent="0.45">
      <c r="A629">
        <v>10628</v>
      </c>
      <c r="B629">
        <v>1</v>
      </c>
      <c r="C629">
        <v>85.8</v>
      </c>
      <c r="D629">
        <v>6.5</v>
      </c>
      <c r="E629">
        <v>3.5</v>
      </c>
      <c r="F629">
        <v>0</v>
      </c>
      <c r="G629">
        <v>0</v>
      </c>
      <c r="H629">
        <v>0</v>
      </c>
      <c r="I629">
        <v>0</v>
      </c>
      <c r="J629">
        <v>4.2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Z629">
        <v>0</v>
      </c>
      <c r="AA629">
        <v>1</v>
      </c>
      <c r="AB629">
        <v>0</v>
      </c>
      <c r="AC629">
        <v>0</v>
      </c>
      <c r="AD629">
        <v>0</v>
      </c>
      <c r="AJ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-4.1549999999999994</v>
      </c>
      <c r="AX629">
        <v>7.2</v>
      </c>
      <c r="AY629">
        <v>825.37</v>
      </c>
      <c r="BB629">
        <v>963.77</v>
      </c>
      <c r="BC629">
        <v>7.2</v>
      </c>
      <c r="BE629" t="s">
        <v>251</v>
      </c>
      <c r="BF629" t="s">
        <v>149</v>
      </c>
    </row>
    <row r="630" spans="1:58" x14ac:dyDescent="0.45">
      <c r="A630">
        <v>10629</v>
      </c>
      <c r="B630">
        <v>1</v>
      </c>
      <c r="C630">
        <v>83.6</v>
      </c>
      <c r="D630">
        <v>6.2</v>
      </c>
      <c r="E630">
        <v>4.5999999999999996</v>
      </c>
      <c r="F630">
        <v>0</v>
      </c>
      <c r="G630">
        <v>0</v>
      </c>
      <c r="H630">
        <v>0</v>
      </c>
      <c r="I630">
        <v>0</v>
      </c>
      <c r="J630">
        <v>5.6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Z630">
        <v>0</v>
      </c>
      <c r="AA630">
        <v>1</v>
      </c>
      <c r="AB630">
        <v>0</v>
      </c>
      <c r="AC630">
        <v>0</v>
      </c>
      <c r="AD630">
        <v>0</v>
      </c>
      <c r="AJ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-3.1180000000000003</v>
      </c>
      <c r="AX630">
        <v>7.1333333333333337</v>
      </c>
      <c r="AY630">
        <v>802.1</v>
      </c>
      <c r="BB630">
        <v>1070.49</v>
      </c>
      <c r="BC630">
        <v>5.24</v>
      </c>
      <c r="BE630" t="s">
        <v>251</v>
      </c>
      <c r="BF630" t="s">
        <v>149</v>
      </c>
    </row>
    <row r="631" spans="1:58" x14ac:dyDescent="0.45">
      <c r="A631">
        <v>10630</v>
      </c>
      <c r="B631">
        <v>1</v>
      </c>
      <c r="C631">
        <v>81.599999999999994</v>
      </c>
      <c r="D631">
        <v>5.9</v>
      </c>
      <c r="E631">
        <v>5.7</v>
      </c>
      <c r="F631">
        <v>0</v>
      </c>
      <c r="G631">
        <v>0</v>
      </c>
      <c r="H631">
        <v>0</v>
      </c>
      <c r="I631">
        <v>0</v>
      </c>
      <c r="J631">
        <v>6.8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Z631">
        <v>0</v>
      </c>
      <c r="AA631">
        <v>1</v>
      </c>
      <c r="AB631">
        <v>0</v>
      </c>
      <c r="AC631">
        <v>0</v>
      </c>
      <c r="AD631">
        <v>0</v>
      </c>
      <c r="AJ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-2.081</v>
      </c>
      <c r="AX631">
        <v>7.0333333333333332</v>
      </c>
      <c r="AY631">
        <v>780.21</v>
      </c>
      <c r="BB631">
        <v>1193.4000000000001</v>
      </c>
      <c r="BC631">
        <v>1.81</v>
      </c>
      <c r="BE631" t="s">
        <v>251</v>
      </c>
      <c r="BF631" t="s">
        <v>149</v>
      </c>
    </row>
    <row r="632" spans="1:58" x14ac:dyDescent="0.45">
      <c r="A632">
        <v>10631</v>
      </c>
      <c r="B632">
        <v>1</v>
      </c>
      <c r="C632">
        <v>79.5</v>
      </c>
      <c r="D632">
        <v>5.6</v>
      </c>
      <c r="E632">
        <v>6.8</v>
      </c>
      <c r="F632">
        <v>0</v>
      </c>
      <c r="G632">
        <v>0</v>
      </c>
      <c r="H632">
        <v>0</v>
      </c>
      <c r="I632">
        <v>0</v>
      </c>
      <c r="J632">
        <v>8.1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J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-1.0439999999999996</v>
      </c>
      <c r="AX632">
        <v>6.9499999999999993</v>
      </c>
      <c r="AY632">
        <v>757.63</v>
      </c>
      <c r="BB632">
        <v>1293</v>
      </c>
      <c r="BC632">
        <v>2</v>
      </c>
      <c r="BE632" t="s">
        <v>251</v>
      </c>
      <c r="BF632" t="s">
        <v>149</v>
      </c>
    </row>
    <row r="633" spans="1:58" x14ac:dyDescent="0.45">
      <c r="A633">
        <v>10632</v>
      </c>
      <c r="B633">
        <v>1</v>
      </c>
      <c r="C633">
        <v>77.599999999999994</v>
      </c>
      <c r="D633">
        <v>5.3</v>
      </c>
      <c r="E633">
        <v>7.8</v>
      </c>
      <c r="F633">
        <v>0</v>
      </c>
      <c r="G633">
        <v>0</v>
      </c>
      <c r="H633">
        <v>0</v>
      </c>
      <c r="I633">
        <v>0</v>
      </c>
      <c r="J633">
        <v>9.3000000000000007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Z633">
        <v>0</v>
      </c>
      <c r="AA633">
        <v>1</v>
      </c>
      <c r="AB633">
        <v>0</v>
      </c>
      <c r="AC633">
        <v>0</v>
      </c>
      <c r="AD633">
        <v>0</v>
      </c>
      <c r="AJ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-7.3999999999999844E-2</v>
      </c>
      <c r="AX633">
        <v>6.85</v>
      </c>
      <c r="AY633">
        <v>736.92000000000007</v>
      </c>
      <c r="BB633">
        <v>1253.07</v>
      </c>
      <c r="BC633">
        <v>4.63</v>
      </c>
      <c r="BE633" t="s">
        <v>287</v>
      </c>
      <c r="BF633" t="s">
        <v>149</v>
      </c>
    </row>
    <row r="634" spans="1:58" x14ac:dyDescent="0.45">
      <c r="A634">
        <v>10633</v>
      </c>
      <c r="B634">
        <v>1</v>
      </c>
      <c r="C634">
        <v>69.33</v>
      </c>
      <c r="D634">
        <v>9.92</v>
      </c>
      <c r="E634">
        <v>3.15</v>
      </c>
      <c r="F634">
        <v>0</v>
      </c>
      <c r="G634">
        <v>0</v>
      </c>
      <c r="H634">
        <v>0</v>
      </c>
      <c r="I634">
        <v>0</v>
      </c>
      <c r="J634">
        <v>17.599999999999998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Z634">
        <v>0</v>
      </c>
      <c r="AA634">
        <v>1</v>
      </c>
      <c r="AB634">
        <v>0</v>
      </c>
      <c r="AC634">
        <v>0</v>
      </c>
      <c r="AD634">
        <v>1</v>
      </c>
      <c r="AE634">
        <f>AY634</f>
        <v>744.22200000000009</v>
      </c>
      <c r="AF634">
        <v>0</v>
      </c>
      <c r="AG634">
        <v>0</v>
      </c>
      <c r="AH634">
        <v>1</v>
      </c>
      <c r="AI634">
        <v>0</v>
      </c>
      <c r="AJ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-7.8094999999999999</v>
      </c>
      <c r="AX634">
        <v>12.853333333333333</v>
      </c>
      <c r="AY634">
        <v>744.22200000000009</v>
      </c>
      <c r="AZ634">
        <v>97</v>
      </c>
      <c r="BA634">
        <v>1181</v>
      </c>
      <c r="BE634" t="s">
        <v>288</v>
      </c>
      <c r="BF634" t="s">
        <v>60</v>
      </c>
    </row>
    <row r="635" spans="1:58" x14ac:dyDescent="0.45">
      <c r="A635">
        <v>10634</v>
      </c>
      <c r="B635">
        <v>1</v>
      </c>
      <c r="C635">
        <v>57.69</v>
      </c>
      <c r="D635">
        <v>10.89</v>
      </c>
      <c r="E635">
        <v>1.1499999999999999</v>
      </c>
      <c r="F635">
        <v>0</v>
      </c>
      <c r="G635">
        <v>0</v>
      </c>
      <c r="H635">
        <v>0</v>
      </c>
      <c r="I635">
        <v>0</v>
      </c>
      <c r="J635">
        <v>30.270000000000003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Z635">
        <v>0</v>
      </c>
      <c r="AA635">
        <v>1</v>
      </c>
      <c r="AB635">
        <v>0</v>
      </c>
      <c r="AC635">
        <v>0</v>
      </c>
      <c r="AD635">
        <v>1</v>
      </c>
      <c r="AE635">
        <f>AY635</f>
        <v>682.43599999999992</v>
      </c>
      <c r="AF635">
        <v>0</v>
      </c>
      <c r="AG635">
        <v>1</v>
      </c>
      <c r="AH635">
        <v>0</v>
      </c>
      <c r="AI635">
        <v>0</v>
      </c>
      <c r="AJ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-10.1195</v>
      </c>
      <c r="AX635">
        <v>15.935000000000002</v>
      </c>
      <c r="AY635">
        <v>682.43599999999992</v>
      </c>
      <c r="AZ635">
        <v>72</v>
      </c>
      <c r="BA635">
        <v>740</v>
      </c>
      <c r="BE635" t="s">
        <v>289</v>
      </c>
      <c r="BF635" t="s">
        <v>60</v>
      </c>
    </row>
    <row r="636" spans="1:58" x14ac:dyDescent="0.45">
      <c r="A636">
        <v>10635</v>
      </c>
      <c r="B636">
        <v>1</v>
      </c>
      <c r="C636">
        <v>56.220000000000006</v>
      </c>
      <c r="D636">
        <v>10.84</v>
      </c>
      <c r="E636">
        <v>3.45</v>
      </c>
      <c r="F636">
        <v>0</v>
      </c>
      <c r="G636">
        <v>0</v>
      </c>
      <c r="H636">
        <v>0</v>
      </c>
      <c r="I636">
        <v>0</v>
      </c>
      <c r="J636">
        <v>29.5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f>AY636</f>
        <v>660.50399999999991</v>
      </c>
      <c r="AF636">
        <v>0</v>
      </c>
      <c r="AG636">
        <v>1</v>
      </c>
      <c r="AH636">
        <v>0</v>
      </c>
      <c r="AI636">
        <v>0</v>
      </c>
      <c r="AJ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-8.5284999999999993</v>
      </c>
      <c r="AX636">
        <v>15.756666666666668</v>
      </c>
      <c r="AY636">
        <v>660.50399999999991</v>
      </c>
      <c r="AZ636">
        <v>68</v>
      </c>
      <c r="BA636">
        <v>690</v>
      </c>
      <c r="BE636" t="s">
        <v>290</v>
      </c>
      <c r="BF636" t="s">
        <v>60</v>
      </c>
    </row>
    <row r="637" spans="1:58" x14ac:dyDescent="0.45">
      <c r="A637">
        <v>10636</v>
      </c>
      <c r="B637">
        <v>1</v>
      </c>
      <c r="C637">
        <v>54.76</v>
      </c>
      <c r="D637">
        <v>10.79</v>
      </c>
      <c r="E637">
        <v>5.72</v>
      </c>
      <c r="F637">
        <v>0</v>
      </c>
      <c r="G637">
        <v>0</v>
      </c>
      <c r="H637">
        <v>0</v>
      </c>
      <c r="I637">
        <v>0</v>
      </c>
      <c r="J637">
        <v>28.73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Z637">
        <v>0</v>
      </c>
      <c r="AA637">
        <v>1</v>
      </c>
      <c r="AB637">
        <v>0</v>
      </c>
      <c r="AC637">
        <v>0</v>
      </c>
      <c r="AD637">
        <v>1</v>
      </c>
      <c r="AE637">
        <f>AY637</f>
        <v>638.92600000000004</v>
      </c>
      <c r="AF637">
        <v>0</v>
      </c>
      <c r="AG637">
        <v>1</v>
      </c>
      <c r="AH637">
        <v>0</v>
      </c>
      <c r="AI637">
        <v>0</v>
      </c>
      <c r="AJ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-6.9575999999999993</v>
      </c>
      <c r="AX637">
        <v>15.578333333333333</v>
      </c>
      <c r="AY637">
        <v>638.92600000000004</v>
      </c>
      <c r="AZ637">
        <v>73</v>
      </c>
      <c r="BA637">
        <v>955</v>
      </c>
      <c r="BF637" t="s">
        <v>60</v>
      </c>
    </row>
    <row r="638" spans="1:58" x14ac:dyDescent="0.45">
      <c r="A638">
        <v>10637</v>
      </c>
      <c r="B638">
        <v>1</v>
      </c>
      <c r="C638">
        <v>53.31</v>
      </c>
      <c r="D638">
        <v>10.75</v>
      </c>
      <c r="E638">
        <v>7.9699999999999989</v>
      </c>
      <c r="F638">
        <v>0</v>
      </c>
      <c r="G638">
        <v>0</v>
      </c>
      <c r="H638">
        <v>0</v>
      </c>
      <c r="I638">
        <v>0</v>
      </c>
      <c r="J638">
        <v>27.97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Z638">
        <v>0</v>
      </c>
      <c r="AA638">
        <v>1</v>
      </c>
      <c r="AB638">
        <v>0</v>
      </c>
      <c r="AC638">
        <v>0</v>
      </c>
      <c r="AD638">
        <v>1</v>
      </c>
      <c r="AE638">
        <f>AY638</f>
        <v>617.53600000000006</v>
      </c>
      <c r="AF638">
        <v>0</v>
      </c>
      <c r="AG638">
        <v>1</v>
      </c>
      <c r="AH638">
        <v>0</v>
      </c>
      <c r="AI638">
        <v>0</v>
      </c>
      <c r="AJ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-5.4101000000000008</v>
      </c>
      <c r="AX638">
        <v>15.411666666666665</v>
      </c>
      <c r="AY638">
        <v>617.53600000000006</v>
      </c>
      <c r="AZ638">
        <v>81</v>
      </c>
      <c r="BA638">
        <v>1065</v>
      </c>
      <c r="BE638" t="s">
        <v>252</v>
      </c>
      <c r="BF638" t="s">
        <v>60</v>
      </c>
    </row>
    <row r="639" spans="1:58" x14ac:dyDescent="0.45">
      <c r="A639">
        <v>10638</v>
      </c>
      <c r="B639">
        <v>1</v>
      </c>
      <c r="C639">
        <v>89.02</v>
      </c>
      <c r="D639">
        <v>5.07</v>
      </c>
      <c r="E639">
        <v>2.96</v>
      </c>
      <c r="F639">
        <v>0</v>
      </c>
      <c r="G639">
        <v>0</v>
      </c>
      <c r="H639">
        <v>0</v>
      </c>
      <c r="I639">
        <v>0</v>
      </c>
      <c r="J639">
        <v>2.95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>
        <v>700</v>
      </c>
      <c r="AF639">
        <v>1</v>
      </c>
      <c r="AG639">
        <v>0</v>
      </c>
      <c r="AH639">
        <v>1</v>
      </c>
      <c r="AI639">
        <v>0</v>
      </c>
      <c r="AJ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-3.0868000000000002</v>
      </c>
      <c r="AX639">
        <v>5.5616666666666674</v>
      </c>
      <c r="AY639">
        <v>837.36400000000003</v>
      </c>
      <c r="BA639">
        <v>832.57899999999995</v>
      </c>
      <c r="BB639">
        <v>904.97699999999998</v>
      </c>
      <c r="BC639">
        <v>17.3749</v>
      </c>
      <c r="BE639" t="s">
        <v>252</v>
      </c>
      <c r="BF639" t="s">
        <v>108</v>
      </c>
    </row>
    <row r="640" spans="1:58" x14ac:dyDescent="0.45">
      <c r="A640">
        <v>10639</v>
      </c>
      <c r="B640">
        <v>1</v>
      </c>
      <c r="C640">
        <v>89.02</v>
      </c>
      <c r="D640">
        <v>5.07</v>
      </c>
      <c r="E640">
        <v>2.96</v>
      </c>
      <c r="F640">
        <v>0</v>
      </c>
      <c r="G640">
        <v>0</v>
      </c>
      <c r="H640">
        <v>0</v>
      </c>
      <c r="I640">
        <v>0</v>
      </c>
      <c r="J640">
        <v>2.95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750</v>
      </c>
      <c r="AF640">
        <v>1</v>
      </c>
      <c r="AG640">
        <v>0</v>
      </c>
      <c r="AH640">
        <v>1</v>
      </c>
      <c r="AI640">
        <v>0</v>
      </c>
      <c r="AJ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-3.0868000000000002</v>
      </c>
      <c r="AX640">
        <v>5.5616666666666674</v>
      </c>
      <c r="AY640">
        <v>837.36400000000003</v>
      </c>
      <c r="BA640">
        <v>744.34400000000005</v>
      </c>
      <c r="BB640">
        <v>839.36699999999996</v>
      </c>
      <c r="BC640">
        <v>18.279499999999999</v>
      </c>
      <c r="BE640" t="s">
        <v>252</v>
      </c>
      <c r="BF640" t="s">
        <v>108</v>
      </c>
    </row>
    <row r="641" spans="1:58" x14ac:dyDescent="0.45">
      <c r="A641">
        <v>10640</v>
      </c>
      <c r="B641">
        <v>1</v>
      </c>
      <c r="C641">
        <v>89.02</v>
      </c>
      <c r="D641">
        <v>5.07</v>
      </c>
      <c r="E641">
        <v>2.96</v>
      </c>
      <c r="F641">
        <v>0</v>
      </c>
      <c r="G641">
        <v>0</v>
      </c>
      <c r="H641">
        <v>0</v>
      </c>
      <c r="I641">
        <v>0</v>
      </c>
      <c r="J641">
        <v>2.95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Z641">
        <v>1</v>
      </c>
      <c r="AA641">
        <v>0</v>
      </c>
      <c r="AB641">
        <v>0</v>
      </c>
      <c r="AC641">
        <v>0</v>
      </c>
      <c r="AD641">
        <v>1</v>
      </c>
      <c r="AE641">
        <v>800</v>
      </c>
      <c r="AF641">
        <v>1</v>
      </c>
      <c r="AG641">
        <v>0</v>
      </c>
      <c r="AH641">
        <v>1</v>
      </c>
      <c r="AI641">
        <v>0</v>
      </c>
      <c r="AJ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-3.0868000000000002</v>
      </c>
      <c r="AX641">
        <v>5.5616666666666674</v>
      </c>
      <c r="AY641">
        <v>837.36400000000003</v>
      </c>
      <c r="BA641">
        <v>721.71900000000005</v>
      </c>
      <c r="BB641">
        <v>823.529</v>
      </c>
      <c r="BC641">
        <v>18.341200000000001</v>
      </c>
      <c r="BE641" t="s">
        <v>291</v>
      </c>
      <c r="BF641" t="s">
        <v>108</v>
      </c>
    </row>
    <row r="642" spans="1:58" x14ac:dyDescent="0.45">
      <c r="A642">
        <v>10641</v>
      </c>
      <c r="B642">
        <v>1</v>
      </c>
      <c r="C642">
        <v>89.02</v>
      </c>
      <c r="D642">
        <v>5.07</v>
      </c>
      <c r="E642">
        <v>2.96</v>
      </c>
      <c r="F642">
        <v>0</v>
      </c>
      <c r="G642">
        <v>0</v>
      </c>
      <c r="H642">
        <v>0</v>
      </c>
      <c r="I642">
        <v>0</v>
      </c>
      <c r="J642">
        <v>2.95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900</v>
      </c>
      <c r="AF642">
        <v>1</v>
      </c>
      <c r="AG642">
        <v>0</v>
      </c>
      <c r="AH642">
        <v>1</v>
      </c>
      <c r="AI642">
        <v>0</v>
      </c>
      <c r="AJ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-3.0868000000000002</v>
      </c>
      <c r="AX642">
        <v>5.5616666666666674</v>
      </c>
      <c r="AY642">
        <v>837.36400000000003</v>
      </c>
      <c r="BA642">
        <v>721.71900000000005</v>
      </c>
      <c r="BB642">
        <v>841.62900000000002</v>
      </c>
      <c r="BC642">
        <v>18.224599999999999</v>
      </c>
      <c r="BE642" t="s">
        <v>292</v>
      </c>
      <c r="BF642" t="s">
        <v>108</v>
      </c>
    </row>
    <row r="643" spans="1:58" x14ac:dyDescent="0.45">
      <c r="A643">
        <v>10642</v>
      </c>
      <c r="B643">
        <v>1</v>
      </c>
      <c r="C643">
        <v>89.02</v>
      </c>
      <c r="D643">
        <v>5.07</v>
      </c>
      <c r="E643">
        <v>2.96</v>
      </c>
      <c r="F643">
        <v>0</v>
      </c>
      <c r="G643">
        <v>0</v>
      </c>
      <c r="H643">
        <v>0</v>
      </c>
      <c r="I643">
        <v>0</v>
      </c>
      <c r="J643">
        <v>2.95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Z643">
        <v>1</v>
      </c>
      <c r="AA643">
        <v>0</v>
      </c>
      <c r="AB643">
        <v>0</v>
      </c>
      <c r="AC643">
        <v>0</v>
      </c>
      <c r="AD643">
        <v>1</v>
      </c>
      <c r="AE643">
        <v>950</v>
      </c>
      <c r="AF643">
        <v>1</v>
      </c>
      <c r="AG643">
        <v>0</v>
      </c>
      <c r="AH643">
        <v>1</v>
      </c>
      <c r="AI643">
        <v>0</v>
      </c>
      <c r="AJ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-3.0868000000000002</v>
      </c>
      <c r="AX643">
        <v>5.5616666666666674</v>
      </c>
      <c r="AY643">
        <v>837.36400000000003</v>
      </c>
      <c r="BA643">
        <v>676.471</v>
      </c>
      <c r="BB643">
        <v>837.10400000000004</v>
      </c>
      <c r="BC643">
        <v>14.2483</v>
      </c>
      <c r="BE643" t="s">
        <v>293</v>
      </c>
      <c r="BF643" t="s">
        <v>108</v>
      </c>
    </row>
    <row r="644" spans="1:58" x14ac:dyDescent="0.45">
      <c r="A644">
        <v>10643</v>
      </c>
      <c r="B644">
        <v>1</v>
      </c>
      <c r="C644">
        <v>64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30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1000</v>
      </c>
      <c r="Y644">
        <v>70</v>
      </c>
      <c r="Z644">
        <v>0</v>
      </c>
      <c r="AA644">
        <v>1</v>
      </c>
      <c r="AB644">
        <v>0</v>
      </c>
      <c r="AC644">
        <v>0</v>
      </c>
      <c r="AD644">
        <v>1</v>
      </c>
      <c r="AE644">
        <v>850</v>
      </c>
      <c r="AF644">
        <v>1</v>
      </c>
      <c r="AG644">
        <v>1</v>
      </c>
      <c r="AH644">
        <v>0</v>
      </c>
      <c r="AI644">
        <v>0</v>
      </c>
      <c r="AJ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4</v>
      </c>
      <c r="AX644">
        <v>6</v>
      </c>
      <c r="AY644">
        <v>629.6</v>
      </c>
      <c r="BB644">
        <v>762</v>
      </c>
      <c r="BC644">
        <v>18.32</v>
      </c>
      <c r="BE644" t="s">
        <v>294</v>
      </c>
      <c r="BF644" t="s">
        <v>150</v>
      </c>
    </row>
    <row r="645" spans="1:58" x14ac:dyDescent="0.45">
      <c r="A645">
        <v>10644</v>
      </c>
      <c r="B645">
        <v>1</v>
      </c>
      <c r="C645">
        <v>62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30</v>
      </c>
      <c r="K645">
        <v>0</v>
      </c>
      <c r="L645">
        <v>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1000</v>
      </c>
      <c r="Y645">
        <v>70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850</v>
      </c>
      <c r="AF645">
        <v>1</v>
      </c>
      <c r="AG645">
        <v>1</v>
      </c>
      <c r="AH645">
        <v>0</v>
      </c>
      <c r="AI645">
        <v>0</v>
      </c>
      <c r="AJ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4</v>
      </c>
      <c r="AX645">
        <v>7</v>
      </c>
      <c r="AY645">
        <v>622.20000000000005</v>
      </c>
      <c r="BB645">
        <v>723</v>
      </c>
      <c r="BC645">
        <v>33.32</v>
      </c>
      <c r="BE645" t="s">
        <v>294</v>
      </c>
      <c r="BF645" t="s">
        <v>151</v>
      </c>
    </row>
    <row r="646" spans="1:58" x14ac:dyDescent="0.45">
      <c r="A646">
        <v>10645</v>
      </c>
      <c r="B646">
        <v>1</v>
      </c>
      <c r="C646">
        <v>60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30</v>
      </c>
      <c r="K646">
        <v>0</v>
      </c>
      <c r="L646">
        <v>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1000</v>
      </c>
      <c r="Y646">
        <v>70</v>
      </c>
      <c r="Z646">
        <v>0</v>
      </c>
      <c r="AA646">
        <v>1</v>
      </c>
      <c r="AB646">
        <v>0</v>
      </c>
      <c r="AC646">
        <v>0</v>
      </c>
      <c r="AD646">
        <v>1</v>
      </c>
      <c r="AE646">
        <v>850</v>
      </c>
      <c r="AF646">
        <v>1</v>
      </c>
      <c r="AG646">
        <v>1</v>
      </c>
      <c r="AH646">
        <v>0</v>
      </c>
      <c r="AI646">
        <v>0</v>
      </c>
      <c r="AJ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4</v>
      </c>
      <c r="AX646">
        <v>8</v>
      </c>
      <c r="AY646">
        <v>614.79999999999995</v>
      </c>
      <c r="BB646">
        <v>782</v>
      </c>
      <c r="BC646">
        <v>18.850000000000001</v>
      </c>
      <c r="BE646" t="s">
        <v>294</v>
      </c>
      <c r="BF646" t="s">
        <v>152</v>
      </c>
    </row>
    <row r="647" spans="1:58" x14ac:dyDescent="0.45">
      <c r="A647">
        <v>10646</v>
      </c>
      <c r="B647">
        <v>0</v>
      </c>
      <c r="C647">
        <v>88.05</v>
      </c>
      <c r="D647">
        <v>6.5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1.9</v>
      </c>
      <c r="K647">
        <v>0</v>
      </c>
      <c r="L647">
        <v>3.3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J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-3.2</v>
      </c>
      <c r="AX647">
        <v>6.8166666666666664</v>
      </c>
      <c r="AY647">
        <v>851.18999999999994</v>
      </c>
      <c r="BE647" t="s">
        <v>294</v>
      </c>
      <c r="BF647" t="s">
        <v>154</v>
      </c>
    </row>
    <row r="648" spans="1:58" x14ac:dyDescent="0.45">
      <c r="A648">
        <v>10647</v>
      </c>
      <c r="B648">
        <v>0</v>
      </c>
      <c r="C648">
        <v>88.05</v>
      </c>
      <c r="D648">
        <v>6.5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1.9</v>
      </c>
      <c r="K648">
        <v>0</v>
      </c>
      <c r="L648">
        <v>3.3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Z648">
        <v>1</v>
      </c>
      <c r="AA648">
        <v>0</v>
      </c>
      <c r="AB648">
        <v>0</v>
      </c>
      <c r="AC648">
        <v>0</v>
      </c>
      <c r="AD648">
        <v>1</v>
      </c>
      <c r="AE648">
        <v>530</v>
      </c>
      <c r="AF648">
        <v>6</v>
      </c>
      <c r="AG648">
        <v>0</v>
      </c>
      <c r="AH648">
        <v>1</v>
      </c>
      <c r="AI648">
        <v>0</v>
      </c>
      <c r="AJ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-3.2</v>
      </c>
      <c r="AX648">
        <v>6.8166666666666664</v>
      </c>
      <c r="AY648">
        <v>851.18999999999994</v>
      </c>
      <c r="BE648" t="s">
        <v>294</v>
      </c>
      <c r="BF648" t="s">
        <v>154</v>
      </c>
    </row>
    <row r="649" spans="1:58" x14ac:dyDescent="0.45">
      <c r="A649">
        <v>10648</v>
      </c>
      <c r="B649">
        <v>0</v>
      </c>
      <c r="C649">
        <v>88.05</v>
      </c>
      <c r="D649">
        <v>6.5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1.9</v>
      </c>
      <c r="K649">
        <v>0</v>
      </c>
      <c r="L649">
        <v>3.3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>
        <v>700</v>
      </c>
      <c r="AF649">
        <v>6</v>
      </c>
      <c r="AG649">
        <v>0</v>
      </c>
      <c r="AH649">
        <v>1</v>
      </c>
      <c r="AI649">
        <v>0</v>
      </c>
      <c r="AJ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-3.2</v>
      </c>
      <c r="AX649">
        <v>6.8166666666666664</v>
      </c>
      <c r="AY649">
        <v>851.18999999999994</v>
      </c>
      <c r="BE649" t="s">
        <v>295</v>
      </c>
      <c r="BF649" t="s">
        <v>154</v>
      </c>
    </row>
    <row r="650" spans="1:58" x14ac:dyDescent="0.45">
      <c r="A650">
        <v>10649</v>
      </c>
      <c r="B650">
        <v>0</v>
      </c>
      <c r="C650">
        <v>88.05</v>
      </c>
      <c r="D650">
        <v>6.5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1.9</v>
      </c>
      <c r="K650">
        <v>0</v>
      </c>
      <c r="L650">
        <v>3.3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Z650">
        <v>1</v>
      </c>
      <c r="AA650">
        <v>0</v>
      </c>
      <c r="AB650">
        <v>0</v>
      </c>
      <c r="AC650">
        <v>0</v>
      </c>
      <c r="AD650">
        <v>1</v>
      </c>
      <c r="AE650">
        <v>960</v>
      </c>
      <c r="AF650">
        <v>1</v>
      </c>
      <c r="AG650">
        <v>0</v>
      </c>
      <c r="AH650">
        <v>1</v>
      </c>
      <c r="AI650">
        <v>0</v>
      </c>
      <c r="AJ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-3.2</v>
      </c>
      <c r="AX650">
        <v>6.8166666666666664</v>
      </c>
      <c r="AY650">
        <v>851.18999999999994</v>
      </c>
      <c r="BE650" t="s">
        <v>296</v>
      </c>
      <c r="BF650" t="s">
        <v>154</v>
      </c>
    </row>
    <row r="651" spans="1:58" x14ac:dyDescent="0.45">
      <c r="A651">
        <v>10650</v>
      </c>
      <c r="B651">
        <v>0</v>
      </c>
      <c r="C651">
        <v>88.05</v>
      </c>
      <c r="D651">
        <v>6.5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1.9</v>
      </c>
      <c r="K651">
        <v>0</v>
      </c>
      <c r="L651">
        <v>3.3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960</v>
      </c>
      <c r="AF651">
        <v>1</v>
      </c>
      <c r="AG651">
        <v>1</v>
      </c>
      <c r="AH651">
        <v>0</v>
      </c>
      <c r="AI651">
        <v>0</v>
      </c>
      <c r="AJ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-3.2</v>
      </c>
      <c r="AX651">
        <v>6.8166666666666664</v>
      </c>
      <c r="AY651">
        <v>851.18999999999994</v>
      </c>
      <c r="BE651" t="s">
        <v>297</v>
      </c>
      <c r="BF651" t="s">
        <v>154</v>
      </c>
    </row>
    <row r="652" spans="1:58" x14ac:dyDescent="0.45">
      <c r="A652">
        <v>10651</v>
      </c>
      <c r="B652">
        <v>0</v>
      </c>
      <c r="C652">
        <v>88.05</v>
      </c>
      <c r="D652">
        <v>6.5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1.9</v>
      </c>
      <c r="K652">
        <v>0</v>
      </c>
      <c r="L652">
        <v>3.3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Z652">
        <v>1</v>
      </c>
      <c r="AA652">
        <v>0</v>
      </c>
      <c r="AB652">
        <v>0</v>
      </c>
      <c r="AC652">
        <v>0</v>
      </c>
      <c r="AD652">
        <v>1</v>
      </c>
      <c r="AE652">
        <v>960</v>
      </c>
      <c r="AF652">
        <v>24</v>
      </c>
      <c r="AG652">
        <v>0</v>
      </c>
      <c r="AH652">
        <v>1</v>
      </c>
      <c r="AI652">
        <v>0</v>
      </c>
      <c r="AJ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-3.2</v>
      </c>
      <c r="AX652">
        <v>6.8166666666666664</v>
      </c>
      <c r="AY652">
        <v>851.18999999999994</v>
      </c>
      <c r="BE652" t="s">
        <v>298</v>
      </c>
      <c r="BF652" t="s">
        <v>154</v>
      </c>
    </row>
    <row r="653" spans="1:58" x14ac:dyDescent="0.45">
      <c r="A653">
        <v>10652</v>
      </c>
      <c r="B653">
        <v>1</v>
      </c>
      <c r="C653">
        <v>88.2</v>
      </c>
      <c r="D653">
        <v>6.5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1.5</v>
      </c>
      <c r="K653">
        <v>0</v>
      </c>
      <c r="L653">
        <v>3.5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Z653">
        <v>1</v>
      </c>
      <c r="AA653">
        <v>0</v>
      </c>
      <c r="AB653">
        <v>0</v>
      </c>
      <c r="AC653">
        <v>0</v>
      </c>
      <c r="AD653">
        <v>1</v>
      </c>
      <c r="AE653">
        <v>940</v>
      </c>
      <c r="AF653">
        <v>1</v>
      </c>
      <c r="AG653">
        <v>0</v>
      </c>
      <c r="AH653">
        <v>1</v>
      </c>
      <c r="AI653">
        <v>0</v>
      </c>
      <c r="AJ653">
        <v>1</v>
      </c>
      <c r="AK653">
        <v>530</v>
      </c>
      <c r="AL653">
        <v>6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-3</v>
      </c>
      <c r="AX653">
        <v>6.75</v>
      </c>
      <c r="AY653">
        <v>852.05</v>
      </c>
      <c r="BC653">
        <v>17.673300000000001</v>
      </c>
      <c r="BE653" t="s">
        <v>299</v>
      </c>
      <c r="BF653" t="s">
        <v>108</v>
      </c>
    </row>
    <row r="654" spans="1:58" x14ac:dyDescent="0.45">
      <c r="A654">
        <v>10653</v>
      </c>
      <c r="B654">
        <v>1</v>
      </c>
      <c r="C654">
        <v>88.2</v>
      </c>
      <c r="D654">
        <v>6.5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1.5</v>
      </c>
      <c r="K654">
        <v>0</v>
      </c>
      <c r="L654">
        <v>3.5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Z654">
        <v>1</v>
      </c>
      <c r="AA654">
        <v>0</v>
      </c>
      <c r="AB654">
        <v>0</v>
      </c>
      <c r="AC654">
        <v>0</v>
      </c>
      <c r="AD654">
        <v>1</v>
      </c>
      <c r="AE654">
        <v>940</v>
      </c>
      <c r="AF654">
        <v>1</v>
      </c>
      <c r="AG654">
        <v>1</v>
      </c>
      <c r="AH654">
        <v>0</v>
      </c>
      <c r="AI654">
        <v>0</v>
      </c>
      <c r="AJ654">
        <v>1</v>
      </c>
      <c r="AK654">
        <v>530</v>
      </c>
      <c r="AL654">
        <v>6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-3</v>
      </c>
      <c r="AX654">
        <v>6.75</v>
      </c>
      <c r="AY654">
        <v>852.05</v>
      </c>
      <c r="BC654">
        <v>7.1818299999999997</v>
      </c>
      <c r="BE654" t="s">
        <v>300</v>
      </c>
      <c r="BF654" t="s">
        <v>108</v>
      </c>
    </row>
    <row r="655" spans="1:58" x14ac:dyDescent="0.45">
      <c r="A655">
        <v>10654</v>
      </c>
      <c r="B655">
        <v>1</v>
      </c>
      <c r="C655">
        <v>88.2</v>
      </c>
      <c r="D655">
        <v>6.5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1.5</v>
      </c>
      <c r="K655">
        <v>0</v>
      </c>
      <c r="L655">
        <v>3.5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960</v>
      </c>
      <c r="AF655">
        <v>1</v>
      </c>
      <c r="AG655">
        <v>0</v>
      </c>
      <c r="AH655">
        <v>1</v>
      </c>
      <c r="AI655">
        <v>0</v>
      </c>
      <c r="AJ655">
        <v>1</v>
      </c>
      <c r="AK655">
        <v>530</v>
      </c>
      <c r="AL655">
        <v>6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-3</v>
      </c>
      <c r="AX655">
        <v>6.75</v>
      </c>
      <c r="AY655">
        <v>852.05</v>
      </c>
      <c r="BC655">
        <v>15.350300000000001</v>
      </c>
      <c r="BF655" t="s">
        <v>108</v>
      </c>
    </row>
    <row r="656" spans="1:58" x14ac:dyDescent="0.45">
      <c r="A656">
        <v>10655</v>
      </c>
      <c r="B656">
        <v>1</v>
      </c>
      <c r="C656">
        <v>88.2</v>
      </c>
      <c r="D656">
        <v>6.5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1.5</v>
      </c>
      <c r="K656">
        <v>0</v>
      </c>
      <c r="L656">
        <v>3.5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>
        <v>960</v>
      </c>
      <c r="AF656">
        <v>1</v>
      </c>
      <c r="AG656">
        <v>0</v>
      </c>
      <c r="AH656">
        <v>1</v>
      </c>
      <c r="AI656">
        <v>0</v>
      </c>
      <c r="AJ656">
        <v>1</v>
      </c>
      <c r="AK656">
        <v>530</v>
      </c>
      <c r="AL656">
        <v>6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-3</v>
      </c>
      <c r="AX656">
        <v>6.75</v>
      </c>
      <c r="AY656">
        <v>852.05</v>
      </c>
      <c r="BC656">
        <v>15.9556</v>
      </c>
      <c r="BF656" t="s">
        <v>108</v>
      </c>
    </row>
    <row r="657" spans="1:58" x14ac:dyDescent="0.45">
      <c r="A657">
        <v>10656</v>
      </c>
      <c r="B657">
        <v>1</v>
      </c>
      <c r="C657">
        <v>88.2</v>
      </c>
      <c r="D657">
        <v>6.5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1.5</v>
      </c>
      <c r="K657">
        <v>0</v>
      </c>
      <c r="L657">
        <v>3.5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Z657">
        <v>1</v>
      </c>
      <c r="AA657">
        <v>0</v>
      </c>
      <c r="AB657">
        <v>0</v>
      </c>
      <c r="AC657">
        <v>0</v>
      </c>
      <c r="AD657">
        <v>1</v>
      </c>
      <c r="AE657">
        <v>960</v>
      </c>
      <c r="AF657">
        <v>1</v>
      </c>
      <c r="AG657">
        <v>1</v>
      </c>
      <c r="AH657">
        <v>0</v>
      </c>
      <c r="AI657">
        <v>0</v>
      </c>
      <c r="AJ657">
        <v>1</v>
      </c>
      <c r="AK657">
        <v>530</v>
      </c>
      <c r="AL657">
        <v>6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-3</v>
      </c>
      <c r="AX657">
        <v>6.75</v>
      </c>
      <c r="AY657">
        <v>852.05</v>
      </c>
      <c r="BC657">
        <v>6.68804</v>
      </c>
      <c r="BF657" t="s">
        <v>108</v>
      </c>
    </row>
    <row r="658" spans="1:58" x14ac:dyDescent="0.45">
      <c r="A658">
        <v>10657</v>
      </c>
      <c r="B658">
        <v>1</v>
      </c>
      <c r="C658">
        <v>88.2</v>
      </c>
      <c r="D658">
        <v>6.5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1.5</v>
      </c>
      <c r="K658">
        <v>0</v>
      </c>
      <c r="L658">
        <v>3.5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980</v>
      </c>
      <c r="AF658">
        <v>1</v>
      </c>
      <c r="AG658">
        <v>0</v>
      </c>
      <c r="AH658">
        <v>1</v>
      </c>
      <c r="AI658">
        <v>0</v>
      </c>
      <c r="AJ658">
        <v>1</v>
      </c>
      <c r="AK658">
        <v>530</v>
      </c>
      <c r="AL658">
        <v>6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-3</v>
      </c>
      <c r="AX658">
        <v>6.75</v>
      </c>
      <c r="AY658">
        <v>852.05</v>
      </c>
      <c r="BC658">
        <v>15.8582</v>
      </c>
      <c r="BF658" t="s">
        <v>108</v>
      </c>
    </row>
    <row r="659" spans="1:58" x14ac:dyDescent="0.45">
      <c r="A659">
        <v>10658</v>
      </c>
      <c r="B659">
        <v>1</v>
      </c>
      <c r="C659">
        <v>88.2</v>
      </c>
      <c r="D659">
        <v>6.5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1.5</v>
      </c>
      <c r="K659">
        <v>0</v>
      </c>
      <c r="L659">
        <v>3.5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>
        <v>960</v>
      </c>
      <c r="AF659">
        <v>1</v>
      </c>
      <c r="AG659">
        <v>0</v>
      </c>
      <c r="AH659">
        <v>1</v>
      </c>
      <c r="AI659">
        <v>0</v>
      </c>
      <c r="AJ659">
        <v>1</v>
      </c>
      <c r="AK659">
        <v>530</v>
      </c>
      <c r="AL659">
        <v>1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-3</v>
      </c>
      <c r="AX659">
        <v>6.75</v>
      </c>
      <c r="AY659">
        <v>852.05</v>
      </c>
      <c r="BC659">
        <v>16.339600000000001</v>
      </c>
      <c r="BF659" t="s">
        <v>108</v>
      </c>
    </row>
    <row r="660" spans="1:58" x14ac:dyDescent="0.45">
      <c r="A660">
        <v>10659</v>
      </c>
      <c r="B660">
        <v>1</v>
      </c>
      <c r="C660">
        <v>88.2</v>
      </c>
      <c r="D660">
        <v>6.5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1.5</v>
      </c>
      <c r="K660">
        <v>0</v>
      </c>
      <c r="L660">
        <v>3.5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Z660">
        <v>1</v>
      </c>
      <c r="AA660">
        <v>0</v>
      </c>
      <c r="AB660">
        <v>0</v>
      </c>
      <c r="AC660">
        <v>0</v>
      </c>
      <c r="AD660">
        <v>1</v>
      </c>
      <c r="AE660">
        <v>960</v>
      </c>
      <c r="AF660">
        <v>1</v>
      </c>
      <c r="AG660">
        <v>0</v>
      </c>
      <c r="AH660">
        <v>1</v>
      </c>
      <c r="AI660">
        <v>0</v>
      </c>
      <c r="AJ660">
        <v>1</v>
      </c>
      <c r="AK660">
        <v>530</v>
      </c>
      <c r="AL660">
        <v>2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-3</v>
      </c>
      <c r="AX660">
        <v>6.75</v>
      </c>
      <c r="AY660">
        <v>852.05</v>
      </c>
      <c r="BC660">
        <v>18.302</v>
      </c>
      <c r="BF660" t="s">
        <v>108</v>
      </c>
    </row>
    <row r="661" spans="1:58" x14ac:dyDescent="0.45">
      <c r="A661">
        <v>10660</v>
      </c>
      <c r="B661">
        <v>1</v>
      </c>
      <c r="C661">
        <v>88.2</v>
      </c>
      <c r="D661">
        <v>6.5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1.5</v>
      </c>
      <c r="K661">
        <v>0</v>
      </c>
      <c r="L661">
        <v>3.5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960</v>
      </c>
      <c r="AF661">
        <v>1</v>
      </c>
      <c r="AG661">
        <v>0</v>
      </c>
      <c r="AH661">
        <v>1</v>
      </c>
      <c r="AI661">
        <v>0</v>
      </c>
      <c r="AJ661">
        <v>1</v>
      </c>
      <c r="AK661">
        <v>530</v>
      </c>
      <c r="AL661">
        <v>4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-3</v>
      </c>
      <c r="AX661">
        <v>6.75</v>
      </c>
      <c r="AY661">
        <v>852.05</v>
      </c>
      <c r="BC661">
        <v>16.680900000000001</v>
      </c>
      <c r="BF661" t="s">
        <v>108</v>
      </c>
    </row>
    <row r="662" spans="1:58" x14ac:dyDescent="0.45">
      <c r="A662">
        <v>10661</v>
      </c>
      <c r="B662">
        <v>1</v>
      </c>
      <c r="C662">
        <v>88.2</v>
      </c>
      <c r="D662">
        <v>6.5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1.5</v>
      </c>
      <c r="K662">
        <v>0</v>
      </c>
      <c r="L662">
        <v>3.5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960</v>
      </c>
      <c r="AF662">
        <v>1</v>
      </c>
      <c r="AG662">
        <v>0</v>
      </c>
      <c r="AH662">
        <v>1</v>
      </c>
      <c r="AI662">
        <v>0</v>
      </c>
      <c r="AJ662">
        <v>1</v>
      </c>
      <c r="AK662">
        <v>530</v>
      </c>
      <c r="AL662">
        <v>12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-3</v>
      </c>
      <c r="AX662">
        <v>6.75</v>
      </c>
      <c r="AY662">
        <v>852.05</v>
      </c>
      <c r="BC662">
        <v>15.4863</v>
      </c>
      <c r="BF662" t="s">
        <v>108</v>
      </c>
    </row>
    <row r="663" spans="1:58" x14ac:dyDescent="0.45">
      <c r="A663">
        <v>10662</v>
      </c>
      <c r="B663">
        <v>1</v>
      </c>
      <c r="C663">
        <v>88.2</v>
      </c>
      <c r="D663">
        <v>6.5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1.5</v>
      </c>
      <c r="K663">
        <v>0</v>
      </c>
      <c r="L663">
        <v>3.5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Z663">
        <v>1</v>
      </c>
      <c r="AA663">
        <v>0</v>
      </c>
      <c r="AB663">
        <v>0</v>
      </c>
      <c r="AC663">
        <v>0</v>
      </c>
      <c r="AD663">
        <v>1</v>
      </c>
      <c r="AE663">
        <v>960</v>
      </c>
      <c r="AF663">
        <v>1</v>
      </c>
      <c r="AG663">
        <v>0</v>
      </c>
      <c r="AH663">
        <v>1</v>
      </c>
      <c r="AI663">
        <v>0</v>
      </c>
      <c r="AJ663">
        <v>1</v>
      </c>
      <c r="AK663">
        <v>530</v>
      </c>
      <c r="AL663">
        <v>24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-3</v>
      </c>
      <c r="AX663">
        <v>6.75</v>
      </c>
      <c r="AY663">
        <v>852.05</v>
      </c>
      <c r="BC663">
        <v>16.382300000000001</v>
      </c>
      <c r="BF663" t="s">
        <v>108</v>
      </c>
    </row>
    <row r="664" spans="1:58" x14ac:dyDescent="0.45">
      <c r="A664">
        <v>10663</v>
      </c>
      <c r="B664">
        <v>1</v>
      </c>
      <c r="C664">
        <v>88.2</v>
      </c>
      <c r="D664">
        <v>6.5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1.5</v>
      </c>
      <c r="K664">
        <v>0</v>
      </c>
      <c r="L664">
        <v>3.5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Z664">
        <v>1</v>
      </c>
      <c r="AA664">
        <v>0</v>
      </c>
      <c r="AB664">
        <v>0</v>
      </c>
      <c r="AC664">
        <v>0</v>
      </c>
      <c r="AD664">
        <v>1</v>
      </c>
      <c r="AE664">
        <v>980</v>
      </c>
      <c r="AF664">
        <v>1</v>
      </c>
      <c r="AG664">
        <v>1</v>
      </c>
      <c r="AH664">
        <v>0</v>
      </c>
      <c r="AI664">
        <v>0</v>
      </c>
      <c r="AJ664">
        <v>1</v>
      </c>
      <c r="AK664">
        <v>700</v>
      </c>
      <c r="AL664">
        <v>6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-3</v>
      </c>
      <c r="AX664">
        <v>6.75</v>
      </c>
      <c r="AY664">
        <v>852.05</v>
      </c>
      <c r="BA664">
        <v>1046</v>
      </c>
      <c r="BB664">
        <v>1217</v>
      </c>
      <c r="BC664">
        <v>10.656499999999999</v>
      </c>
      <c r="BF664" t="s">
        <v>108</v>
      </c>
    </row>
    <row r="665" spans="1:58" x14ac:dyDescent="0.45">
      <c r="A665">
        <v>10664</v>
      </c>
      <c r="B665">
        <v>1</v>
      </c>
      <c r="C665">
        <v>88.2</v>
      </c>
      <c r="D665">
        <v>6.5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1.5</v>
      </c>
      <c r="K665">
        <v>0</v>
      </c>
      <c r="L665">
        <v>3.5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980</v>
      </c>
      <c r="AF665">
        <v>1</v>
      </c>
      <c r="AG665">
        <v>1</v>
      </c>
      <c r="AH665">
        <v>0</v>
      </c>
      <c r="AI665">
        <v>0</v>
      </c>
      <c r="AJ665">
        <v>1</v>
      </c>
      <c r="AK665">
        <v>750</v>
      </c>
      <c r="AL665">
        <v>6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-3</v>
      </c>
      <c r="AX665">
        <v>6.75</v>
      </c>
      <c r="AY665">
        <v>852.05</v>
      </c>
      <c r="BA665">
        <v>1034</v>
      </c>
      <c r="BB665">
        <v>1095</v>
      </c>
      <c r="BC665">
        <v>13.5304</v>
      </c>
      <c r="BE665" t="s">
        <v>301</v>
      </c>
      <c r="BF665" t="s">
        <v>108</v>
      </c>
    </row>
    <row r="666" spans="1:58" x14ac:dyDescent="0.45">
      <c r="A666">
        <v>10665</v>
      </c>
      <c r="B666">
        <v>1</v>
      </c>
      <c r="C666">
        <v>88.2</v>
      </c>
      <c r="D666">
        <v>6.5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1.5</v>
      </c>
      <c r="K666">
        <v>0</v>
      </c>
      <c r="L666">
        <v>3.5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Z666">
        <v>1</v>
      </c>
      <c r="AA666">
        <v>0</v>
      </c>
      <c r="AB666">
        <v>0</v>
      </c>
      <c r="AC666">
        <v>0</v>
      </c>
      <c r="AD666">
        <v>1</v>
      </c>
      <c r="AE666">
        <v>980</v>
      </c>
      <c r="AF666">
        <v>1</v>
      </c>
      <c r="AG666">
        <v>1</v>
      </c>
      <c r="AH666">
        <v>0</v>
      </c>
      <c r="AI666">
        <v>0</v>
      </c>
      <c r="AJ666">
        <v>1</v>
      </c>
      <c r="AK666">
        <v>800</v>
      </c>
      <c r="AL666">
        <v>6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-3</v>
      </c>
      <c r="AX666">
        <v>6.75</v>
      </c>
      <c r="AY666">
        <v>852.05</v>
      </c>
      <c r="BA666">
        <v>937</v>
      </c>
      <c r="BB666">
        <v>1008</v>
      </c>
      <c r="BC666">
        <v>15.642200000000001</v>
      </c>
      <c r="BE666" t="s">
        <v>302</v>
      </c>
      <c r="BF666" t="s">
        <v>108</v>
      </c>
    </row>
    <row r="667" spans="1:58" x14ac:dyDescent="0.45">
      <c r="A667">
        <v>10666</v>
      </c>
      <c r="B667">
        <v>1</v>
      </c>
      <c r="C667">
        <v>88.2</v>
      </c>
      <c r="D667">
        <v>6.5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1.5</v>
      </c>
      <c r="K667">
        <v>0</v>
      </c>
      <c r="L667">
        <v>3.5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Z667">
        <v>1</v>
      </c>
      <c r="AA667">
        <v>0</v>
      </c>
      <c r="AB667">
        <v>0</v>
      </c>
      <c r="AC667">
        <v>0</v>
      </c>
      <c r="AD667">
        <v>1</v>
      </c>
      <c r="AE667">
        <v>990</v>
      </c>
      <c r="AF667">
        <v>1</v>
      </c>
      <c r="AG667">
        <v>1</v>
      </c>
      <c r="AH667">
        <v>0</v>
      </c>
      <c r="AI667">
        <v>0</v>
      </c>
      <c r="AJ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-3</v>
      </c>
      <c r="AX667">
        <v>6.75</v>
      </c>
      <c r="AY667">
        <v>852.05</v>
      </c>
      <c r="BC667">
        <v>14.747299999999999</v>
      </c>
      <c r="BE667" t="s">
        <v>303</v>
      </c>
      <c r="BF667" t="s">
        <v>108</v>
      </c>
    </row>
    <row r="668" spans="1:58" x14ac:dyDescent="0.45">
      <c r="A668">
        <v>10667</v>
      </c>
      <c r="B668">
        <v>1</v>
      </c>
      <c r="C668">
        <v>88.2</v>
      </c>
      <c r="D668">
        <v>6.5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1.5</v>
      </c>
      <c r="K668">
        <v>0</v>
      </c>
      <c r="L668">
        <v>3.5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990</v>
      </c>
      <c r="AF668">
        <v>1</v>
      </c>
      <c r="AG668">
        <v>1</v>
      </c>
      <c r="AH668">
        <v>0</v>
      </c>
      <c r="AI668">
        <v>0</v>
      </c>
      <c r="AJ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-3</v>
      </c>
      <c r="AX668">
        <v>6.75</v>
      </c>
      <c r="AY668">
        <v>852.05</v>
      </c>
      <c r="BC668">
        <v>16.362400000000001</v>
      </c>
      <c r="BF668" t="s">
        <v>108</v>
      </c>
    </row>
    <row r="669" spans="1:58" x14ac:dyDescent="0.45">
      <c r="A669">
        <v>10668</v>
      </c>
      <c r="B669">
        <v>1</v>
      </c>
      <c r="C669">
        <v>88.2</v>
      </c>
      <c r="D669">
        <v>6.5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1.5</v>
      </c>
      <c r="K669">
        <v>0</v>
      </c>
      <c r="L669">
        <v>3.5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Z669">
        <v>1</v>
      </c>
      <c r="AA669">
        <v>0</v>
      </c>
      <c r="AB669">
        <v>0</v>
      </c>
      <c r="AC669">
        <v>0</v>
      </c>
      <c r="AD669">
        <v>1</v>
      </c>
      <c r="AE669">
        <v>990</v>
      </c>
      <c r="AF669">
        <v>1</v>
      </c>
      <c r="AG669">
        <v>1</v>
      </c>
      <c r="AH669">
        <v>0</v>
      </c>
      <c r="AI669">
        <v>0</v>
      </c>
      <c r="AJ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-3</v>
      </c>
      <c r="AX669">
        <v>6.75</v>
      </c>
      <c r="AY669">
        <v>852.05</v>
      </c>
      <c r="BC669">
        <v>17.0229</v>
      </c>
      <c r="BF669" t="s">
        <v>108</v>
      </c>
    </row>
    <row r="670" spans="1:58" x14ac:dyDescent="0.45">
      <c r="A670">
        <v>10669</v>
      </c>
      <c r="B670">
        <v>1</v>
      </c>
      <c r="C670">
        <v>88.2</v>
      </c>
      <c r="D670">
        <v>6.5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1.5</v>
      </c>
      <c r="K670">
        <v>0</v>
      </c>
      <c r="L670">
        <v>3.5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Z670">
        <v>1</v>
      </c>
      <c r="AA670">
        <v>0</v>
      </c>
      <c r="AB670">
        <v>0</v>
      </c>
      <c r="AC670">
        <v>0</v>
      </c>
      <c r="AD670">
        <v>1</v>
      </c>
      <c r="AE670">
        <v>970</v>
      </c>
      <c r="AF670">
        <v>1</v>
      </c>
      <c r="AG670">
        <v>1</v>
      </c>
      <c r="AH670">
        <v>0</v>
      </c>
      <c r="AI670">
        <v>0</v>
      </c>
      <c r="AJ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-3</v>
      </c>
      <c r="AX670">
        <v>6.75</v>
      </c>
      <c r="AY670">
        <v>852.05</v>
      </c>
      <c r="BC670">
        <v>15.694800000000001</v>
      </c>
      <c r="BF670" t="s">
        <v>108</v>
      </c>
    </row>
    <row r="671" spans="1:58" x14ac:dyDescent="0.45">
      <c r="A671">
        <v>10670</v>
      </c>
      <c r="B671">
        <v>1</v>
      </c>
      <c r="C671">
        <v>88.2</v>
      </c>
      <c r="D671">
        <v>6.5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1.5</v>
      </c>
      <c r="K671">
        <v>0</v>
      </c>
      <c r="L671">
        <v>3.5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>
        <v>970</v>
      </c>
      <c r="AF671">
        <v>1</v>
      </c>
      <c r="AG671">
        <v>1</v>
      </c>
      <c r="AH671">
        <v>0</v>
      </c>
      <c r="AI671">
        <v>0</v>
      </c>
      <c r="AJ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-3</v>
      </c>
      <c r="AX671">
        <v>6.75</v>
      </c>
      <c r="AY671">
        <v>852.05</v>
      </c>
      <c r="BC671">
        <v>16.764399999999998</v>
      </c>
      <c r="BF671" t="s">
        <v>108</v>
      </c>
    </row>
    <row r="672" spans="1:58" x14ac:dyDescent="0.45">
      <c r="A672">
        <v>10671</v>
      </c>
      <c r="B672">
        <v>1</v>
      </c>
      <c r="C672">
        <v>88.2</v>
      </c>
      <c r="D672">
        <v>6.5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1.5</v>
      </c>
      <c r="K672">
        <v>0</v>
      </c>
      <c r="L672">
        <v>3.5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>
        <v>970</v>
      </c>
      <c r="AF672">
        <v>1</v>
      </c>
      <c r="AG672">
        <v>1</v>
      </c>
      <c r="AH672">
        <v>0</v>
      </c>
      <c r="AI672">
        <v>0</v>
      </c>
      <c r="AJ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-3</v>
      </c>
      <c r="AX672">
        <v>6.75</v>
      </c>
      <c r="AY672">
        <v>852.05</v>
      </c>
      <c r="BC672">
        <v>17.355399999999999</v>
      </c>
      <c r="BF672" t="s">
        <v>108</v>
      </c>
    </row>
    <row r="673" spans="1:58" x14ac:dyDescent="0.45">
      <c r="A673">
        <v>10672</v>
      </c>
      <c r="B673">
        <v>0</v>
      </c>
      <c r="C673">
        <v>88.055000000000007</v>
      </c>
      <c r="D673">
        <v>5.87</v>
      </c>
      <c r="E673">
        <v>4.7699999999999996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0.56000000000000005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Z673">
        <v>1</v>
      </c>
      <c r="AA673">
        <v>0</v>
      </c>
      <c r="AB673">
        <v>0</v>
      </c>
      <c r="AC673">
        <v>0</v>
      </c>
      <c r="AD673">
        <v>1</v>
      </c>
      <c r="AE673">
        <v>700</v>
      </c>
      <c r="AF673">
        <v>1</v>
      </c>
      <c r="AG673">
        <v>0</v>
      </c>
      <c r="AH673">
        <v>1</v>
      </c>
      <c r="AI673">
        <v>0</v>
      </c>
      <c r="AJ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-2.5173000000000001</v>
      </c>
      <c r="AX673">
        <v>5.87</v>
      </c>
      <c r="AY673">
        <v>838.04099999999994</v>
      </c>
      <c r="BF673" t="s">
        <v>155</v>
      </c>
    </row>
    <row r="674" spans="1:58" x14ac:dyDescent="0.45">
      <c r="A674">
        <v>10673</v>
      </c>
      <c r="B674">
        <v>0</v>
      </c>
      <c r="C674">
        <v>88.055000000000007</v>
      </c>
      <c r="D674">
        <v>5.87</v>
      </c>
      <c r="E674">
        <v>4.7699999999999996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0.56000000000000005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Z674">
        <v>1</v>
      </c>
      <c r="AA674">
        <v>0</v>
      </c>
      <c r="AB674">
        <v>0</v>
      </c>
      <c r="AC674">
        <v>0</v>
      </c>
      <c r="AD674">
        <v>1</v>
      </c>
      <c r="AE674">
        <v>800</v>
      </c>
      <c r="AF674">
        <v>1</v>
      </c>
      <c r="AG674">
        <v>0</v>
      </c>
      <c r="AH674">
        <v>1</v>
      </c>
      <c r="AI674">
        <v>0</v>
      </c>
      <c r="AJ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-2.5173000000000001</v>
      </c>
      <c r="AX674">
        <v>5.87</v>
      </c>
      <c r="AY674">
        <v>838.04099999999994</v>
      </c>
      <c r="BF674" t="s">
        <v>155</v>
      </c>
    </row>
    <row r="675" spans="1:58" x14ac:dyDescent="0.45">
      <c r="A675">
        <v>10674</v>
      </c>
      <c r="B675">
        <v>0</v>
      </c>
      <c r="C675">
        <v>88.055000000000007</v>
      </c>
      <c r="D675">
        <v>5.87</v>
      </c>
      <c r="E675">
        <v>4.7699999999999996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0.56000000000000005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Z675">
        <v>1</v>
      </c>
      <c r="AA675">
        <v>0</v>
      </c>
      <c r="AB675">
        <v>0</v>
      </c>
      <c r="AC675">
        <v>0</v>
      </c>
      <c r="AD675">
        <v>1</v>
      </c>
      <c r="AE675">
        <v>900</v>
      </c>
      <c r="AF675">
        <v>1</v>
      </c>
      <c r="AG675">
        <v>0</v>
      </c>
      <c r="AH675">
        <v>1</v>
      </c>
      <c r="AI675">
        <v>0</v>
      </c>
      <c r="AJ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-2.5173000000000001</v>
      </c>
      <c r="AX675">
        <v>5.87</v>
      </c>
      <c r="AY675">
        <v>838.04099999999994</v>
      </c>
      <c r="BF675" t="s">
        <v>155</v>
      </c>
    </row>
    <row r="676" spans="1:58" x14ac:dyDescent="0.45">
      <c r="A676">
        <v>10675</v>
      </c>
      <c r="B676">
        <v>0</v>
      </c>
      <c r="C676">
        <v>88.055000000000007</v>
      </c>
      <c r="D676">
        <v>5.87</v>
      </c>
      <c r="E676">
        <v>4.7699999999999996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0.56000000000000005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Z676">
        <v>1</v>
      </c>
      <c r="AA676">
        <v>0</v>
      </c>
      <c r="AB676">
        <v>0</v>
      </c>
      <c r="AC676">
        <v>0</v>
      </c>
      <c r="AD676">
        <v>1</v>
      </c>
      <c r="AE676">
        <v>1000</v>
      </c>
      <c r="AF676">
        <v>1</v>
      </c>
      <c r="AG676">
        <v>0</v>
      </c>
      <c r="AH676">
        <v>1</v>
      </c>
      <c r="AI676">
        <v>0</v>
      </c>
      <c r="AJ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-2.5173000000000001</v>
      </c>
      <c r="AX676">
        <v>5.87</v>
      </c>
      <c r="AY676">
        <v>838.04099999999994</v>
      </c>
      <c r="BF676" t="s">
        <v>155</v>
      </c>
    </row>
    <row r="677" spans="1:58" x14ac:dyDescent="0.45">
      <c r="A677">
        <v>10676</v>
      </c>
      <c r="B677">
        <v>1</v>
      </c>
      <c r="C677">
        <v>86.19</v>
      </c>
      <c r="D677">
        <v>4.7</v>
      </c>
      <c r="E677">
        <v>0</v>
      </c>
      <c r="F677">
        <v>2.85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6.26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Z677">
        <v>0</v>
      </c>
      <c r="AA677">
        <v>1</v>
      </c>
      <c r="AB677">
        <v>0</v>
      </c>
      <c r="AC677">
        <v>0</v>
      </c>
      <c r="AD677">
        <v>1</v>
      </c>
      <c r="AE677">
        <v>890</v>
      </c>
      <c r="AF677">
        <v>0.5</v>
      </c>
      <c r="AG677">
        <v>1</v>
      </c>
      <c r="AH677">
        <v>0</v>
      </c>
      <c r="AI677">
        <v>0</v>
      </c>
      <c r="AJ677">
        <v>1</v>
      </c>
      <c r="AK677">
        <v>760</v>
      </c>
      <c r="AL677">
        <v>0.5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6.12</v>
      </c>
      <c r="AX677">
        <v>4.7</v>
      </c>
      <c r="AY677">
        <v>797.91499999999996</v>
      </c>
      <c r="BA677">
        <v>370.3</v>
      </c>
      <c r="BB677">
        <v>993.4</v>
      </c>
      <c r="BC677">
        <v>21.8</v>
      </c>
      <c r="BF677" t="s">
        <v>91</v>
      </c>
    </row>
    <row r="678" spans="1:58" x14ac:dyDescent="0.45">
      <c r="A678">
        <v>10677</v>
      </c>
      <c r="B678">
        <v>1</v>
      </c>
      <c r="C678">
        <v>86.19</v>
      </c>
      <c r="D678">
        <v>4.7</v>
      </c>
      <c r="E678">
        <v>0</v>
      </c>
      <c r="F678">
        <v>2.85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6.26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Z678">
        <v>0</v>
      </c>
      <c r="AA678">
        <v>1</v>
      </c>
      <c r="AB678">
        <v>0</v>
      </c>
      <c r="AC678">
        <v>0</v>
      </c>
      <c r="AD678">
        <v>1</v>
      </c>
      <c r="AE678">
        <v>890</v>
      </c>
      <c r="AF678">
        <v>0.5</v>
      </c>
      <c r="AG678">
        <v>1</v>
      </c>
      <c r="AH678">
        <v>0</v>
      </c>
      <c r="AI678">
        <v>0</v>
      </c>
      <c r="AJ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6.12</v>
      </c>
      <c r="AX678">
        <v>4.7</v>
      </c>
      <c r="AY678">
        <v>797.91499999999996</v>
      </c>
      <c r="BA678">
        <v>343</v>
      </c>
      <c r="BB678">
        <v>1145.4000000000001</v>
      </c>
      <c r="BC678">
        <v>20.5</v>
      </c>
      <c r="BF678" t="s">
        <v>157</v>
      </c>
    </row>
    <row r="679" spans="1:58" x14ac:dyDescent="0.45">
      <c r="A679">
        <v>10678</v>
      </c>
      <c r="B679">
        <v>1</v>
      </c>
      <c r="C679">
        <v>86.19</v>
      </c>
      <c r="D679">
        <v>4.7</v>
      </c>
      <c r="E679">
        <v>0</v>
      </c>
      <c r="F679">
        <v>2.85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6.26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Z679">
        <v>0</v>
      </c>
      <c r="AA679">
        <v>1</v>
      </c>
      <c r="AB679">
        <v>0</v>
      </c>
      <c r="AC679">
        <v>0</v>
      </c>
      <c r="AD679">
        <v>1</v>
      </c>
      <c r="AE679">
        <v>780</v>
      </c>
      <c r="AF679">
        <v>0.5</v>
      </c>
      <c r="AG679">
        <v>1</v>
      </c>
      <c r="AH679">
        <v>0</v>
      </c>
      <c r="AI679">
        <v>0</v>
      </c>
      <c r="AJ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6.12</v>
      </c>
      <c r="AX679">
        <v>4.7</v>
      </c>
      <c r="AY679">
        <v>797.91499999999996</v>
      </c>
      <c r="BA679">
        <v>937</v>
      </c>
      <c r="BB679">
        <v>1085.7</v>
      </c>
      <c r="BC679">
        <v>19.5</v>
      </c>
      <c r="BF679" t="s">
        <v>157</v>
      </c>
    </row>
    <row r="680" spans="1:58" x14ac:dyDescent="0.45">
      <c r="A680">
        <v>10679</v>
      </c>
      <c r="B680">
        <v>1</v>
      </c>
      <c r="C680">
        <v>74.63</v>
      </c>
      <c r="D680">
        <v>0</v>
      </c>
      <c r="E680">
        <v>0</v>
      </c>
      <c r="F680">
        <v>2.15</v>
      </c>
      <c r="G680">
        <v>0</v>
      </c>
      <c r="H680">
        <v>7.0000000000000009</v>
      </c>
      <c r="I680">
        <v>0</v>
      </c>
      <c r="J680">
        <v>0</v>
      </c>
      <c r="K680">
        <v>16.220000000000002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J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28.281600000000001</v>
      </c>
      <c r="AX680">
        <v>0</v>
      </c>
      <c r="AY680">
        <v>748.18499999999995</v>
      </c>
      <c r="AZ680">
        <v>99</v>
      </c>
      <c r="BA680">
        <v>1097</v>
      </c>
      <c r="BF680" t="s">
        <v>60</v>
      </c>
    </row>
    <row r="681" spans="1:58" x14ac:dyDescent="0.45">
      <c r="A681">
        <v>10680</v>
      </c>
      <c r="B681">
        <v>1</v>
      </c>
      <c r="C681">
        <v>72.44</v>
      </c>
      <c r="D681">
        <v>0</v>
      </c>
      <c r="E681">
        <v>0</v>
      </c>
      <c r="F681">
        <v>4.3</v>
      </c>
      <c r="G681">
        <v>0</v>
      </c>
      <c r="H681">
        <v>7.01</v>
      </c>
      <c r="I681">
        <v>0</v>
      </c>
      <c r="J681">
        <v>0</v>
      </c>
      <c r="K681">
        <v>16.25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J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31.758999999999997</v>
      </c>
      <c r="AX681">
        <v>0</v>
      </c>
      <c r="AY681">
        <v>722.01600000000008</v>
      </c>
      <c r="AZ681">
        <v>81</v>
      </c>
      <c r="BA681">
        <v>947</v>
      </c>
      <c r="BF681" t="s">
        <v>60</v>
      </c>
    </row>
    <row r="682" spans="1:58" x14ac:dyDescent="0.45">
      <c r="A682">
        <v>10681</v>
      </c>
      <c r="B682">
        <v>1</v>
      </c>
      <c r="C682">
        <v>70.23</v>
      </c>
      <c r="D682">
        <v>0</v>
      </c>
      <c r="E682">
        <v>0</v>
      </c>
      <c r="F682">
        <v>6.47</v>
      </c>
      <c r="G682">
        <v>0</v>
      </c>
      <c r="H682">
        <v>7.02</v>
      </c>
      <c r="I682">
        <v>0</v>
      </c>
      <c r="J682">
        <v>0</v>
      </c>
      <c r="K682">
        <v>16.28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J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35.2684</v>
      </c>
      <c r="AX682">
        <v>0</v>
      </c>
      <c r="AY682">
        <v>695.60500000000002</v>
      </c>
      <c r="AZ682">
        <v>77</v>
      </c>
      <c r="BA682">
        <v>922</v>
      </c>
      <c r="BF682" t="s">
        <v>60</v>
      </c>
    </row>
    <row r="683" spans="1:58" x14ac:dyDescent="0.45">
      <c r="A683">
        <v>10682</v>
      </c>
      <c r="B683">
        <v>1</v>
      </c>
      <c r="C683">
        <v>68.010000000000005</v>
      </c>
      <c r="D683">
        <v>0</v>
      </c>
      <c r="E683">
        <v>0</v>
      </c>
      <c r="F683">
        <v>8.64</v>
      </c>
      <c r="G683">
        <v>0</v>
      </c>
      <c r="H683">
        <v>7.04</v>
      </c>
      <c r="I683">
        <v>0</v>
      </c>
      <c r="J683">
        <v>0</v>
      </c>
      <c r="K683">
        <v>16.309999999999999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J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38.806800000000003</v>
      </c>
      <c r="AX683">
        <v>0</v>
      </c>
      <c r="AY683">
        <v>669.04</v>
      </c>
      <c r="AZ683">
        <v>72</v>
      </c>
      <c r="BA683">
        <v>941</v>
      </c>
      <c r="BF683" t="s">
        <v>60</v>
      </c>
    </row>
    <row r="684" spans="1:58" x14ac:dyDescent="0.45">
      <c r="A684">
        <v>10683</v>
      </c>
      <c r="B684">
        <v>1</v>
      </c>
      <c r="C684">
        <v>79.099999999999994</v>
      </c>
      <c r="D684">
        <v>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2.7</v>
      </c>
      <c r="L684">
        <v>15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Z684">
        <v>1</v>
      </c>
      <c r="AA684">
        <v>0</v>
      </c>
      <c r="AB684">
        <v>0</v>
      </c>
      <c r="AC684">
        <v>0</v>
      </c>
      <c r="AD684">
        <v>1</v>
      </c>
      <c r="AE684">
        <v>850</v>
      </c>
      <c r="AF684">
        <v>0.58333333300000001</v>
      </c>
      <c r="AG684">
        <v>1</v>
      </c>
      <c r="AH684">
        <v>0</v>
      </c>
      <c r="AI684">
        <v>0</v>
      </c>
      <c r="AJ684">
        <v>1</v>
      </c>
      <c r="AK684">
        <v>520</v>
      </c>
      <c r="AL684">
        <v>8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12.756</v>
      </c>
      <c r="AX684">
        <v>3</v>
      </c>
      <c r="AY684">
        <v>745.8</v>
      </c>
      <c r="BA684">
        <v>1183.6400000000001</v>
      </c>
      <c r="BB684">
        <v>1307.3499999999999</v>
      </c>
      <c r="BC684">
        <v>6.5414099999999999</v>
      </c>
      <c r="BF684" t="s">
        <v>108</v>
      </c>
    </row>
    <row r="685" spans="1:58" x14ac:dyDescent="0.45">
      <c r="A685">
        <v>10684</v>
      </c>
      <c r="B685">
        <v>1</v>
      </c>
      <c r="C685">
        <v>79.099999999999994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2.7</v>
      </c>
      <c r="L685">
        <v>15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900</v>
      </c>
      <c r="AF685">
        <v>0.58333333300000001</v>
      </c>
      <c r="AG685">
        <v>1</v>
      </c>
      <c r="AH685">
        <v>0</v>
      </c>
      <c r="AI685">
        <v>0</v>
      </c>
      <c r="AJ685">
        <v>1</v>
      </c>
      <c r="AK685">
        <v>520</v>
      </c>
      <c r="AL685">
        <v>8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12.756</v>
      </c>
      <c r="AX685">
        <v>3</v>
      </c>
      <c r="AY685">
        <v>745.8</v>
      </c>
      <c r="BA685">
        <v>1216.29</v>
      </c>
      <c r="BB685">
        <v>1309.0899999999999</v>
      </c>
      <c r="BC685">
        <v>6.0193000000000003</v>
      </c>
      <c r="BF685" t="s">
        <v>108</v>
      </c>
    </row>
    <row r="686" spans="1:58" x14ac:dyDescent="0.45">
      <c r="A686">
        <v>10685</v>
      </c>
      <c r="B686">
        <v>1</v>
      </c>
      <c r="C686">
        <v>79.099999999999994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2.7</v>
      </c>
      <c r="L686">
        <v>15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Z686">
        <v>1</v>
      </c>
      <c r="AA686">
        <v>0</v>
      </c>
      <c r="AB686">
        <v>0</v>
      </c>
      <c r="AC686">
        <v>0</v>
      </c>
      <c r="AD686">
        <v>1</v>
      </c>
      <c r="AE686">
        <v>950</v>
      </c>
      <c r="AF686">
        <v>0.58333333300000001</v>
      </c>
      <c r="AG686">
        <v>1</v>
      </c>
      <c r="AH686">
        <v>0</v>
      </c>
      <c r="AI686">
        <v>0</v>
      </c>
      <c r="AJ686">
        <v>1</v>
      </c>
      <c r="AK686">
        <v>520</v>
      </c>
      <c r="AL686">
        <v>8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12.756</v>
      </c>
      <c r="AX686">
        <v>3</v>
      </c>
      <c r="AY686">
        <v>745.8</v>
      </c>
      <c r="BA686">
        <v>1210.6099999999999</v>
      </c>
      <c r="BB686">
        <v>1303.3900000000001</v>
      </c>
      <c r="BC686">
        <v>6.5129099999999998</v>
      </c>
      <c r="BF686" t="s">
        <v>108</v>
      </c>
    </row>
    <row r="687" spans="1:58" x14ac:dyDescent="0.45">
      <c r="A687">
        <v>10686</v>
      </c>
      <c r="B687">
        <v>1</v>
      </c>
      <c r="C687">
        <v>79.099999999999994</v>
      </c>
      <c r="D687">
        <v>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2.7</v>
      </c>
      <c r="L687">
        <v>15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>
        <v>750</v>
      </c>
      <c r="AF687">
        <v>0.58333333300000001</v>
      </c>
      <c r="AG687">
        <v>1</v>
      </c>
      <c r="AH687">
        <v>0</v>
      </c>
      <c r="AI687">
        <v>0</v>
      </c>
      <c r="AJ687">
        <v>1</v>
      </c>
      <c r="AK687">
        <v>420</v>
      </c>
      <c r="AL687">
        <v>8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12.756</v>
      </c>
      <c r="AX687">
        <v>3</v>
      </c>
      <c r="AY687">
        <v>745.8</v>
      </c>
      <c r="BA687">
        <v>957.37699999999995</v>
      </c>
      <c r="BB687">
        <v>1078.21</v>
      </c>
      <c r="BC687">
        <v>10.9091</v>
      </c>
      <c r="BF687" t="s">
        <v>108</v>
      </c>
    </row>
    <row r="688" spans="1:58" x14ac:dyDescent="0.45">
      <c r="A688">
        <v>10687</v>
      </c>
      <c r="B688">
        <v>1</v>
      </c>
      <c r="C688">
        <v>79.099999999999994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2.7</v>
      </c>
      <c r="L688">
        <v>15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Z688">
        <v>1</v>
      </c>
      <c r="AA688">
        <v>0</v>
      </c>
      <c r="AB688">
        <v>0</v>
      </c>
      <c r="AC688">
        <v>0</v>
      </c>
      <c r="AD688">
        <v>1</v>
      </c>
      <c r="AE688">
        <v>750</v>
      </c>
      <c r="AF688">
        <v>0.58333333300000001</v>
      </c>
      <c r="AG688">
        <v>1</v>
      </c>
      <c r="AH688">
        <v>0</v>
      </c>
      <c r="AI688">
        <v>0</v>
      </c>
      <c r="AJ688">
        <v>1</v>
      </c>
      <c r="AK688">
        <v>470</v>
      </c>
      <c r="AL688">
        <v>8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12.756</v>
      </c>
      <c r="AX688">
        <v>3</v>
      </c>
      <c r="AY688">
        <v>745.8</v>
      </c>
      <c r="BA688">
        <v>987.79399999999998</v>
      </c>
      <c r="BB688">
        <v>1143</v>
      </c>
      <c r="BC688">
        <v>7.3140499999999999</v>
      </c>
      <c r="BF688" t="s">
        <v>108</v>
      </c>
    </row>
    <row r="689" spans="1:58" x14ac:dyDescent="0.45">
      <c r="A689">
        <v>10688</v>
      </c>
      <c r="B689">
        <v>1</v>
      </c>
      <c r="C689">
        <v>79.099999999999994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2.7</v>
      </c>
      <c r="L689">
        <v>15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Z689">
        <v>1</v>
      </c>
      <c r="AA689">
        <v>0</v>
      </c>
      <c r="AB689">
        <v>0</v>
      </c>
      <c r="AC689">
        <v>0</v>
      </c>
      <c r="AD689">
        <v>1</v>
      </c>
      <c r="AE689">
        <v>750</v>
      </c>
      <c r="AF689">
        <v>0.58333333300000001</v>
      </c>
      <c r="AG689">
        <v>1</v>
      </c>
      <c r="AH689">
        <v>0</v>
      </c>
      <c r="AI689">
        <v>0</v>
      </c>
      <c r="AJ689">
        <v>1</v>
      </c>
      <c r="AK689">
        <v>570</v>
      </c>
      <c r="AL689">
        <v>8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12.756</v>
      </c>
      <c r="AX689">
        <v>3</v>
      </c>
      <c r="AY689">
        <v>745.8</v>
      </c>
      <c r="BA689">
        <v>1054.8800000000001</v>
      </c>
      <c r="BB689">
        <v>1174.67</v>
      </c>
      <c r="BC689">
        <v>6.69421</v>
      </c>
      <c r="BF689" t="s">
        <v>108</v>
      </c>
    </row>
    <row r="690" spans="1:58" x14ac:dyDescent="0.45">
      <c r="A690">
        <v>10689</v>
      </c>
      <c r="B690">
        <v>1</v>
      </c>
      <c r="C690">
        <v>79.099999999999994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2.7</v>
      </c>
      <c r="L690">
        <v>15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>
        <v>750</v>
      </c>
      <c r="AF690">
        <v>0.58333333300000001</v>
      </c>
      <c r="AG690">
        <v>1</v>
      </c>
      <c r="AH690">
        <v>0</v>
      </c>
      <c r="AI690">
        <v>0</v>
      </c>
      <c r="AJ690">
        <v>1</v>
      </c>
      <c r="AK690">
        <v>620</v>
      </c>
      <c r="AL690">
        <v>8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12.756</v>
      </c>
      <c r="AX690">
        <v>3</v>
      </c>
      <c r="AY690">
        <v>745.8</v>
      </c>
      <c r="BA690">
        <v>885.29399999999998</v>
      </c>
      <c r="BB690">
        <v>901.96400000000006</v>
      </c>
      <c r="BC690">
        <v>14.504099999999999</v>
      </c>
      <c r="BF690" t="s">
        <v>108</v>
      </c>
    </row>
    <row r="691" spans="1:58" x14ac:dyDescent="0.45">
      <c r="A691">
        <v>10690</v>
      </c>
      <c r="B691">
        <v>1</v>
      </c>
      <c r="C691">
        <v>79.099999999999994</v>
      </c>
      <c r="D691">
        <v>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2.7</v>
      </c>
      <c r="L691">
        <v>15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Z691">
        <v>1</v>
      </c>
      <c r="AA691">
        <v>0</v>
      </c>
      <c r="AB691">
        <v>0</v>
      </c>
      <c r="AC691">
        <v>0</v>
      </c>
      <c r="AD691">
        <v>1</v>
      </c>
      <c r="AE691">
        <v>855</v>
      </c>
      <c r="AF691">
        <v>0.58333333300000001</v>
      </c>
      <c r="AG691">
        <v>1</v>
      </c>
      <c r="AH691">
        <v>0</v>
      </c>
      <c r="AI691">
        <v>0</v>
      </c>
      <c r="AJ691">
        <v>1</v>
      </c>
      <c r="AK691">
        <v>520</v>
      </c>
      <c r="AL691">
        <v>4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12.756</v>
      </c>
      <c r="AX691">
        <v>3</v>
      </c>
      <c r="AY691">
        <v>745.8</v>
      </c>
      <c r="BA691">
        <v>1137.5999999999999</v>
      </c>
      <c r="BB691">
        <v>1218.8599999999999</v>
      </c>
      <c r="BC691">
        <v>6.1979199999999999</v>
      </c>
      <c r="BF691" t="s">
        <v>108</v>
      </c>
    </row>
    <row r="692" spans="1:58" x14ac:dyDescent="0.45">
      <c r="A692">
        <v>10691</v>
      </c>
      <c r="B692">
        <v>1</v>
      </c>
      <c r="C692">
        <v>79.099999999999994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2.7</v>
      </c>
      <c r="L692">
        <v>15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855</v>
      </c>
      <c r="AF692">
        <v>0.58333333300000001</v>
      </c>
      <c r="AG692">
        <v>1</v>
      </c>
      <c r="AH692">
        <v>0</v>
      </c>
      <c r="AI692">
        <v>0</v>
      </c>
      <c r="AJ692">
        <v>1</v>
      </c>
      <c r="AK692">
        <v>520</v>
      </c>
      <c r="AL692">
        <v>6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12.756</v>
      </c>
      <c r="AX692">
        <v>3</v>
      </c>
      <c r="AY692">
        <v>745.8</v>
      </c>
      <c r="BA692">
        <v>1172.19</v>
      </c>
      <c r="BB692">
        <v>1258.6400000000001</v>
      </c>
      <c r="BC692">
        <v>6.4895800000000001</v>
      </c>
      <c r="BF692" t="s">
        <v>108</v>
      </c>
    </row>
    <row r="693" spans="1:58" x14ac:dyDescent="0.45">
      <c r="A693">
        <v>10692</v>
      </c>
      <c r="B693">
        <v>1</v>
      </c>
      <c r="C693">
        <v>79.099999999999994</v>
      </c>
      <c r="D693">
        <v>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2.7</v>
      </c>
      <c r="L693">
        <v>15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855</v>
      </c>
      <c r="AF693">
        <v>0.58333333300000001</v>
      </c>
      <c r="AG693">
        <v>1</v>
      </c>
      <c r="AH693">
        <v>0</v>
      </c>
      <c r="AI693">
        <v>0</v>
      </c>
      <c r="AJ693">
        <v>1</v>
      </c>
      <c r="AK693">
        <v>520</v>
      </c>
      <c r="AL693">
        <v>8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12.756</v>
      </c>
      <c r="AX693">
        <v>3</v>
      </c>
      <c r="AY693">
        <v>745.8</v>
      </c>
      <c r="BA693">
        <v>1185.94</v>
      </c>
      <c r="BB693">
        <v>1311.98</v>
      </c>
      <c r="BC693">
        <v>6.1979199999999999</v>
      </c>
      <c r="BF693" t="s">
        <v>108</v>
      </c>
    </row>
    <row r="694" spans="1:58" x14ac:dyDescent="0.45">
      <c r="A694">
        <v>10693</v>
      </c>
      <c r="B694">
        <v>1</v>
      </c>
      <c r="C694">
        <v>79.099999999999994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2.7</v>
      </c>
      <c r="L694">
        <v>15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855</v>
      </c>
      <c r="AF694">
        <v>0.58333333300000001</v>
      </c>
      <c r="AG694">
        <v>1</v>
      </c>
      <c r="AH694">
        <v>0</v>
      </c>
      <c r="AI694">
        <v>0</v>
      </c>
      <c r="AJ694">
        <v>1</v>
      </c>
      <c r="AK694">
        <v>520</v>
      </c>
      <c r="AL694">
        <v>10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12.756</v>
      </c>
      <c r="AX694">
        <v>3</v>
      </c>
      <c r="AY694">
        <v>745.8</v>
      </c>
      <c r="BA694">
        <v>1181.98</v>
      </c>
      <c r="BB694">
        <v>1263.23</v>
      </c>
      <c r="BC694">
        <v>6.78125</v>
      </c>
      <c r="BF694" t="s">
        <v>108</v>
      </c>
    </row>
    <row r="695" spans="1:58" x14ac:dyDescent="0.45">
      <c r="A695">
        <v>10694</v>
      </c>
      <c r="B695">
        <v>1</v>
      </c>
      <c r="C695">
        <v>79.099999999999994</v>
      </c>
      <c r="D695">
        <v>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2.7</v>
      </c>
      <c r="L695">
        <v>15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855</v>
      </c>
      <c r="AF695">
        <v>0.58333333300000001</v>
      </c>
      <c r="AG695">
        <v>1</v>
      </c>
      <c r="AH695">
        <v>0</v>
      </c>
      <c r="AI695">
        <v>0</v>
      </c>
      <c r="AJ695">
        <v>1</v>
      </c>
      <c r="AK695">
        <v>520</v>
      </c>
      <c r="AL695">
        <v>12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12.756</v>
      </c>
      <c r="AX695">
        <v>3</v>
      </c>
      <c r="AY695">
        <v>745.8</v>
      </c>
      <c r="BA695">
        <v>1193.6500000000001</v>
      </c>
      <c r="BB695">
        <v>1275.94</v>
      </c>
      <c r="BC695">
        <v>5.25</v>
      </c>
      <c r="BF695" t="s">
        <v>108</v>
      </c>
    </row>
    <row r="696" spans="1:58" x14ac:dyDescent="0.45">
      <c r="A696">
        <v>10695</v>
      </c>
      <c r="B696">
        <v>1</v>
      </c>
      <c r="C696">
        <v>86.63</v>
      </c>
      <c r="D696">
        <v>5</v>
      </c>
      <c r="E696">
        <v>0</v>
      </c>
      <c r="F696">
        <v>0</v>
      </c>
      <c r="G696">
        <v>0</v>
      </c>
      <c r="H696">
        <v>1.62</v>
      </c>
      <c r="I696">
        <v>0</v>
      </c>
      <c r="J696">
        <v>0</v>
      </c>
      <c r="K696">
        <v>0</v>
      </c>
      <c r="L696">
        <v>6.65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950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780</v>
      </c>
      <c r="AF696">
        <v>1</v>
      </c>
      <c r="AG696">
        <v>0</v>
      </c>
      <c r="AH696">
        <v>1</v>
      </c>
      <c r="AI696">
        <v>0</v>
      </c>
      <c r="AJ696">
        <v>1</v>
      </c>
      <c r="AK696">
        <v>560</v>
      </c>
      <c r="AL696">
        <v>6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6.3480000000000008</v>
      </c>
      <c r="AX696">
        <v>5</v>
      </c>
      <c r="AY696">
        <v>804.37700000000007</v>
      </c>
      <c r="BA696">
        <v>1129.55</v>
      </c>
      <c r="BB696">
        <v>1188.29</v>
      </c>
      <c r="BC696">
        <v>12.140499999999999</v>
      </c>
      <c r="BF696" t="s">
        <v>108</v>
      </c>
    </row>
    <row r="697" spans="1:58" x14ac:dyDescent="0.45">
      <c r="A697">
        <v>10696</v>
      </c>
      <c r="B697">
        <v>1</v>
      </c>
      <c r="C697">
        <v>77.91</v>
      </c>
      <c r="D697">
        <v>0</v>
      </c>
      <c r="E697">
        <v>0</v>
      </c>
      <c r="F697">
        <v>0</v>
      </c>
      <c r="G697">
        <v>0</v>
      </c>
      <c r="H697">
        <v>2.34</v>
      </c>
      <c r="I697">
        <v>0</v>
      </c>
      <c r="J697">
        <v>6.17</v>
      </c>
      <c r="K697">
        <v>13.58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Z697">
        <v>0</v>
      </c>
      <c r="AA697">
        <v>1</v>
      </c>
      <c r="AB697">
        <v>0</v>
      </c>
      <c r="AC697">
        <v>0</v>
      </c>
      <c r="AD697">
        <v>1</v>
      </c>
      <c r="AE697">
        <f t="shared" ref="AE697:AE708" si="6">AY697</f>
        <v>803.39100000000008</v>
      </c>
      <c r="AF697">
        <v>0</v>
      </c>
      <c r="AG697">
        <v>1</v>
      </c>
      <c r="AH697">
        <v>0</v>
      </c>
      <c r="AI697">
        <v>0</v>
      </c>
      <c r="AJ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10.5884</v>
      </c>
      <c r="AX697">
        <v>1.0283333333333333</v>
      </c>
      <c r="AY697">
        <v>803.39100000000008</v>
      </c>
      <c r="AZ697">
        <v>79</v>
      </c>
      <c r="BA697">
        <v>782</v>
      </c>
      <c r="BF697" t="s">
        <v>60</v>
      </c>
    </row>
    <row r="698" spans="1:58" x14ac:dyDescent="0.45">
      <c r="A698">
        <v>10697</v>
      </c>
      <c r="B698">
        <v>1</v>
      </c>
      <c r="C698">
        <v>75.75</v>
      </c>
      <c r="D698">
        <v>0</v>
      </c>
      <c r="E698">
        <v>0</v>
      </c>
      <c r="F698">
        <v>0</v>
      </c>
      <c r="G698">
        <v>0</v>
      </c>
      <c r="H698">
        <v>1.5599999999999998</v>
      </c>
      <c r="I698">
        <v>0</v>
      </c>
      <c r="J698">
        <v>6.370000000000001</v>
      </c>
      <c r="K698">
        <v>16.32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Z698">
        <v>0</v>
      </c>
      <c r="AA698">
        <v>1</v>
      </c>
      <c r="AB698">
        <v>0</v>
      </c>
      <c r="AC698">
        <v>0</v>
      </c>
      <c r="AD698">
        <v>1</v>
      </c>
      <c r="AE698">
        <f t="shared" si="6"/>
        <v>814.02300000000002</v>
      </c>
      <c r="AF698">
        <v>0</v>
      </c>
      <c r="AG698">
        <v>1</v>
      </c>
      <c r="AH698">
        <v>0</v>
      </c>
      <c r="AI698">
        <v>0</v>
      </c>
      <c r="AJ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9.0935999999999986</v>
      </c>
      <c r="AX698">
        <v>1.0616666666666668</v>
      </c>
      <c r="AY698">
        <v>814.02300000000002</v>
      </c>
      <c r="AZ698">
        <v>78</v>
      </c>
      <c r="BA698">
        <v>735</v>
      </c>
      <c r="BF698" t="s">
        <v>60</v>
      </c>
    </row>
    <row r="699" spans="1:58" x14ac:dyDescent="0.45">
      <c r="A699">
        <v>10698</v>
      </c>
      <c r="B699">
        <v>1</v>
      </c>
      <c r="C699">
        <v>72.98</v>
      </c>
      <c r="D699">
        <v>0</v>
      </c>
      <c r="E699">
        <v>0</v>
      </c>
      <c r="F699">
        <v>0</v>
      </c>
      <c r="G699">
        <v>0</v>
      </c>
      <c r="H699">
        <v>1.38</v>
      </c>
      <c r="I699">
        <v>0</v>
      </c>
      <c r="J699">
        <v>6.64</v>
      </c>
      <c r="K699">
        <v>18.990000000000002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f t="shared" si="6"/>
        <v>814.93200000000002</v>
      </c>
      <c r="AF699">
        <v>0</v>
      </c>
      <c r="AG699">
        <v>1</v>
      </c>
      <c r="AH699">
        <v>0</v>
      </c>
      <c r="AI699">
        <v>0</v>
      </c>
      <c r="AJ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9.3192000000000021</v>
      </c>
      <c r="AX699">
        <v>1.1066666666666667</v>
      </c>
      <c r="AY699">
        <v>814.93200000000002</v>
      </c>
      <c r="AZ699">
        <v>77</v>
      </c>
      <c r="BA699">
        <v>672</v>
      </c>
      <c r="BF699" t="s">
        <v>60</v>
      </c>
    </row>
    <row r="700" spans="1:58" x14ac:dyDescent="0.45">
      <c r="A700">
        <v>10699</v>
      </c>
      <c r="B700">
        <v>1</v>
      </c>
      <c r="C700">
        <v>86.22</v>
      </c>
      <c r="D700">
        <v>0</v>
      </c>
      <c r="E700">
        <v>0</v>
      </c>
      <c r="F700">
        <v>0</v>
      </c>
      <c r="G700">
        <v>0</v>
      </c>
      <c r="H700">
        <v>3.49</v>
      </c>
      <c r="I700">
        <v>0</v>
      </c>
      <c r="J700">
        <v>4.1000000000000005</v>
      </c>
      <c r="K700">
        <v>6.18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f t="shared" si="6"/>
        <v>799.96400000000006</v>
      </c>
      <c r="AF700">
        <v>0</v>
      </c>
      <c r="AG700">
        <v>1</v>
      </c>
      <c r="AH700">
        <v>0</v>
      </c>
      <c r="AI700">
        <v>0</v>
      </c>
      <c r="AJ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11.8514</v>
      </c>
      <c r="AX700">
        <v>0.68333333333333346</v>
      </c>
      <c r="AY700">
        <v>799.96400000000006</v>
      </c>
      <c r="AZ700">
        <v>90</v>
      </c>
      <c r="BA700">
        <v>1011</v>
      </c>
      <c r="BF700" t="s">
        <v>60</v>
      </c>
    </row>
    <row r="701" spans="1:58" x14ac:dyDescent="0.45">
      <c r="A701">
        <v>10700</v>
      </c>
      <c r="B701">
        <v>1</v>
      </c>
      <c r="C701">
        <v>79.739999999999995</v>
      </c>
      <c r="D701">
        <v>0</v>
      </c>
      <c r="E701">
        <v>0</v>
      </c>
      <c r="F701">
        <v>0</v>
      </c>
      <c r="G701">
        <v>0</v>
      </c>
      <c r="H701">
        <v>2.7</v>
      </c>
      <c r="I701">
        <v>0</v>
      </c>
      <c r="J701">
        <v>6.1899999999999995</v>
      </c>
      <c r="K701">
        <v>11.37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Z701">
        <v>0</v>
      </c>
      <c r="AA701">
        <v>1</v>
      </c>
      <c r="AB701">
        <v>0</v>
      </c>
      <c r="AC701">
        <v>0</v>
      </c>
      <c r="AD701">
        <v>1</v>
      </c>
      <c r="AE701">
        <f t="shared" si="6"/>
        <v>797.70899999999995</v>
      </c>
      <c r="AF701">
        <v>0</v>
      </c>
      <c r="AG701">
        <v>1</v>
      </c>
      <c r="AH701">
        <v>0</v>
      </c>
      <c r="AI701">
        <v>0</v>
      </c>
      <c r="AJ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11.0136</v>
      </c>
      <c r="AX701">
        <v>1.0316666666666665</v>
      </c>
      <c r="AY701">
        <v>797.70899999999995</v>
      </c>
      <c r="AZ701">
        <v>69</v>
      </c>
      <c r="BA701">
        <v>1027</v>
      </c>
      <c r="BF701" t="s">
        <v>60</v>
      </c>
    </row>
    <row r="702" spans="1:58" x14ac:dyDescent="0.45">
      <c r="A702">
        <v>10701</v>
      </c>
      <c r="B702">
        <v>1</v>
      </c>
      <c r="C702">
        <v>72.36</v>
      </c>
      <c r="D702">
        <v>0</v>
      </c>
      <c r="E702">
        <v>0</v>
      </c>
      <c r="F702">
        <v>0</v>
      </c>
      <c r="G702">
        <v>0</v>
      </c>
      <c r="H702">
        <v>0.57000000000000006</v>
      </c>
      <c r="I702">
        <v>0</v>
      </c>
      <c r="J702">
        <v>8.68</v>
      </c>
      <c r="K702">
        <v>18.39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Z702">
        <v>0</v>
      </c>
      <c r="AA702">
        <v>1</v>
      </c>
      <c r="AB702">
        <v>0</v>
      </c>
      <c r="AC702">
        <v>0</v>
      </c>
      <c r="AD702">
        <v>1</v>
      </c>
      <c r="AE702">
        <f t="shared" si="6"/>
        <v>813.32999999999993</v>
      </c>
      <c r="AF702">
        <v>0</v>
      </c>
      <c r="AG702">
        <v>1</v>
      </c>
      <c r="AH702">
        <v>0</v>
      </c>
      <c r="AI702">
        <v>0</v>
      </c>
      <c r="AJ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6.8022000000000009</v>
      </c>
      <c r="AX702">
        <v>1.4466666666666665</v>
      </c>
      <c r="AY702">
        <v>813.32999999999993</v>
      </c>
      <c r="AZ702">
        <v>58</v>
      </c>
      <c r="BA702">
        <v>780</v>
      </c>
      <c r="BF702" t="s">
        <v>60</v>
      </c>
    </row>
    <row r="703" spans="1:58" x14ac:dyDescent="0.45">
      <c r="A703">
        <v>10702</v>
      </c>
      <c r="B703">
        <v>1</v>
      </c>
      <c r="C703">
        <v>81.42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11.600000000000001</v>
      </c>
      <c r="K703">
        <v>5.99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f t="shared" si="6"/>
        <v>786.56000000000006</v>
      </c>
      <c r="AF703">
        <v>0</v>
      </c>
      <c r="AG703">
        <v>1</v>
      </c>
      <c r="AH703">
        <v>0</v>
      </c>
      <c r="AI703">
        <v>0</v>
      </c>
      <c r="AJ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4.5772000000000004</v>
      </c>
      <c r="AX703">
        <v>1.9333333333333336</v>
      </c>
      <c r="AY703">
        <v>786.56000000000006</v>
      </c>
      <c r="AZ703">
        <v>59</v>
      </c>
      <c r="BA703">
        <v>553</v>
      </c>
      <c r="BF703" t="s">
        <v>60</v>
      </c>
    </row>
    <row r="704" spans="1:58" x14ac:dyDescent="0.45">
      <c r="A704">
        <v>10703</v>
      </c>
      <c r="B704">
        <v>1</v>
      </c>
      <c r="C704">
        <v>74.48</v>
      </c>
      <c r="D704">
        <v>0</v>
      </c>
      <c r="E704">
        <v>0</v>
      </c>
      <c r="F704">
        <v>0</v>
      </c>
      <c r="G704">
        <v>0</v>
      </c>
      <c r="H704">
        <v>1.47</v>
      </c>
      <c r="I704">
        <v>0</v>
      </c>
      <c r="J704">
        <v>4</v>
      </c>
      <c r="K704">
        <v>20.04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Z704">
        <v>0</v>
      </c>
      <c r="AA704">
        <v>1</v>
      </c>
      <c r="AB704">
        <v>0</v>
      </c>
      <c r="AC704">
        <v>0</v>
      </c>
      <c r="AD704">
        <v>1</v>
      </c>
      <c r="AE704">
        <f t="shared" si="6"/>
        <v>831.76199999999994</v>
      </c>
      <c r="AF704">
        <v>0</v>
      </c>
      <c r="AG704">
        <v>1</v>
      </c>
      <c r="AH704">
        <v>0</v>
      </c>
      <c r="AI704">
        <v>0</v>
      </c>
      <c r="AJ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9.8742000000000001</v>
      </c>
      <c r="AX704">
        <v>0.66666666666666663</v>
      </c>
      <c r="AY704">
        <v>831.76199999999994</v>
      </c>
      <c r="AZ704">
        <v>62</v>
      </c>
      <c r="BA704">
        <v>1038</v>
      </c>
      <c r="BF704" t="s">
        <v>60</v>
      </c>
    </row>
    <row r="705" spans="1:58" x14ac:dyDescent="0.45">
      <c r="A705">
        <v>10704</v>
      </c>
      <c r="B705">
        <v>1</v>
      </c>
      <c r="C705">
        <v>65.86</v>
      </c>
      <c r="D705">
        <v>0</v>
      </c>
      <c r="E705">
        <v>0</v>
      </c>
      <c r="F705">
        <v>0</v>
      </c>
      <c r="G705">
        <v>0</v>
      </c>
      <c r="H705">
        <v>0.1</v>
      </c>
      <c r="I705">
        <v>0</v>
      </c>
      <c r="J705">
        <v>17.39</v>
      </c>
      <c r="K705">
        <v>16.64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f t="shared" si="6"/>
        <v>760.46900000000005</v>
      </c>
      <c r="AF705">
        <v>0</v>
      </c>
      <c r="AG705">
        <v>0</v>
      </c>
      <c r="AH705">
        <v>1</v>
      </c>
      <c r="AI705">
        <v>0</v>
      </c>
      <c r="AJ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4.9492000000000003</v>
      </c>
      <c r="AX705">
        <v>2.8983333333333334</v>
      </c>
      <c r="AY705">
        <v>760.46900000000005</v>
      </c>
      <c r="AZ705">
        <v>70</v>
      </c>
      <c r="BA705">
        <v>480</v>
      </c>
      <c r="BF705" t="s">
        <v>60</v>
      </c>
    </row>
    <row r="706" spans="1:58" x14ac:dyDescent="0.45">
      <c r="A706">
        <v>10705</v>
      </c>
      <c r="B706">
        <v>1</v>
      </c>
      <c r="C706">
        <v>71.930000000000007</v>
      </c>
      <c r="D706">
        <v>0</v>
      </c>
      <c r="E706">
        <v>0</v>
      </c>
      <c r="F706">
        <v>0</v>
      </c>
      <c r="G706">
        <v>0</v>
      </c>
      <c r="H706">
        <v>0.97</v>
      </c>
      <c r="I706">
        <v>0</v>
      </c>
      <c r="J706">
        <v>5</v>
      </c>
      <c r="K706">
        <v>22.1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f t="shared" si="6"/>
        <v>832.56200000000001</v>
      </c>
      <c r="AF706">
        <v>0</v>
      </c>
      <c r="AG706">
        <v>1</v>
      </c>
      <c r="AH706">
        <v>0</v>
      </c>
      <c r="AI706">
        <v>0</v>
      </c>
      <c r="AJ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9.0010000000000012</v>
      </c>
      <c r="AX706">
        <v>0.83333333333333337</v>
      </c>
      <c r="AY706">
        <v>832.56200000000001</v>
      </c>
      <c r="AZ706">
        <v>49</v>
      </c>
      <c r="BA706">
        <v>552</v>
      </c>
      <c r="BF706" t="s">
        <v>60</v>
      </c>
    </row>
    <row r="707" spans="1:58" x14ac:dyDescent="0.45">
      <c r="A707">
        <v>10706</v>
      </c>
      <c r="B707">
        <v>1</v>
      </c>
      <c r="C707">
        <v>83.05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10.220000000000001</v>
      </c>
      <c r="L707">
        <v>2.4699999999999998</v>
      </c>
      <c r="M707">
        <v>0</v>
      </c>
      <c r="N707">
        <v>0</v>
      </c>
      <c r="O707">
        <v>4.26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Z707">
        <v>0</v>
      </c>
      <c r="AA707">
        <v>1</v>
      </c>
      <c r="AB707">
        <v>0</v>
      </c>
      <c r="AC707">
        <v>0</v>
      </c>
      <c r="AD707">
        <v>1</v>
      </c>
      <c r="AE707">
        <f t="shared" si="6"/>
        <v>858.53499999999997</v>
      </c>
      <c r="AF707">
        <v>0</v>
      </c>
      <c r="AG707">
        <v>1</v>
      </c>
      <c r="AH707">
        <v>0</v>
      </c>
      <c r="AI707">
        <v>0</v>
      </c>
      <c r="AJ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6.2687999999999997</v>
      </c>
      <c r="AX707">
        <v>0</v>
      </c>
      <c r="AY707">
        <v>858.53499999999997</v>
      </c>
      <c r="AZ707">
        <v>50</v>
      </c>
      <c r="BA707">
        <v>557</v>
      </c>
      <c r="BF707" t="s">
        <v>60</v>
      </c>
    </row>
    <row r="708" spans="1:58" x14ac:dyDescent="0.45">
      <c r="A708">
        <v>10707</v>
      </c>
      <c r="B708">
        <v>1</v>
      </c>
      <c r="C708">
        <v>72.599999999999994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20.09</v>
      </c>
      <c r="L708">
        <v>2.68</v>
      </c>
      <c r="M708">
        <v>0</v>
      </c>
      <c r="N708">
        <v>0</v>
      </c>
      <c r="O708">
        <v>4.62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Z708">
        <v>0</v>
      </c>
      <c r="AA708">
        <v>1</v>
      </c>
      <c r="AB708">
        <v>0</v>
      </c>
      <c r="AC708">
        <v>0</v>
      </c>
      <c r="AD708">
        <v>1</v>
      </c>
      <c r="AE708">
        <f t="shared" si="6"/>
        <v>856.54</v>
      </c>
      <c r="AF708">
        <v>0</v>
      </c>
      <c r="AG708">
        <v>1</v>
      </c>
      <c r="AH708">
        <v>0</v>
      </c>
      <c r="AI708">
        <v>0</v>
      </c>
      <c r="AJ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9.3216000000000001</v>
      </c>
      <c r="AX708">
        <v>0</v>
      </c>
      <c r="AY708">
        <v>856.54</v>
      </c>
      <c r="AZ708">
        <v>53</v>
      </c>
      <c r="BA708">
        <v>599</v>
      </c>
      <c r="BF708" t="s">
        <v>60</v>
      </c>
    </row>
    <row r="709" spans="1:58" x14ac:dyDescent="0.45">
      <c r="A709">
        <v>10708</v>
      </c>
      <c r="B709">
        <v>1</v>
      </c>
      <c r="C709">
        <v>72.599999999999994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20.09</v>
      </c>
      <c r="L709">
        <v>2.68</v>
      </c>
      <c r="M709">
        <v>0</v>
      </c>
      <c r="N709">
        <v>0</v>
      </c>
      <c r="O709">
        <v>4.63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J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9.3238000000000003</v>
      </c>
      <c r="AX709">
        <v>0</v>
      </c>
      <c r="AY709">
        <v>856.54</v>
      </c>
      <c r="AZ709">
        <v>51</v>
      </c>
    </row>
    <row r="710" spans="1:58" x14ac:dyDescent="0.45">
      <c r="A710">
        <v>10709</v>
      </c>
      <c r="B710">
        <v>1</v>
      </c>
      <c r="C710">
        <v>74.48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19.869999999999997</v>
      </c>
      <c r="L710">
        <v>0</v>
      </c>
      <c r="M710">
        <v>1.0699999999999998</v>
      </c>
      <c r="N710">
        <v>0</v>
      </c>
      <c r="O710">
        <v>4.5699999999999994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Z710">
        <v>0</v>
      </c>
      <c r="AA710">
        <v>1</v>
      </c>
      <c r="AB710">
        <v>0</v>
      </c>
      <c r="AC710">
        <v>0</v>
      </c>
      <c r="AD710">
        <v>1</v>
      </c>
      <c r="AE710">
        <f>AY710</f>
        <v>886.49400000000003</v>
      </c>
      <c r="AF710">
        <v>0</v>
      </c>
      <c r="AG710">
        <v>1</v>
      </c>
      <c r="AH710">
        <v>0</v>
      </c>
      <c r="AI710">
        <v>0</v>
      </c>
      <c r="AJ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6.569</v>
      </c>
      <c r="AX710">
        <v>0.35666666666666663</v>
      </c>
      <c r="AY710">
        <v>886.49400000000003</v>
      </c>
      <c r="AZ710">
        <v>48</v>
      </c>
      <c r="BA710">
        <v>432</v>
      </c>
      <c r="BF710" t="s">
        <v>60</v>
      </c>
    </row>
    <row r="711" spans="1:58" x14ac:dyDescent="0.45">
      <c r="A711">
        <v>10710</v>
      </c>
      <c r="B711">
        <v>1</v>
      </c>
      <c r="C711">
        <v>72.52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20.29</v>
      </c>
      <c r="L711">
        <v>0</v>
      </c>
      <c r="M711">
        <v>2.52</v>
      </c>
      <c r="N711">
        <v>0</v>
      </c>
      <c r="O711">
        <v>4.67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Z711">
        <v>0</v>
      </c>
      <c r="AA711">
        <v>1</v>
      </c>
      <c r="AB711">
        <v>0</v>
      </c>
      <c r="AC711">
        <v>0</v>
      </c>
      <c r="AD711">
        <v>1</v>
      </c>
      <c r="AE711">
        <f>AY711</f>
        <v>892.58399999999995</v>
      </c>
      <c r="AF711">
        <v>0</v>
      </c>
      <c r="AG711">
        <v>1</v>
      </c>
      <c r="AH711">
        <v>0</v>
      </c>
      <c r="AI711">
        <v>0</v>
      </c>
      <c r="AJ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6.7086000000000006</v>
      </c>
      <c r="AX711">
        <v>0.84</v>
      </c>
      <c r="AY711">
        <v>892.58399999999995</v>
      </c>
      <c r="AZ711">
        <v>55</v>
      </c>
      <c r="BA711">
        <v>367</v>
      </c>
      <c r="BF711" t="s">
        <v>60</v>
      </c>
    </row>
    <row r="712" spans="1:58" x14ac:dyDescent="0.45">
      <c r="A712">
        <v>10711</v>
      </c>
      <c r="B712">
        <v>1</v>
      </c>
      <c r="C712">
        <v>71.430000000000007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20.52</v>
      </c>
      <c r="L712">
        <v>0</v>
      </c>
      <c r="M712">
        <v>3.32</v>
      </c>
      <c r="N712">
        <v>0</v>
      </c>
      <c r="O712">
        <v>4.72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Z712">
        <v>0</v>
      </c>
      <c r="AA712">
        <v>1</v>
      </c>
      <c r="AB712">
        <v>0</v>
      </c>
      <c r="AC712">
        <v>0</v>
      </c>
      <c r="AD712">
        <v>1</v>
      </c>
      <c r="AE712">
        <f>AY712</f>
        <v>895.94399999999996</v>
      </c>
      <c r="AF712">
        <v>0</v>
      </c>
      <c r="AG712">
        <v>1</v>
      </c>
      <c r="AH712">
        <v>0</v>
      </c>
      <c r="AI712">
        <v>0</v>
      </c>
      <c r="AJ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6.7840000000000007</v>
      </c>
      <c r="AX712">
        <v>1.1066666666666667</v>
      </c>
      <c r="AY712">
        <v>895.94399999999996</v>
      </c>
      <c r="AZ712">
        <v>69</v>
      </c>
      <c r="BA712">
        <v>501</v>
      </c>
      <c r="BF712" t="s">
        <v>60</v>
      </c>
    </row>
    <row r="713" spans="1:58" x14ac:dyDescent="0.45">
      <c r="A713">
        <v>10712</v>
      </c>
      <c r="B713">
        <v>1</v>
      </c>
      <c r="C713">
        <v>74.48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19.87</v>
      </c>
      <c r="L713">
        <v>0</v>
      </c>
      <c r="M713">
        <v>1.07</v>
      </c>
      <c r="N713">
        <v>0</v>
      </c>
      <c r="O713">
        <v>4.58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J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6.571200000000001</v>
      </c>
      <c r="AX713">
        <v>0.35666666666666669</v>
      </c>
      <c r="AY713">
        <v>886.49400000000003</v>
      </c>
      <c r="AZ713">
        <v>69</v>
      </c>
    </row>
    <row r="714" spans="1:58" x14ac:dyDescent="0.45">
      <c r="A714">
        <v>10713</v>
      </c>
      <c r="B714">
        <v>1</v>
      </c>
      <c r="C714">
        <v>74.050000000000011</v>
      </c>
      <c r="D714">
        <v>0</v>
      </c>
      <c r="E714">
        <v>0</v>
      </c>
      <c r="F714">
        <v>2.1999999999999997</v>
      </c>
      <c r="G714">
        <v>0</v>
      </c>
      <c r="H714">
        <v>3.0700000000000003</v>
      </c>
      <c r="I714">
        <v>0</v>
      </c>
      <c r="J714">
        <v>20.68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J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12.423</v>
      </c>
      <c r="AX714">
        <v>3.4466666666666668</v>
      </c>
      <c r="AY714">
        <v>665.41</v>
      </c>
      <c r="AZ714">
        <v>140</v>
      </c>
      <c r="BA714">
        <v>1049</v>
      </c>
      <c r="BF714" t="s">
        <v>60</v>
      </c>
    </row>
    <row r="715" spans="1:58" x14ac:dyDescent="0.45">
      <c r="A715">
        <v>10714</v>
      </c>
      <c r="B715">
        <v>1</v>
      </c>
      <c r="C715">
        <v>71.91</v>
      </c>
      <c r="D715">
        <v>0</v>
      </c>
      <c r="E715">
        <v>0</v>
      </c>
      <c r="F715">
        <v>2.21</v>
      </c>
      <c r="G715">
        <v>0</v>
      </c>
      <c r="H715">
        <v>5.1400000000000006</v>
      </c>
      <c r="I715">
        <v>0</v>
      </c>
      <c r="J715">
        <v>20.75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J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18.442</v>
      </c>
      <c r="AX715">
        <v>3.4583333333333335</v>
      </c>
      <c r="AY715">
        <v>632.92800000000011</v>
      </c>
      <c r="AZ715">
        <v>145</v>
      </c>
      <c r="BA715">
        <v>1130</v>
      </c>
      <c r="BF715" t="s">
        <v>60</v>
      </c>
    </row>
    <row r="716" spans="1:58" x14ac:dyDescent="0.45">
      <c r="A716">
        <v>10715</v>
      </c>
      <c r="B716">
        <v>1</v>
      </c>
      <c r="C716">
        <v>69.75</v>
      </c>
      <c r="D716">
        <v>0</v>
      </c>
      <c r="E716">
        <v>0</v>
      </c>
      <c r="F716">
        <v>2.21</v>
      </c>
      <c r="G716">
        <v>0</v>
      </c>
      <c r="H716">
        <v>7.22</v>
      </c>
      <c r="I716">
        <v>0</v>
      </c>
      <c r="J716">
        <v>20.82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J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24.474</v>
      </c>
      <c r="AX716">
        <v>3.47</v>
      </c>
      <c r="AY716">
        <v>600.41300000000001</v>
      </c>
      <c r="AZ716">
        <v>157</v>
      </c>
      <c r="BA716">
        <v>1239</v>
      </c>
      <c r="BF716" t="s">
        <v>60</v>
      </c>
    </row>
    <row r="717" spans="1:58" x14ac:dyDescent="0.45">
      <c r="A717">
        <v>10716</v>
      </c>
      <c r="B717">
        <v>1</v>
      </c>
      <c r="C717">
        <v>71.8</v>
      </c>
      <c r="D717">
        <v>0</v>
      </c>
      <c r="E717">
        <v>0</v>
      </c>
      <c r="F717">
        <v>4.41</v>
      </c>
      <c r="G717">
        <v>0</v>
      </c>
      <c r="H717">
        <v>3.08</v>
      </c>
      <c r="I717">
        <v>0</v>
      </c>
      <c r="J717">
        <v>20.72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J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15.988000000000001</v>
      </c>
      <c r="AX717">
        <v>3.4533333333333331</v>
      </c>
      <c r="AY717">
        <v>638.23900000000003</v>
      </c>
      <c r="AZ717">
        <v>130</v>
      </c>
      <c r="BA717">
        <v>1113</v>
      </c>
      <c r="BF717" t="s">
        <v>60</v>
      </c>
    </row>
    <row r="718" spans="1:58" x14ac:dyDescent="0.45">
      <c r="A718">
        <v>10717</v>
      </c>
      <c r="B718">
        <v>1</v>
      </c>
      <c r="C718">
        <v>69.64</v>
      </c>
      <c r="D718">
        <v>0</v>
      </c>
      <c r="E718">
        <v>0</v>
      </c>
      <c r="F718">
        <v>4.42</v>
      </c>
      <c r="G718">
        <v>0</v>
      </c>
      <c r="H718">
        <v>5.1499999999999995</v>
      </c>
      <c r="I718">
        <v>0</v>
      </c>
      <c r="J718">
        <v>20.79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J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22.006999999999998</v>
      </c>
      <c r="AX718">
        <v>3.4649999999999999</v>
      </c>
      <c r="AY718">
        <v>605.75700000000006</v>
      </c>
      <c r="AZ718">
        <v>142</v>
      </c>
      <c r="BA718">
        <v>1210</v>
      </c>
      <c r="BF718" t="s">
        <v>60</v>
      </c>
    </row>
    <row r="719" spans="1:58" x14ac:dyDescent="0.45">
      <c r="A719">
        <v>10718</v>
      </c>
      <c r="B719">
        <v>1</v>
      </c>
      <c r="C719">
        <v>67.47</v>
      </c>
      <c r="D719">
        <v>0</v>
      </c>
      <c r="E719">
        <v>0</v>
      </c>
      <c r="F719">
        <v>4.4400000000000004</v>
      </c>
      <c r="G719">
        <v>0</v>
      </c>
      <c r="H719">
        <v>7.23</v>
      </c>
      <c r="I719">
        <v>0</v>
      </c>
      <c r="J719">
        <v>20.86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J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28.071000000000005</v>
      </c>
      <c r="AX719">
        <v>3.4766666666666666</v>
      </c>
      <c r="AY719">
        <v>573</v>
      </c>
      <c r="AZ719">
        <v>149</v>
      </c>
      <c r="BA719">
        <v>1287</v>
      </c>
      <c r="BF719" t="s">
        <v>60</v>
      </c>
    </row>
    <row r="720" spans="1:58" x14ac:dyDescent="0.45">
      <c r="A720">
        <v>10719</v>
      </c>
      <c r="B720">
        <v>1</v>
      </c>
      <c r="C720">
        <v>88.06</v>
      </c>
      <c r="D720">
        <v>0</v>
      </c>
      <c r="E720">
        <v>0</v>
      </c>
      <c r="F720">
        <v>0</v>
      </c>
      <c r="G720">
        <v>0</v>
      </c>
      <c r="H720">
        <v>1.8900000000000001</v>
      </c>
      <c r="I720">
        <v>0</v>
      </c>
      <c r="J720">
        <v>3.47</v>
      </c>
      <c r="K720">
        <v>0</v>
      </c>
      <c r="L720">
        <v>6.59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Z720">
        <v>0</v>
      </c>
      <c r="AA720">
        <v>1</v>
      </c>
      <c r="AB720">
        <v>0</v>
      </c>
      <c r="AC720">
        <v>0</v>
      </c>
      <c r="AD720">
        <v>1</v>
      </c>
      <c r="AE720">
        <f>AY720</f>
        <v>766.346</v>
      </c>
      <c r="AF720">
        <v>0</v>
      </c>
      <c r="AG720">
        <v>0</v>
      </c>
      <c r="AH720">
        <v>1</v>
      </c>
      <c r="AI720">
        <v>0</v>
      </c>
      <c r="AJ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12.071</v>
      </c>
      <c r="AX720">
        <v>0.57833333333333337</v>
      </c>
      <c r="AY720">
        <v>766.346</v>
      </c>
      <c r="AZ720">
        <v>79.5</v>
      </c>
      <c r="BA720">
        <v>897</v>
      </c>
      <c r="BF720" t="s">
        <v>60</v>
      </c>
    </row>
    <row r="721" spans="1:58" x14ac:dyDescent="0.45">
      <c r="A721">
        <v>10720</v>
      </c>
      <c r="B721">
        <v>1</v>
      </c>
      <c r="C721">
        <v>82.96</v>
      </c>
      <c r="D721">
        <v>3.7699999999999996</v>
      </c>
      <c r="E721">
        <v>0</v>
      </c>
      <c r="F721">
        <v>4.9000000000000004</v>
      </c>
      <c r="G721">
        <v>0</v>
      </c>
      <c r="H721">
        <v>0</v>
      </c>
      <c r="I721">
        <v>0</v>
      </c>
      <c r="J721">
        <v>8.3699999999999992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Z721">
        <v>0</v>
      </c>
      <c r="AA721">
        <v>1</v>
      </c>
      <c r="AB721">
        <v>0</v>
      </c>
      <c r="AC721">
        <v>0</v>
      </c>
      <c r="AD721">
        <v>1</v>
      </c>
      <c r="AE721">
        <f>AY721</f>
        <v>772.87400000000002</v>
      </c>
      <c r="AF721">
        <v>0</v>
      </c>
      <c r="AG721">
        <v>1</v>
      </c>
      <c r="AH721">
        <v>0</v>
      </c>
      <c r="AI721">
        <v>0</v>
      </c>
      <c r="AJ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4.0700000000000012</v>
      </c>
      <c r="AX721">
        <v>5.1649999999999991</v>
      </c>
      <c r="AY721">
        <v>772.87400000000002</v>
      </c>
      <c r="AZ721">
        <v>58</v>
      </c>
      <c r="BA721">
        <v>625.4</v>
      </c>
      <c r="BF721" t="s">
        <v>60</v>
      </c>
    </row>
    <row r="722" spans="1:58" x14ac:dyDescent="0.45">
      <c r="A722">
        <v>10721</v>
      </c>
      <c r="B722">
        <v>1</v>
      </c>
      <c r="C722">
        <v>87.94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3.54</v>
      </c>
      <c r="K722">
        <v>0</v>
      </c>
      <c r="L722">
        <v>6.47</v>
      </c>
      <c r="M722">
        <v>2.0499999999999998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J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6.47</v>
      </c>
      <c r="AX722">
        <v>1.2733333333333332</v>
      </c>
      <c r="AY722">
        <v>804.71899999999994</v>
      </c>
      <c r="AZ722">
        <v>83</v>
      </c>
    </row>
    <row r="723" spans="1:58" x14ac:dyDescent="0.45">
      <c r="A723">
        <v>10722</v>
      </c>
      <c r="B723">
        <v>1</v>
      </c>
      <c r="C723">
        <v>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</v>
      </c>
      <c r="K723">
        <v>35</v>
      </c>
      <c r="L723">
        <v>3</v>
      </c>
      <c r="M723">
        <v>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Z723">
        <v>1</v>
      </c>
      <c r="AA723">
        <v>0</v>
      </c>
      <c r="AB723">
        <v>0</v>
      </c>
      <c r="AC723">
        <v>0</v>
      </c>
      <c r="AD723">
        <v>1</v>
      </c>
      <c r="AE723">
        <v>800</v>
      </c>
      <c r="AF723">
        <v>0.5</v>
      </c>
      <c r="AG723">
        <v>1</v>
      </c>
      <c r="AH723">
        <v>0</v>
      </c>
      <c r="AI723">
        <v>0</v>
      </c>
      <c r="AJ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12.8</v>
      </c>
      <c r="AX723">
        <v>2.166666666666667</v>
      </c>
      <c r="AY723">
        <v>853.8</v>
      </c>
      <c r="AZ723">
        <v>70</v>
      </c>
      <c r="BA723">
        <v>668</v>
      </c>
      <c r="BB723">
        <v>690</v>
      </c>
      <c r="BC723">
        <v>18</v>
      </c>
      <c r="BF723" t="s">
        <v>158</v>
      </c>
    </row>
    <row r="724" spans="1:58" x14ac:dyDescent="0.45">
      <c r="A724">
        <v>10723</v>
      </c>
      <c r="B724">
        <v>1</v>
      </c>
      <c r="C724">
        <v>51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</v>
      </c>
      <c r="K724">
        <v>35</v>
      </c>
      <c r="L724">
        <v>6</v>
      </c>
      <c r="M724">
        <v>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Z724">
        <v>1</v>
      </c>
      <c r="AA724">
        <v>0</v>
      </c>
      <c r="AB724">
        <v>0</v>
      </c>
      <c r="AC724">
        <v>0</v>
      </c>
      <c r="AD724">
        <v>1</v>
      </c>
      <c r="AE724">
        <v>800</v>
      </c>
      <c r="AF724">
        <v>0.5</v>
      </c>
      <c r="AG724">
        <v>1</v>
      </c>
      <c r="AH724">
        <v>0</v>
      </c>
      <c r="AI724">
        <v>0</v>
      </c>
      <c r="AJ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15.8</v>
      </c>
      <c r="AX724">
        <v>2.166666666666667</v>
      </c>
      <c r="AY724">
        <v>825.3</v>
      </c>
      <c r="AZ724">
        <v>85</v>
      </c>
      <c r="BA724">
        <v>729</v>
      </c>
      <c r="BB724">
        <v>770</v>
      </c>
      <c r="BC724">
        <v>10.5</v>
      </c>
      <c r="BF724" t="s">
        <v>158</v>
      </c>
    </row>
    <row r="725" spans="1:58" x14ac:dyDescent="0.45">
      <c r="A725">
        <v>10724</v>
      </c>
      <c r="B725">
        <v>1</v>
      </c>
      <c r="C725">
        <v>44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</v>
      </c>
      <c r="K725">
        <v>35</v>
      </c>
      <c r="L725">
        <v>9</v>
      </c>
      <c r="M725">
        <v>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Z725">
        <v>1</v>
      </c>
      <c r="AA725">
        <v>0</v>
      </c>
      <c r="AB725">
        <v>0</v>
      </c>
      <c r="AC725">
        <v>0</v>
      </c>
      <c r="AD725">
        <v>1</v>
      </c>
      <c r="AE725">
        <v>800</v>
      </c>
      <c r="AF725">
        <v>0.5</v>
      </c>
      <c r="AG725">
        <v>1</v>
      </c>
      <c r="AH725">
        <v>0</v>
      </c>
      <c r="AI725">
        <v>0</v>
      </c>
      <c r="AJ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18.8</v>
      </c>
      <c r="AX725">
        <v>2.5</v>
      </c>
      <c r="AY725">
        <v>747</v>
      </c>
      <c r="AZ725">
        <v>70</v>
      </c>
      <c r="BA725">
        <v>781</v>
      </c>
      <c r="BB725">
        <v>833</v>
      </c>
      <c r="BC725">
        <v>10.199999999999999</v>
      </c>
      <c r="BF725" t="s">
        <v>158</v>
      </c>
    </row>
    <row r="726" spans="1:58" x14ac:dyDescent="0.45">
      <c r="A726">
        <v>10725</v>
      </c>
      <c r="B726">
        <v>1</v>
      </c>
      <c r="C726">
        <v>52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6</v>
      </c>
      <c r="K726">
        <v>35</v>
      </c>
      <c r="L726">
        <v>3</v>
      </c>
      <c r="M726">
        <v>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Z726">
        <v>1</v>
      </c>
      <c r="AA726">
        <v>0</v>
      </c>
      <c r="AB726">
        <v>0</v>
      </c>
      <c r="AC726">
        <v>0</v>
      </c>
      <c r="AD726">
        <v>1</v>
      </c>
      <c r="AE726">
        <v>800</v>
      </c>
      <c r="AF726">
        <v>0.5</v>
      </c>
      <c r="AG726">
        <v>1</v>
      </c>
      <c r="AH726">
        <v>0</v>
      </c>
      <c r="AI726">
        <v>0</v>
      </c>
      <c r="AJ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12.8</v>
      </c>
      <c r="AX726">
        <v>2.333333333333333</v>
      </c>
      <c r="AY726">
        <v>828.9</v>
      </c>
      <c r="AZ726">
        <v>55</v>
      </c>
      <c r="BA726">
        <v>654</v>
      </c>
      <c r="BB726">
        <v>666</v>
      </c>
      <c r="BC726">
        <v>8.9</v>
      </c>
      <c r="BF726" t="s">
        <v>158</v>
      </c>
    </row>
    <row r="727" spans="1:58" x14ac:dyDescent="0.45">
      <c r="A727">
        <v>10726</v>
      </c>
      <c r="B727">
        <v>1</v>
      </c>
      <c r="C727">
        <v>68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10</v>
      </c>
      <c r="K727">
        <v>10.199999999999999</v>
      </c>
      <c r="L727">
        <v>5.3</v>
      </c>
      <c r="M727">
        <v>6.5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J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8.1559999999999988</v>
      </c>
      <c r="AX727">
        <v>3.833333333333333</v>
      </c>
      <c r="AY727">
        <v>789.94999999999993</v>
      </c>
      <c r="AZ727">
        <v>48</v>
      </c>
      <c r="BA727">
        <v>478</v>
      </c>
      <c r="BB727">
        <v>715</v>
      </c>
      <c r="BC727">
        <v>7.6</v>
      </c>
      <c r="BF727" t="s">
        <v>159</v>
      </c>
    </row>
    <row r="728" spans="1:58" x14ac:dyDescent="0.45">
      <c r="A728">
        <v>10727</v>
      </c>
      <c r="B728">
        <v>1</v>
      </c>
      <c r="C728">
        <v>61.7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9.1</v>
      </c>
      <c r="K728">
        <v>18.5</v>
      </c>
      <c r="L728">
        <v>4.8</v>
      </c>
      <c r="M728">
        <v>5.9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J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9.98</v>
      </c>
      <c r="AX728">
        <v>3.4833333333333334</v>
      </c>
      <c r="AY728">
        <v>798.39</v>
      </c>
      <c r="AZ728">
        <v>72</v>
      </c>
      <c r="BA728">
        <v>499</v>
      </c>
      <c r="BB728">
        <v>519</v>
      </c>
      <c r="BC728">
        <v>6.4</v>
      </c>
      <c r="BF728" t="s">
        <v>159</v>
      </c>
    </row>
    <row r="729" spans="1:58" x14ac:dyDescent="0.45">
      <c r="A729">
        <v>10728</v>
      </c>
      <c r="B729">
        <v>1</v>
      </c>
      <c r="C729">
        <v>65.599999999999994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9.3000000000000007</v>
      </c>
      <c r="K729">
        <v>14.2</v>
      </c>
      <c r="L729">
        <v>4.9000000000000004</v>
      </c>
      <c r="M729">
        <v>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J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8.8760000000000012</v>
      </c>
      <c r="AX729">
        <v>3.55</v>
      </c>
      <c r="AY729">
        <v>796.48000000000013</v>
      </c>
      <c r="AZ729">
        <v>56</v>
      </c>
      <c r="BA729">
        <v>566</v>
      </c>
      <c r="BB729">
        <v>701</v>
      </c>
      <c r="BC729">
        <v>13.6</v>
      </c>
      <c r="BF729" t="s">
        <v>159</v>
      </c>
    </row>
    <row r="730" spans="1:58" x14ac:dyDescent="0.45">
      <c r="A730">
        <v>10729</v>
      </c>
      <c r="B730">
        <v>1</v>
      </c>
      <c r="C730">
        <v>69.599999999999994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9.5</v>
      </c>
      <c r="K730">
        <v>9.6999999999999993</v>
      </c>
      <c r="L730">
        <v>5</v>
      </c>
      <c r="M730">
        <v>6.2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J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7.7160000000000002</v>
      </c>
      <c r="AX730">
        <v>3.6500000000000004</v>
      </c>
      <c r="AY730">
        <v>794.99</v>
      </c>
      <c r="AZ730">
        <v>54</v>
      </c>
      <c r="BA730">
        <v>235</v>
      </c>
      <c r="BB730">
        <v>715</v>
      </c>
      <c r="BC730">
        <v>12.5</v>
      </c>
      <c r="BF730" t="s">
        <v>159</v>
      </c>
    </row>
    <row r="731" spans="1:58" x14ac:dyDescent="0.45">
      <c r="A731">
        <v>10730</v>
      </c>
      <c r="B731">
        <v>1</v>
      </c>
      <c r="C731">
        <v>73.8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4.9000000000000004</v>
      </c>
      <c r="K731">
        <v>9.9</v>
      </c>
      <c r="L731">
        <v>5.0999999999999996</v>
      </c>
      <c r="M731">
        <v>6.3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J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7.8719999999999999</v>
      </c>
      <c r="AX731">
        <v>2.916666666666667</v>
      </c>
      <c r="AY731">
        <v>826.2</v>
      </c>
      <c r="AZ731">
        <v>59</v>
      </c>
      <c r="BA731">
        <v>275</v>
      </c>
      <c r="BB731">
        <v>762</v>
      </c>
      <c r="BC731">
        <v>13.8</v>
      </c>
      <c r="BF731" t="s">
        <v>159</v>
      </c>
    </row>
    <row r="732" spans="1:58" x14ac:dyDescent="0.45">
      <c r="A732">
        <v>10731</v>
      </c>
      <c r="B732">
        <v>1</v>
      </c>
      <c r="C732">
        <v>68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5</v>
      </c>
      <c r="K732">
        <v>15.2</v>
      </c>
      <c r="L732">
        <v>5.3</v>
      </c>
      <c r="M732">
        <v>6.5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J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9.5560000000000009</v>
      </c>
      <c r="AX732">
        <v>3</v>
      </c>
      <c r="AY732">
        <v>824.44999999999993</v>
      </c>
      <c r="AZ732">
        <v>55</v>
      </c>
      <c r="BA732">
        <v>533</v>
      </c>
      <c r="BB732">
        <v>692</v>
      </c>
      <c r="BC732">
        <v>14.2</v>
      </c>
      <c r="BF732" t="s">
        <v>159</v>
      </c>
    </row>
    <row r="733" spans="1:58" x14ac:dyDescent="0.45">
      <c r="A733">
        <v>10732</v>
      </c>
      <c r="B733">
        <v>1</v>
      </c>
      <c r="C733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9</v>
      </c>
      <c r="K733">
        <v>35</v>
      </c>
      <c r="L733">
        <v>6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20</v>
      </c>
      <c r="Z733">
        <v>0</v>
      </c>
      <c r="AA733">
        <v>1</v>
      </c>
      <c r="AB733">
        <v>0</v>
      </c>
      <c r="AC733">
        <v>0</v>
      </c>
      <c r="AD733">
        <v>1</v>
      </c>
      <c r="AE733">
        <v>800</v>
      </c>
      <c r="AF733">
        <v>0.5</v>
      </c>
      <c r="AG733">
        <v>1</v>
      </c>
      <c r="AH733">
        <v>0</v>
      </c>
      <c r="AI733">
        <v>0</v>
      </c>
      <c r="AJ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15.8</v>
      </c>
      <c r="AX733">
        <v>2.833333333333333</v>
      </c>
      <c r="AY733">
        <v>779.69999999999993</v>
      </c>
      <c r="BB733">
        <v>797</v>
      </c>
      <c r="BC733">
        <v>14.12</v>
      </c>
      <c r="BF733" t="s">
        <v>160</v>
      </c>
    </row>
    <row r="734" spans="1:58" x14ac:dyDescent="0.45">
      <c r="A734">
        <v>10733</v>
      </c>
      <c r="B734">
        <v>1</v>
      </c>
      <c r="C734">
        <v>46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9</v>
      </c>
      <c r="K734">
        <v>35</v>
      </c>
      <c r="L734">
        <v>6</v>
      </c>
      <c r="M734">
        <v>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20</v>
      </c>
      <c r="Y734">
        <v>23</v>
      </c>
      <c r="Z734">
        <v>0</v>
      </c>
      <c r="AA734">
        <v>1</v>
      </c>
      <c r="AB734">
        <v>0</v>
      </c>
      <c r="AC734">
        <v>0</v>
      </c>
      <c r="AD734">
        <v>1</v>
      </c>
      <c r="AE734">
        <v>800</v>
      </c>
      <c r="AF734">
        <v>0.5</v>
      </c>
      <c r="AG734">
        <v>1</v>
      </c>
      <c r="AH734">
        <v>0</v>
      </c>
      <c r="AI734">
        <v>0</v>
      </c>
      <c r="AJ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15.8</v>
      </c>
      <c r="AX734">
        <v>2.833333333333333</v>
      </c>
      <c r="AY734">
        <v>779.69999999999993</v>
      </c>
      <c r="BB734">
        <v>857</v>
      </c>
      <c r="BC734">
        <v>12.41</v>
      </c>
      <c r="BF734" t="s">
        <v>161</v>
      </c>
    </row>
    <row r="735" spans="1:58" x14ac:dyDescent="0.45">
      <c r="A735">
        <v>10734</v>
      </c>
      <c r="B735">
        <v>1</v>
      </c>
      <c r="C735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9</v>
      </c>
      <c r="K735">
        <v>35</v>
      </c>
      <c r="L735">
        <v>6</v>
      </c>
      <c r="M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20</v>
      </c>
      <c r="Y735">
        <v>44</v>
      </c>
      <c r="Z735">
        <v>0</v>
      </c>
      <c r="AA735">
        <v>1</v>
      </c>
      <c r="AB735">
        <v>0</v>
      </c>
      <c r="AC735">
        <v>0</v>
      </c>
      <c r="AD735">
        <v>1</v>
      </c>
      <c r="AE735">
        <v>800</v>
      </c>
      <c r="AF735">
        <v>0.5</v>
      </c>
      <c r="AG735">
        <v>1</v>
      </c>
      <c r="AH735">
        <v>0</v>
      </c>
      <c r="AI735">
        <v>0</v>
      </c>
      <c r="AJ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15.8</v>
      </c>
      <c r="AX735">
        <v>2.833333333333333</v>
      </c>
      <c r="AY735">
        <v>779.69999999999993</v>
      </c>
      <c r="BB735">
        <v>935</v>
      </c>
      <c r="BC735">
        <v>8.9</v>
      </c>
      <c r="BF735" t="s">
        <v>162</v>
      </c>
    </row>
    <row r="736" spans="1:58" x14ac:dyDescent="0.45">
      <c r="A736">
        <v>10735</v>
      </c>
      <c r="B736">
        <v>1</v>
      </c>
      <c r="C736">
        <v>46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9</v>
      </c>
      <c r="K736">
        <v>35</v>
      </c>
      <c r="L736">
        <v>6</v>
      </c>
      <c r="M736">
        <v>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20</v>
      </c>
      <c r="Y736">
        <v>66</v>
      </c>
      <c r="Z736">
        <v>0</v>
      </c>
      <c r="AA736">
        <v>1</v>
      </c>
      <c r="AB736">
        <v>0</v>
      </c>
      <c r="AC736">
        <v>0</v>
      </c>
      <c r="AD736">
        <v>1</v>
      </c>
      <c r="AE736">
        <v>800</v>
      </c>
      <c r="AF736">
        <v>0.5</v>
      </c>
      <c r="AG736">
        <v>1</v>
      </c>
      <c r="AH736">
        <v>0</v>
      </c>
      <c r="AI736">
        <v>0</v>
      </c>
      <c r="AJ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15.8</v>
      </c>
      <c r="AX736">
        <v>2.833333333333333</v>
      </c>
      <c r="AY736">
        <v>779.69999999999993</v>
      </c>
      <c r="BB736">
        <v>1009</v>
      </c>
      <c r="BC736">
        <v>7.98</v>
      </c>
      <c r="BF736" t="s">
        <v>163</v>
      </c>
    </row>
    <row r="737" spans="1:58" x14ac:dyDescent="0.45">
      <c r="A737">
        <v>10736</v>
      </c>
      <c r="B737">
        <v>1</v>
      </c>
      <c r="C737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9</v>
      </c>
      <c r="K737">
        <v>35</v>
      </c>
      <c r="L737">
        <v>6</v>
      </c>
      <c r="M737">
        <v>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20</v>
      </c>
      <c r="Y737">
        <v>85</v>
      </c>
      <c r="Z737">
        <v>0</v>
      </c>
      <c r="AA737">
        <v>1</v>
      </c>
      <c r="AB737">
        <v>0</v>
      </c>
      <c r="AC737">
        <v>0</v>
      </c>
      <c r="AD737">
        <v>1</v>
      </c>
      <c r="AE737">
        <v>800</v>
      </c>
      <c r="AF737">
        <v>0.5</v>
      </c>
      <c r="AG737">
        <v>1</v>
      </c>
      <c r="AH737">
        <v>0</v>
      </c>
      <c r="AI737">
        <v>0</v>
      </c>
      <c r="AJ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15.8</v>
      </c>
      <c r="AX737">
        <v>2.833333333333333</v>
      </c>
      <c r="AY737">
        <v>779.69999999999993</v>
      </c>
      <c r="BB737">
        <v>1110</v>
      </c>
      <c r="BC737">
        <v>4.42</v>
      </c>
      <c r="BF737" t="s">
        <v>164</v>
      </c>
    </row>
    <row r="738" spans="1:58" x14ac:dyDescent="0.45">
      <c r="A738">
        <v>10737</v>
      </c>
      <c r="B738">
        <v>1</v>
      </c>
      <c r="C738">
        <v>61.7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9.1</v>
      </c>
      <c r="K738">
        <v>18.5</v>
      </c>
      <c r="L738">
        <v>4.8</v>
      </c>
      <c r="M738">
        <v>5.9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J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9.98</v>
      </c>
      <c r="AX738">
        <v>3.4833333333333334</v>
      </c>
      <c r="AY738">
        <v>798.39</v>
      </c>
      <c r="BA738">
        <v>499</v>
      </c>
      <c r="BB738">
        <v>519</v>
      </c>
      <c r="BC738">
        <v>6.4</v>
      </c>
      <c r="BF738" t="s">
        <v>108</v>
      </c>
    </row>
    <row r="739" spans="1:58" x14ac:dyDescent="0.45">
      <c r="A739">
        <v>10738</v>
      </c>
      <c r="B739">
        <v>1</v>
      </c>
      <c r="C739">
        <v>65.599999999999994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9.3000000000000007</v>
      </c>
      <c r="K739">
        <v>14.2</v>
      </c>
      <c r="L739">
        <v>4.9000000000000004</v>
      </c>
      <c r="M739">
        <v>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J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8.8760000000000012</v>
      </c>
      <c r="AX739">
        <v>3.55</v>
      </c>
      <c r="AY739">
        <v>796.48000000000013</v>
      </c>
      <c r="BA739">
        <v>566</v>
      </c>
      <c r="BB739">
        <v>701</v>
      </c>
      <c r="BC739">
        <v>13.6</v>
      </c>
      <c r="BF739" t="s">
        <v>108</v>
      </c>
    </row>
    <row r="740" spans="1:58" x14ac:dyDescent="0.45">
      <c r="A740">
        <v>10739</v>
      </c>
      <c r="B740">
        <v>1</v>
      </c>
      <c r="C740">
        <v>69.599999999999994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9.5</v>
      </c>
      <c r="K740">
        <v>9.6999999999999993</v>
      </c>
      <c r="L740">
        <v>5</v>
      </c>
      <c r="M740">
        <v>6.2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J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7.7160000000000002</v>
      </c>
      <c r="AX740">
        <v>3.6500000000000004</v>
      </c>
      <c r="AY740">
        <v>794.99</v>
      </c>
      <c r="BA740">
        <v>235</v>
      </c>
      <c r="BB740">
        <v>715</v>
      </c>
      <c r="BC740">
        <v>12.5</v>
      </c>
      <c r="BF740" t="s">
        <v>108</v>
      </c>
    </row>
    <row r="741" spans="1:58" x14ac:dyDescent="0.45">
      <c r="A741">
        <v>10740</v>
      </c>
      <c r="B741">
        <v>1</v>
      </c>
      <c r="C741">
        <v>73.8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4.9000000000000004</v>
      </c>
      <c r="K741">
        <v>9.9</v>
      </c>
      <c r="L741">
        <v>5.0999999999999996</v>
      </c>
      <c r="M741">
        <v>6.3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J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7.8719999999999999</v>
      </c>
      <c r="AX741">
        <v>2.916666666666667</v>
      </c>
      <c r="AY741">
        <v>826.2</v>
      </c>
      <c r="BA741">
        <v>275</v>
      </c>
      <c r="BB741">
        <v>762</v>
      </c>
      <c r="BC741">
        <v>13.8</v>
      </c>
      <c r="BF741" t="s">
        <v>108</v>
      </c>
    </row>
    <row r="742" spans="1:58" x14ac:dyDescent="0.45">
      <c r="A742">
        <v>10741</v>
      </c>
      <c r="B742">
        <v>1</v>
      </c>
      <c r="C742">
        <v>68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5</v>
      </c>
      <c r="K742">
        <v>15.2</v>
      </c>
      <c r="L742">
        <v>5.3</v>
      </c>
      <c r="M742">
        <v>6.5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J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9.5560000000000009</v>
      </c>
      <c r="AX742">
        <v>3</v>
      </c>
      <c r="AY742">
        <v>824.44999999999993</v>
      </c>
      <c r="BA742">
        <v>533</v>
      </c>
      <c r="BB742">
        <v>692</v>
      </c>
      <c r="BC742">
        <v>14.2</v>
      </c>
      <c r="BF742" t="s">
        <v>108</v>
      </c>
    </row>
    <row r="743" spans="1:58" x14ac:dyDescent="0.45">
      <c r="A743">
        <v>10742</v>
      </c>
      <c r="B743">
        <v>1</v>
      </c>
      <c r="C743">
        <v>68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10</v>
      </c>
      <c r="K743">
        <v>10.199999999999999</v>
      </c>
      <c r="L743">
        <v>5.3</v>
      </c>
      <c r="M743">
        <v>6.5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J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8.1559999999999988</v>
      </c>
      <c r="AX743">
        <v>3.833333333333333</v>
      </c>
      <c r="AY743">
        <v>789.94999999999993</v>
      </c>
      <c r="BA743">
        <v>478</v>
      </c>
      <c r="BB743">
        <v>715</v>
      </c>
      <c r="BC743">
        <v>7.6</v>
      </c>
      <c r="BF743" t="s">
        <v>108</v>
      </c>
    </row>
    <row r="744" spans="1:58" x14ac:dyDescent="0.45">
      <c r="A744">
        <v>10743</v>
      </c>
      <c r="B744">
        <v>1</v>
      </c>
      <c r="C744">
        <v>68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10</v>
      </c>
      <c r="K744">
        <v>10.199999999999999</v>
      </c>
      <c r="L744">
        <v>5.3</v>
      </c>
      <c r="M744">
        <v>6.5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90</v>
      </c>
      <c r="Z744">
        <v>0</v>
      </c>
      <c r="AA744">
        <v>1</v>
      </c>
      <c r="AB744">
        <v>0</v>
      </c>
      <c r="AC744">
        <v>0</v>
      </c>
      <c r="AD744">
        <v>0</v>
      </c>
      <c r="AJ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8.1559999999999988</v>
      </c>
      <c r="AX744">
        <v>3.833333333333333</v>
      </c>
      <c r="AY744">
        <v>789.94999999999993</v>
      </c>
      <c r="BA744">
        <v>558</v>
      </c>
      <c r="BB744">
        <v>738</v>
      </c>
      <c r="BC744">
        <v>2.7</v>
      </c>
      <c r="BF744" t="s">
        <v>108</v>
      </c>
    </row>
    <row r="745" spans="1:58" x14ac:dyDescent="0.45">
      <c r="A745">
        <v>10744</v>
      </c>
      <c r="B745">
        <v>1</v>
      </c>
      <c r="C745">
        <v>68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10</v>
      </c>
      <c r="K745">
        <v>10.199999999999999</v>
      </c>
      <c r="L745">
        <v>5.3</v>
      </c>
      <c r="M745">
        <v>6.5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90</v>
      </c>
      <c r="Z745">
        <v>0</v>
      </c>
      <c r="AA745">
        <v>1</v>
      </c>
      <c r="AB745">
        <v>0</v>
      </c>
      <c r="AC745">
        <v>0</v>
      </c>
      <c r="AD745">
        <v>1</v>
      </c>
      <c r="AE745">
        <v>950</v>
      </c>
      <c r="AF745">
        <v>2</v>
      </c>
      <c r="AG745">
        <v>1</v>
      </c>
      <c r="AH745">
        <v>0</v>
      </c>
      <c r="AI745">
        <v>0</v>
      </c>
      <c r="AJ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8.1559999999999988</v>
      </c>
      <c r="AX745">
        <v>3.833333333333333</v>
      </c>
      <c r="AY745">
        <v>789.94999999999993</v>
      </c>
      <c r="BA745">
        <v>408</v>
      </c>
      <c r="BB745">
        <v>577</v>
      </c>
      <c r="BC745">
        <v>6.7</v>
      </c>
      <c r="BF745" t="s">
        <v>108</v>
      </c>
    </row>
    <row r="746" spans="1:58" x14ac:dyDescent="0.45">
      <c r="A746">
        <v>10745</v>
      </c>
      <c r="B746">
        <v>1</v>
      </c>
      <c r="C746">
        <v>68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10</v>
      </c>
      <c r="K746">
        <v>10.199999999999999</v>
      </c>
      <c r="L746">
        <v>5.3</v>
      </c>
      <c r="M746">
        <v>6.5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90</v>
      </c>
      <c r="Z746">
        <v>0</v>
      </c>
      <c r="AA746">
        <v>1</v>
      </c>
      <c r="AB746">
        <v>0</v>
      </c>
      <c r="AC746">
        <v>0</v>
      </c>
      <c r="AD746">
        <v>0</v>
      </c>
      <c r="AJ746">
        <v>1</v>
      </c>
      <c r="AK746">
        <v>400</v>
      </c>
      <c r="AL746">
        <v>0.33333333300000001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8.1559999999999988</v>
      </c>
      <c r="AX746">
        <v>3.833333333333333</v>
      </c>
      <c r="AY746">
        <v>789.94999999999993</v>
      </c>
      <c r="BA746">
        <v>1176</v>
      </c>
      <c r="BB746">
        <v>1369</v>
      </c>
      <c r="BC746">
        <v>2.9</v>
      </c>
      <c r="BF746" t="s">
        <v>108</v>
      </c>
    </row>
    <row r="747" spans="1:58" x14ac:dyDescent="0.45">
      <c r="A747">
        <v>10746</v>
      </c>
      <c r="B747">
        <v>1</v>
      </c>
      <c r="C747">
        <v>68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10</v>
      </c>
      <c r="K747">
        <v>10.199999999999999</v>
      </c>
      <c r="L747">
        <v>5.3</v>
      </c>
      <c r="M747">
        <v>6.5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90</v>
      </c>
      <c r="Z747">
        <v>0</v>
      </c>
      <c r="AA747">
        <v>1</v>
      </c>
      <c r="AB747">
        <v>0</v>
      </c>
      <c r="AC747">
        <v>0</v>
      </c>
      <c r="AD747">
        <v>1</v>
      </c>
      <c r="AE747">
        <v>950</v>
      </c>
      <c r="AF747">
        <v>1</v>
      </c>
      <c r="AG747">
        <v>1</v>
      </c>
      <c r="AH747">
        <v>0</v>
      </c>
      <c r="AI747">
        <v>0</v>
      </c>
      <c r="AJ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8.1559999999999988</v>
      </c>
      <c r="AX747">
        <v>3.833333333333333</v>
      </c>
      <c r="AY747">
        <v>789.94999999999993</v>
      </c>
      <c r="BA747">
        <v>602</v>
      </c>
      <c r="BB747">
        <v>813</v>
      </c>
      <c r="BC747">
        <v>8.1</v>
      </c>
      <c r="BE747" t="s">
        <v>352</v>
      </c>
      <c r="BF747" t="s">
        <v>108</v>
      </c>
    </row>
    <row r="748" spans="1:58" x14ac:dyDescent="0.45">
      <c r="A748">
        <v>10747</v>
      </c>
      <c r="B748">
        <v>1</v>
      </c>
      <c r="C748">
        <v>68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10</v>
      </c>
      <c r="K748">
        <v>10.199999999999999</v>
      </c>
      <c r="L748">
        <v>5.3</v>
      </c>
      <c r="M748">
        <v>6.5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90</v>
      </c>
      <c r="Z748">
        <v>0</v>
      </c>
      <c r="AA748">
        <v>1</v>
      </c>
      <c r="AB748">
        <v>0</v>
      </c>
      <c r="AC748">
        <v>0</v>
      </c>
      <c r="AD748">
        <v>1</v>
      </c>
      <c r="AE748">
        <v>950</v>
      </c>
      <c r="AF748">
        <v>1</v>
      </c>
      <c r="AG748">
        <v>1</v>
      </c>
      <c r="AH748">
        <v>0</v>
      </c>
      <c r="AI748">
        <v>0</v>
      </c>
      <c r="AJ748">
        <v>1</v>
      </c>
      <c r="AK748">
        <v>400</v>
      </c>
      <c r="AL748">
        <v>0.33333333300000001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8.1559999999999988</v>
      </c>
      <c r="AX748">
        <v>3.833333333333333</v>
      </c>
      <c r="AY748">
        <v>789.94999999999993</v>
      </c>
      <c r="BA748">
        <v>488</v>
      </c>
      <c r="BB748">
        <v>635</v>
      </c>
      <c r="BC748">
        <v>1.5</v>
      </c>
      <c r="BE748" t="s">
        <v>352</v>
      </c>
      <c r="BF748" t="s">
        <v>108</v>
      </c>
    </row>
    <row r="749" spans="1:58" x14ac:dyDescent="0.45">
      <c r="A749">
        <v>10748</v>
      </c>
      <c r="B749">
        <v>1</v>
      </c>
      <c r="C749">
        <v>76.38000000000001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5.91</v>
      </c>
      <c r="K749">
        <v>11.799999999999999</v>
      </c>
      <c r="L749">
        <v>2.96</v>
      </c>
      <c r="M749">
        <v>2.9499999999999997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J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6.2639999999999993</v>
      </c>
      <c r="AX749">
        <v>1.9683333333333333</v>
      </c>
      <c r="AY749">
        <v>825.49099999999999</v>
      </c>
      <c r="AZ749">
        <v>72</v>
      </c>
      <c r="BA749">
        <v>499</v>
      </c>
      <c r="BE749" t="s">
        <v>352</v>
      </c>
      <c r="BF749" t="s">
        <v>60</v>
      </c>
    </row>
    <row r="750" spans="1:58" x14ac:dyDescent="0.45">
      <c r="A750">
        <v>10749</v>
      </c>
      <c r="B750">
        <v>1</v>
      </c>
      <c r="C750">
        <v>79.36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5.8999999999999995</v>
      </c>
      <c r="K750">
        <v>8.85</v>
      </c>
      <c r="L750">
        <v>2.96</v>
      </c>
      <c r="M750">
        <v>2.93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J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5.4380000000000006</v>
      </c>
      <c r="AX750">
        <v>1.96</v>
      </c>
      <c r="AY750">
        <v>825.476</v>
      </c>
      <c r="AZ750">
        <v>56</v>
      </c>
      <c r="BA750">
        <v>566</v>
      </c>
      <c r="BE750" t="s">
        <v>352</v>
      </c>
      <c r="BF750" t="s">
        <v>60</v>
      </c>
    </row>
    <row r="751" spans="1:58" x14ac:dyDescent="0.45">
      <c r="A751">
        <v>10750</v>
      </c>
      <c r="B751">
        <v>1</v>
      </c>
      <c r="C751">
        <v>81.22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3.1300000000000003</v>
      </c>
      <c r="K751">
        <v>9.35</v>
      </c>
      <c r="L751">
        <v>3.16</v>
      </c>
      <c r="M751">
        <v>3.1300000000000003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J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5.7780000000000005</v>
      </c>
      <c r="AX751">
        <v>1.5650000000000002</v>
      </c>
      <c r="AY751">
        <v>843.529</v>
      </c>
      <c r="AZ751">
        <v>55</v>
      </c>
      <c r="BA751">
        <v>533</v>
      </c>
      <c r="BE751" t="s">
        <v>304</v>
      </c>
      <c r="BF751" t="s">
        <v>60</v>
      </c>
    </row>
    <row r="752" spans="1:58" x14ac:dyDescent="0.45">
      <c r="A752">
        <v>10751</v>
      </c>
      <c r="B752">
        <v>1</v>
      </c>
      <c r="C752">
        <v>79.990000000000009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1.8800000000000001</v>
      </c>
      <c r="K752">
        <v>15.379999999999999</v>
      </c>
      <c r="L752">
        <v>1.79</v>
      </c>
      <c r="M752">
        <v>0.96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Z752">
        <v>0</v>
      </c>
      <c r="AA752">
        <v>1</v>
      </c>
      <c r="AB752">
        <v>0</v>
      </c>
      <c r="AC752">
        <v>0</v>
      </c>
      <c r="AD752">
        <v>1</v>
      </c>
      <c r="AE752">
        <f>AY752</f>
        <v>856.05500000000006</v>
      </c>
      <c r="AF752">
        <v>0</v>
      </c>
      <c r="AG752">
        <v>0</v>
      </c>
      <c r="AH752">
        <v>1</v>
      </c>
      <c r="AI752">
        <v>0</v>
      </c>
      <c r="AJ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6.0964</v>
      </c>
      <c r="AX752">
        <v>0.6333333333333333</v>
      </c>
      <c r="AY752">
        <v>856.05500000000006</v>
      </c>
      <c r="AZ752">
        <v>83</v>
      </c>
      <c r="BA752">
        <v>499.1</v>
      </c>
      <c r="BE752" t="s">
        <v>305</v>
      </c>
      <c r="BF752" t="s">
        <v>60</v>
      </c>
    </row>
    <row r="753" spans="1:58" x14ac:dyDescent="0.45">
      <c r="A753">
        <v>10752</v>
      </c>
      <c r="B753">
        <v>1</v>
      </c>
      <c r="C753">
        <v>80.64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1.7399999999999998</v>
      </c>
      <c r="K753">
        <v>14.93</v>
      </c>
      <c r="L753">
        <v>1.78</v>
      </c>
      <c r="M753">
        <v>0.91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Z753">
        <v>0</v>
      </c>
      <c r="AA753">
        <v>1</v>
      </c>
      <c r="AB753">
        <v>0</v>
      </c>
      <c r="AC753">
        <v>0</v>
      </c>
      <c r="AD753">
        <v>1</v>
      </c>
      <c r="AE753">
        <f>AY753</f>
        <v>856.90600000000006</v>
      </c>
      <c r="AF753">
        <v>0</v>
      </c>
      <c r="AG753">
        <v>1</v>
      </c>
      <c r="AH753">
        <v>0</v>
      </c>
      <c r="AI753">
        <v>0</v>
      </c>
      <c r="AJ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5.9604000000000008</v>
      </c>
      <c r="AX753">
        <v>0.59333333333333327</v>
      </c>
      <c r="AY753">
        <v>856.90600000000006</v>
      </c>
      <c r="AZ753">
        <v>72</v>
      </c>
      <c r="BA753">
        <v>534</v>
      </c>
      <c r="BE753" t="s">
        <v>306</v>
      </c>
      <c r="BF753" t="s">
        <v>60</v>
      </c>
    </row>
    <row r="754" spans="1:58" x14ac:dyDescent="0.45">
      <c r="A754">
        <v>10753</v>
      </c>
      <c r="B754">
        <v>1</v>
      </c>
      <c r="C754">
        <v>78.400000000000006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1.97</v>
      </c>
      <c r="K754">
        <v>15.329999999999998</v>
      </c>
      <c r="L754">
        <v>3.32</v>
      </c>
      <c r="M754">
        <v>0.98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Z754">
        <v>0</v>
      </c>
      <c r="AA754">
        <v>1</v>
      </c>
      <c r="AB754">
        <v>0</v>
      </c>
      <c r="AC754">
        <v>0</v>
      </c>
      <c r="AD754">
        <v>1</v>
      </c>
      <c r="AE754">
        <f>AY754</f>
        <v>840.98300000000006</v>
      </c>
      <c r="AF754">
        <v>0</v>
      </c>
      <c r="AG754">
        <v>1</v>
      </c>
      <c r="AH754">
        <v>0</v>
      </c>
      <c r="AI754">
        <v>0</v>
      </c>
      <c r="AJ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7.6123999999999992</v>
      </c>
      <c r="AX754">
        <v>0.65500000000000003</v>
      </c>
      <c r="AY754">
        <v>840.98300000000006</v>
      </c>
      <c r="AZ754">
        <v>68</v>
      </c>
      <c r="BA754">
        <v>491</v>
      </c>
      <c r="BE754" t="s">
        <v>307</v>
      </c>
      <c r="BF754" t="s">
        <v>60</v>
      </c>
    </row>
    <row r="755" spans="1:58" x14ac:dyDescent="0.45">
      <c r="A755">
        <v>10754</v>
      </c>
      <c r="B755">
        <v>1</v>
      </c>
      <c r="C755">
        <v>81.25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6.25</v>
      </c>
      <c r="K755">
        <v>6.25</v>
      </c>
      <c r="L755">
        <v>3.13</v>
      </c>
      <c r="M755">
        <v>3.12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J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4.88</v>
      </c>
      <c r="AX755">
        <v>2.081666666666667</v>
      </c>
      <c r="AY755">
        <v>822.24400000000003</v>
      </c>
      <c r="AZ755">
        <v>48</v>
      </c>
      <c r="BE755" t="s">
        <v>308</v>
      </c>
    </row>
    <row r="756" spans="1:58" x14ac:dyDescent="0.45">
      <c r="A756">
        <v>10755</v>
      </c>
      <c r="B756">
        <v>1</v>
      </c>
      <c r="C756">
        <v>75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12.5</v>
      </c>
      <c r="K756">
        <v>6.25</v>
      </c>
      <c r="L756">
        <v>3.13</v>
      </c>
      <c r="M756">
        <v>3.12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J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4.88</v>
      </c>
      <c r="AX756">
        <v>3.1233333333333335</v>
      </c>
      <c r="AY756">
        <v>779.11900000000003</v>
      </c>
      <c r="AZ756">
        <v>56</v>
      </c>
      <c r="BE756" t="s">
        <v>309</v>
      </c>
    </row>
    <row r="757" spans="1:58" x14ac:dyDescent="0.45">
      <c r="A757">
        <v>10756</v>
      </c>
      <c r="B757">
        <v>1</v>
      </c>
      <c r="C757">
        <v>76.47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5.88</v>
      </c>
      <c r="K757">
        <v>11.76</v>
      </c>
      <c r="L757">
        <v>2.94</v>
      </c>
      <c r="M757">
        <v>2.95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J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6.2328000000000001</v>
      </c>
      <c r="AX757">
        <v>1.9633333333333334</v>
      </c>
      <c r="AY757">
        <v>825.88800000000003</v>
      </c>
      <c r="AZ757">
        <v>72</v>
      </c>
      <c r="BE757" t="s">
        <v>310</v>
      </c>
    </row>
    <row r="758" spans="1:58" x14ac:dyDescent="0.45">
      <c r="A758">
        <v>10757</v>
      </c>
      <c r="B758">
        <v>1</v>
      </c>
      <c r="C758">
        <v>68.099999999999994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10</v>
      </c>
      <c r="K758">
        <v>10.199999999999999</v>
      </c>
      <c r="L758">
        <v>5.2</v>
      </c>
      <c r="M758">
        <v>6.5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J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8.0560000000000009</v>
      </c>
      <c r="AX758">
        <v>3.833333333333333</v>
      </c>
      <c r="AY758">
        <v>790.9</v>
      </c>
      <c r="AZ758">
        <v>48</v>
      </c>
      <c r="BE758" t="s">
        <v>311</v>
      </c>
    </row>
    <row r="759" spans="1:58" x14ac:dyDescent="0.45">
      <c r="A759">
        <v>10758</v>
      </c>
      <c r="B759">
        <v>1</v>
      </c>
      <c r="C759">
        <v>60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19.100000000000001</v>
      </c>
      <c r="K759">
        <v>9.6999999999999993</v>
      </c>
      <c r="L759">
        <v>5</v>
      </c>
      <c r="M759">
        <v>6.2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J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7.7160000000000002</v>
      </c>
      <c r="AX759">
        <v>5.25</v>
      </c>
      <c r="AY759">
        <v>728.75</v>
      </c>
      <c r="AZ759">
        <v>56</v>
      </c>
      <c r="BE759" t="s">
        <v>312</v>
      </c>
    </row>
    <row r="760" spans="1:58" x14ac:dyDescent="0.45">
      <c r="A760">
        <v>10759</v>
      </c>
      <c r="B760">
        <v>1</v>
      </c>
      <c r="C760">
        <v>61.9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9.1</v>
      </c>
      <c r="K760">
        <v>18.5</v>
      </c>
      <c r="L760">
        <v>4.7</v>
      </c>
      <c r="M760">
        <v>5.8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J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9.8800000000000008</v>
      </c>
      <c r="AX760">
        <v>3.45</v>
      </c>
      <c r="AY760">
        <v>798.92000000000007</v>
      </c>
      <c r="AZ760">
        <v>72</v>
      </c>
      <c r="BE760" t="s">
        <v>313</v>
      </c>
    </row>
    <row r="761" spans="1:58" x14ac:dyDescent="0.45">
      <c r="A761">
        <v>10760</v>
      </c>
      <c r="B761">
        <v>1</v>
      </c>
      <c r="C761">
        <v>54.7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17.399999999999999</v>
      </c>
      <c r="K761">
        <v>17.8</v>
      </c>
      <c r="L761">
        <v>4.5</v>
      </c>
      <c r="M761">
        <v>5.6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J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9.4840000000000018</v>
      </c>
      <c r="AX761">
        <v>4.7666666666666666</v>
      </c>
      <c r="AY761">
        <v>742.71</v>
      </c>
      <c r="AZ761">
        <v>82</v>
      </c>
      <c r="BE761" t="s">
        <v>314</v>
      </c>
    </row>
    <row r="762" spans="1:58" x14ac:dyDescent="0.45">
      <c r="A762">
        <v>10761</v>
      </c>
      <c r="B762">
        <v>1</v>
      </c>
      <c r="C762">
        <v>56.6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8.1999999999999993</v>
      </c>
      <c r="K762">
        <v>25.4</v>
      </c>
      <c r="L762">
        <v>4.4000000000000004</v>
      </c>
      <c r="M762">
        <v>5.4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J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11.512</v>
      </c>
      <c r="AX762">
        <v>3.1666666666666665</v>
      </c>
      <c r="AY762">
        <v>806.3</v>
      </c>
      <c r="AZ762">
        <v>66</v>
      </c>
    </row>
    <row r="763" spans="1:58" x14ac:dyDescent="0.45">
      <c r="A763">
        <v>10762</v>
      </c>
      <c r="B763">
        <v>1</v>
      </c>
      <c r="C763">
        <v>50.2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15.9</v>
      </c>
      <c r="K763">
        <v>24.4</v>
      </c>
      <c r="L763">
        <v>4.3</v>
      </c>
      <c r="M763">
        <v>5.2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J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11.132</v>
      </c>
      <c r="AX763">
        <v>4.3833333333333329</v>
      </c>
      <c r="AY763">
        <v>753.28</v>
      </c>
      <c r="AZ763">
        <v>72</v>
      </c>
    </row>
    <row r="764" spans="1:58" x14ac:dyDescent="0.45">
      <c r="A764">
        <v>10763</v>
      </c>
      <c r="B764">
        <v>1</v>
      </c>
      <c r="C764">
        <v>81.3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7.5</v>
      </c>
      <c r="K764">
        <v>5</v>
      </c>
      <c r="L764">
        <v>3.1</v>
      </c>
      <c r="M764">
        <v>3.1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J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4.5</v>
      </c>
      <c r="AX764">
        <v>2.2833333333333332</v>
      </c>
      <c r="AY764">
        <v>813.81999999999994</v>
      </c>
      <c r="AZ764">
        <v>58</v>
      </c>
    </row>
    <row r="765" spans="1:58" x14ac:dyDescent="0.45">
      <c r="A765">
        <v>10764</v>
      </c>
      <c r="B765">
        <v>1</v>
      </c>
      <c r="C765">
        <v>81.3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9.4</v>
      </c>
      <c r="K765">
        <v>3.1</v>
      </c>
      <c r="L765">
        <v>3.1</v>
      </c>
      <c r="M765">
        <v>3.1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J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3.968</v>
      </c>
      <c r="AX765">
        <v>2.6</v>
      </c>
      <c r="AY765">
        <v>800.70999999999992</v>
      </c>
      <c r="AZ765">
        <v>56</v>
      </c>
    </row>
    <row r="766" spans="1:58" x14ac:dyDescent="0.45">
      <c r="A766">
        <v>10765</v>
      </c>
      <c r="B766">
        <v>1</v>
      </c>
      <c r="C766">
        <v>81.17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6.27</v>
      </c>
      <c r="K766">
        <v>6.27</v>
      </c>
      <c r="L766">
        <v>3.16</v>
      </c>
      <c r="M766">
        <v>3.13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J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4.9156000000000004</v>
      </c>
      <c r="AX766">
        <v>2.0883333333333329</v>
      </c>
      <c r="AY766">
        <v>821.86299999999994</v>
      </c>
      <c r="AZ766">
        <v>48</v>
      </c>
    </row>
    <row r="767" spans="1:58" x14ac:dyDescent="0.45">
      <c r="A767">
        <v>10766</v>
      </c>
      <c r="B767">
        <v>1</v>
      </c>
      <c r="C767">
        <v>76.38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5.91</v>
      </c>
      <c r="K767">
        <v>11.8</v>
      </c>
      <c r="L767">
        <v>2.96</v>
      </c>
      <c r="M767">
        <v>2.95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J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6.2640000000000011</v>
      </c>
      <c r="AX767">
        <v>1.9683333333333333</v>
      </c>
      <c r="AY767">
        <v>825.49099999999999</v>
      </c>
      <c r="AZ767">
        <v>72</v>
      </c>
    </row>
    <row r="768" spans="1:58" x14ac:dyDescent="0.45">
      <c r="A768">
        <v>10767</v>
      </c>
      <c r="B768">
        <v>1</v>
      </c>
      <c r="C768">
        <v>79.36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5.9</v>
      </c>
      <c r="K768">
        <v>8.85</v>
      </c>
      <c r="L768">
        <v>2.96</v>
      </c>
      <c r="M768">
        <v>2.93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J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5.4380000000000006</v>
      </c>
      <c r="AX768">
        <v>1.96</v>
      </c>
      <c r="AY768">
        <v>825.476</v>
      </c>
      <c r="AZ768">
        <v>56</v>
      </c>
    </row>
    <row r="769" spans="1:58" x14ac:dyDescent="0.45">
      <c r="A769">
        <v>10768</v>
      </c>
      <c r="B769">
        <v>1</v>
      </c>
      <c r="C769">
        <v>82.3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5.9</v>
      </c>
      <c r="K769">
        <v>5.9</v>
      </c>
      <c r="L769">
        <v>2.95</v>
      </c>
      <c r="M769">
        <v>2.95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J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4.6020000000000003</v>
      </c>
      <c r="AX769">
        <v>1.9666666666666668</v>
      </c>
      <c r="AY769">
        <v>825.65499999999997</v>
      </c>
      <c r="AZ769">
        <v>54</v>
      </c>
    </row>
    <row r="770" spans="1:58" x14ac:dyDescent="0.45">
      <c r="A770">
        <v>10769</v>
      </c>
      <c r="B770">
        <v>1</v>
      </c>
      <c r="C770">
        <v>85.25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2.97</v>
      </c>
      <c r="K770">
        <v>5.9</v>
      </c>
      <c r="L770">
        <v>2.94</v>
      </c>
      <c r="M770">
        <v>2.94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J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4.5920000000000005</v>
      </c>
      <c r="AX770">
        <v>1.4750000000000001</v>
      </c>
      <c r="AY770">
        <v>845.92499999999995</v>
      </c>
      <c r="AZ770">
        <v>59</v>
      </c>
    </row>
    <row r="771" spans="1:58" x14ac:dyDescent="0.45">
      <c r="A771">
        <v>10770</v>
      </c>
      <c r="B771">
        <v>1</v>
      </c>
      <c r="C771">
        <v>81.22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3.13</v>
      </c>
      <c r="K771">
        <v>9.36</v>
      </c>
      <c r="L771">
        <v>3.16</v>
      </c>
      <c r="M771">
        <v>3.13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J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5.7808000000000002</v>
      </c>
      <c r="AX771">
        <v>1.5649999999999999</v>
      </c>
      <c r="AY771">
        <v>843.529</v>
      </c>
      <c r="AZ771">
        <v>55</v>
      </c>
    </row>
    <row r="772" spans="1:58" x14ac:dyDescent="0.45">
      <c r="A772">
        <v>10771</v>
      </c>
      <c r="B772">
        <v>1</v>
      </c>
      <c r="C772">
        <v>72.22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5.56</v>
      </c>
      <c r="K772">
        <v>16.670000000000002</v>
      </c>
      <c r="L772">
        <v>2.78</v>
      </c>
      <c r="M772">
        <v>2.77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J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7.4476000000000013</v>
      </c>
      <c r="AX772">
        <v>1.85</v>
      </c>
      <c r="AY772">
        <v>828.86</v>
      </c>
      <c r="AZ772">
        <v>66</v>
      </c>
    </row>
    <row r="773" spans="1:58" x14ac:dyDescent="0.45">
      <c r="A773">
        <v>10772</v>
      </c>
      <c r="B773">
        <v>1</v>
      </c>
      <c r="C773">
        <v>78.92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1.9</v>
      </c>
      <c r="K773">
        <v>14.9</v>
      </c>
      <c r="L773">
        <v>3.31</v>
      </c>
      <c r="M773">
        <v>0.97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J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7.4820000000000011</v>
      </c>
      <c r="AX773">
        <v>0.6399999999999999</v>
      </c>
      <c r="AY773">
        <v>841.51899999999989</v>
      </c>
      <c r="AZ773">
        <v>63</v>
      </c>
    </row>
    <row r="774" spans="1:58" x14ac:dyDescent="0.45">
      <c r="A774">
        <v>10773</v>
      </c>
      <c r="B774">
        <v>1</v>
      </c>
      <c r="C774">
        <v>80.72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1.87</v>
      </c>
      <c r="K774">
        <v>14.68</v>
      </c>
      <c r="L774">
        <v>1.77</v>
      </c>
      <c r="M774">
        <v>0.96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J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5.8803999999999998</v>
      </c>
      <c r="AX774">
        <v>0.63166666666666671</v>
      </c>
      <c r="AY774">
        <v>856.31399999999996</v>
      </c>
      <c r="AZ774">
        <v>69</v>
      </c>
    </row>
    <row r="775" spans="1:58" x14ac:dyDescent="0.45">
      <c r="A775">
        <v>10774</v>
      </c>
      <c r="B775">
        <v>1</v>
      </c>
      <c r="C775">
        <v>80.23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0.63</v>
      </c>
      <c r="K775">
        <v>15.42</v>
      </c>
      <c r="L775">
        <v>1.79</v>
      </c>
      <c r="M775">
        <v>1.93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J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6.1076000000000006</v>
      </c>
      <c r="AX775">
        <v>0.74833333333333329</v>
      </c>
      <c r="AY775">
        <v>868.75400000000002</v>
      </c>
      <c r="AZ775">
        <v>58</v>
      </c>
    </row>
    <row r="776" spans="1:58" x14ac:dyDescent="0.45">
      <c r="A776">
        <v>10775</v>
      </c>
      <c r="B776">
        <v>1</v>
      </c>
      <c r="C776">
        <v>79.989999999999995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1.88</v>
      </c>
      <c r="K776">
        <v>15.38</v>
      </c>
      <c r="L776">
        <v>1.79</v>
      </c>
      <c r="M776">
        <v>0.96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J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6.0964000000000009</v>
      </c>
      <c r="AX776">
        <v>0.6333333333333333</v>
      </c>
      <c r="AY776">
        <v>856.05500000000006</v>
      </c>
      <c r="AZ776">
        <v>69</v>
      </c>
    </row>
    <row r="777" spans="1:58" x14ac:dyDescent="0.45">
      <c r="A777">
        <v>10776</v>
      </c>
      <c r="B777">
        <v>1</v>
      </c>
      <c r="C777">
        <v>83.67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3.05</v>
      </c>
      <c r="K777">
        <v>8.98</v>
      </c>
      <c r="L777">
        <v>2.9</v>
      </c>
      <c r="M777">
        <v>1.4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J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5.4144000000000005</v>
      </c>
      <c r="AX777">
        <v>0.97499999999999987</v>
      </c>
      <c r="AY777">
        <v>839.28500000000008</v>
      </c>
      <c r="AZ777">
        <v>65</v>
      </c>
    </row>
    <row r="778" spans="1:58" x14ac:dyDescent="0.45">
      <c r="A778">
        <v>10777</v>
      </c>
      <c r="B778">
        <v>1</v>
      </c>
      <c r="C778">
        <v>80</v>
      </c>
      <c r="D778">
        <v>4</v>
      </c>
      <c r="E778">
        <v>5</v>
      </c>
      <c r="F778">
        <v>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800</v>
      </c>
      <c r="Y778">
        <v>65.7</v>
      </c>
      <c r="Z778">
        <v>0</v>
      </c>
      <c r="AA778">
        <v>1</v>
      </c>
      <c r="AB778">
        <v>0</v>
      </c>
      <c r="AC778">
        <v>0</v>
      </c>
      <c r="AD778">
        <v>1</v>
      </c>
      <c r="AE778">
        <v>730</v>
      </c>
      <c r="AF778">
        <v>0.5</v>
      </c>
      <c r="AG778">
        <v>0</v>
      </c>
      <c r="AH778">
        <v>1</v>
      </c>
      <c r="AI778">
        <v>0</v>
      </c>
      <c r="AJ778">
        <v>1</v>
      </c>
      <c r="AK778">
        <f>0.5*AY781</f>
        <v>355.65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13.950000000000003</v>
      </c>
      <c r="AX778">
        <v>4</v>
      </c>
      <c r="AY778">
        <v>711.3</v>
      </c>
      <c r="BB778">
        <v>973</v>
      </c>
      <c r="BC778">
        <v>22</v>
      </c>
      <c r="BF778" t="s">
        <v>165</v>
      </c>
    </row>
    <row r="779" spans="1:58" x14ac:dyDescent="0.45">
      <c r="A779">
        <v>10778</v>
      </c>
      <c r="B779">
        <v>1</v>
      </c>
      <c r="C779">
        <v>80</v>
      </c>
      <c r="D779">
        <v>4</v>
      </c>
      <c r="E779">
        <v>5</v>
      </c>
      <c r="F779">
        <v>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800</v>
      </c>
      <c r="Y779">
        <v>65.7</v>
      </c>
      <c r="Z779">
        <v>0</v>
      </c>
      <c r="AA779">
        <v>1</v>
      </c>
      <c r="AB779">
        <v>0</v>
      </c>
      <c r="AC779">
        <v>0</v>
      </c>
      <c r="AD779">
        <v>1</v>
      </c>
      <c r="AE779">
        <v>760</v>
      </c>
      <c r="AF779">
        <v>0.5</v>
      </c>
      <c r="AG779">
        <v>0</v>
      </c>
      <c r="AH779">
        <v>1</v>
      </c>
      <c r="AI779">
        <v>0</v>
      </c>
      <c r="AJ779">
        <v>1</v>
      </c>
      <c r="AK779">
        <f>0.5*AY782</f>
        <v>355.65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13.950000000000003</v>
      </c>
      <c r="AX779">
        <v>4</v>
      </c>
      <c r="AY779">
        <v>711.3</v>
      </c>
      <c r="BB779">
        <v>953.57</v>
      </c>
      <c r="BC779">
        <v>23</v>
      </c>
      <c r="BF779" t="s">
        <v>166</v>
      </c>
    </row>
    <row r="780" spans="1:58" x14ac:dyDescent="0.45">
      <c r="A780">
        <v>10779</v>
      </c>
      <c r="B780">
        <v>1</v>
      </c>
      <c r="C780">
        <v>80</v>
      </c>
      <c r="D780">
        <v>4</v>
      </c>
      <c r="E780">
        <v>5</v>
      </c>
      <c r="F780">
        <v>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800</v>
      </c>
      <c r="Y780">
        <v>65.7</v>
      </c>
      <c r="Z780">
        <v>0</v>
      </c>
      <c r="AA780">
        <v>1</v>
      </c>
      <c r="AB780">
        <v>0</v>
      </c>
      <c r="AC780">
        <v>0</v>
      </c>
      <c r="AD780">
        <v>1</v>
      </c>
      <c r="AE780">
        <v>800</v>
      </c>
      <c r="AF780">
        <v>0.5</v>
      </c>
      <c r="AG780">
        <v>0</v>
      </c>
      <c r="AH780">
        <v>1</v>
      </c>
      <c r="AI780">
        <v>0</v>
      </c>
      <c r="AJ780">
        <v>1</v>
      </c>
      <c r="AK780">
        <f>0.5*AY783</f>
        <v>355.65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13.950000000000003</v>
      </c>
      <c r="AX780">
        <v>4</v>
      </c>
      <c r="AY780">
        <v>711.3</v>
      </c>
      <c r="BB780">
        <v>875.28</v>
      </c>
      <c r="BC780">
        <v>21.92</v>
      </c>
      <c r="BF780" t="s">
        <v>167</v>
      </c>
    </row>
    <row r="781" spans="1:58" x14ac:dyDescent="0.45">
      <c r="A781">
        <v>10780</v>
      </c>
      <c r="B781">
        <v>1</v>
      </c>
      <c r="C781">
        <v>80</v>
      </c>
      <c r="D781">
        <v>4</v>
      </c>
      <c r="E781">
        <v>5</v>
      </c>
      <c r="F781">
        <v>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800</v>
      </c>
      <c r="Y781">
        <v>65.7</v>
      </c>
      <c r="Z781">
        <v>0</v>
      </c>
      <c r="AA781">
        <v>1</v>
      </c>
      <c r="AB781">
        <v>0</v>
      </c>
      <c r="AC781">
        <v>0</v>
      </c>
      <c r="AD781">
        <v>1</v>
      </c>
      <c r="AE781">
        <v>830</v>
      </c>
      <c r="AF781">
        <v>0.5</v>
      </c>
      <c r="AG781">
        <v>0</v>
      </c>
      <c r="AH781">
        <v>1</v>
      </c>
      <c r="AI781">
        <v>0</v>
      </c>
      <c r="AJ781">
        <v>1</v>
      </c>
      <c r="AK781">
        <f>0.5*AY784</f>
        <v>355.65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13.950000000000003</v>
      </c>
      <c r="AX781">
        <v>4</v>
      </c>
      <c r="AY781">
        <v>711.3</v>
      </c>
      <c r="BB781">
        <v>867.62</v>
      </c>
      <c r="BC781">
        <v>22.9</v>
      </c>
      <c r="BF781" t="s">
        <v>168</v>
      </c>
    </row>
    <row r="782" spans="1:58" x14ac:dyDescent="0.45">
      <c r="A782">
        <v>10781</v>
      </c>
      <c r="B782">
        <v>1</v>
      </c>
      <c r="C782">
        <v>80</v>
      </c>
      <c r="D782">
        <v>4</v>
      </c>
      <c r="E782">
        <v>5</v>
      </c>
      <c r="F782">
        <v>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800</v>
      </c>
      <c r="Y782">
        <v>65.7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730</v>
      </c>
      <c r="AF782">
        <v>0.5</v>
      </c>
      <c r="AG782">
        <v>0</v>
      </c>
      <c r="AH782">
        <v>1</v>
      </c>
      <c r="AI782">
        <v>0</v>
      </c>
      <c r="AJ782">
        <v>1</v>
      </c>
      <c r="AK782">
        <v>460</v>
      </c>
      <c r="AL782">
        <v>6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13.950000000000003</v>
      </c>
      <c r="AX782">
        <v>4</v>
      </c>
      <c r="AY782">
        <v>711.3</v>
      </c>
      <c r="BB782">
        <v>1485.34</v>
      </c>
      <c r="BC782">
        <v>10.119999999999999</v>
      </c>
      <c r="BF782" t="s">
        <v>169</v>
      </c>
    </row>
    <row r="783" spans="1:58" x14ac:dyDescent="0.45">
      <c r="A783">
        <v>10782</v>
      </c>
      <c r="B783">
        <v>1</v>
      </c>
      <c r="C783">
        <v>80</v>
      </c>
      <c r="D783">
        <v>4</v>
      </c>
      <c r="E783">
        <v>5</v>
      </c>
      <c r="F783">
        <v>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800</v>
      </c>
      <c r="Y783">
        <v>65.7</v>
      </c>
      <c r="Z783">
        <v>0</v>
      </c>
      <c r="AA783">
        <v>1</v>
      </c>
      <c r="AB783">
        <v>0</v>
      </c>
      <c r="AC783">
        <v>0</v>
      </c>
      <c r="AD783">
        <v>1</v>
      </c>
      <c r="AE783">
        <v>760</v>
      </c>
      <c r="AF783">
        <v>0.5</v>
      </c>
      <c r="AG783">
        <v>0</v>
      </c>
      <c r="AH783">
        <v>1</v>
      </c>
      <c r="AI783">
        <v>0</v>
      </c>
      <c r="AJ783">
        <v>1</v>
      </c>
      <c r="AK783">
        <v>460</v>
      </c>
      <c r="AL783">
        <v>6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13.950000000000003</v>
      </c>
      <c r="AX783">
        <v>4</v>
      </c>
      <c r="AY783">
        <v>711.3</v>
      </c>
      <c r="BB783">
        <v>1572.56</v>
      </c>
      <c r="BC783">
        <v>6.18</v>
      </c>
      <c r="BF783" t="s">
        <v>170</v>
      </c>
    </row>
    <row r="784" spans="1:58" x14ac:dyDescent="0.45">
      <c r="A784">
        <v>10783</v>
      </c>
      <c r="B784">
        <v>1</v>
      </c>
      <c r="C784">
        <v>80</v>
      </c>
      <c r="D784">
        <v>4</v>
      </c>
      <c r="E784">
        <v>5</v>
      </c>
      <c r="F784">
        <v>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800</v>
      </c>
      <c r="Y784">
        <v>65.7</v>
      </c>
      <c r="Z784">
        <v>0</v>
      </c>
      <c r="AA784">
        <v>1</v>
      </c>
      <c r="AB784">
        <v>0</v>
      </c>
      <c r="AC784">
        <v>0</v>
      </c>
      <c r="AD784">
        <v>1</v>
      </c>
      <c r="AE784">
        <v>800</v>
      </c>
      <c r="AF784">
        <v>0.5</v>
      </c>
      <c r="AG784">
        <v>0</v>
      </c>
      <c r="AH784">
        <v>1</v>
      </c>
      <c r="AI784">
        <v>0</v>
      </c>
      <c r="AJ784">
        <v>1</v>
      </c>
      <c r="AK784">
        <v>460</v>
      </c>
      <c r="AL784">
        <v>6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13.950000000000003</v>
      </c>
      <c r="AX784">
        <v>4</v>
      </c>
      <c r="AY784">
        <v>711.3</v>
      </c>
      <c r="BB784">
        <v>1208.8</v>
      </c>
      <c r="BC784">
        <v>10.73</v>
      </c>
      <c r="BF784" t="s">
        <v>171</v>
      </c>
    </row>
    <row r="785" spans="1:58" x14ac:dyDescent="0.45">
      <c r="A785">
        <v>10784</v>
      </c>
      <c r="B785">
        <v>1</v>
      </c>
      <c r="C785">
        <v>80</v>
      </c>
      <c r="D785">
        <v>4</v>
      </c>
      <c r="E785">
        <v>5</v>
      </c>
      <c r="F785">
        <v>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800</v>
      </c>
      <c r="Y785">
        <v>65.7</v>
      </c>
      <c r="Z785">
        <v>0</v>
      </c>
      <c r="AA785">
        <v>1</v>
      </c>
      <c r="AB785">
        <v>0</v>
      </c>
      <c r="AC785">
        <v>0</v>
      </c>
      <c r="AD785">
        <v>1</v>
      </c>
      <c r="AE785">
        <v>830</v>
      </c>
      <c r="AF785">
        <v>0.5</v>
      </c>
      <c r="AG785">
        <v>0</v>
      </c>
      <c r="AH785">
        <v>1</v>
      </c>
      <c r="AI785">
        <v>0</v>
      </c>
      <c r="AJ785">
        <v>1</v>
      </c>
      <c r="AK785">
        <v>460</v>
      </c>
      <c r="AL785">
        <v>6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13.950000000000003</v>
      </c>
      <c r="AX785">
        <v>4</v>
      </c>
      <c r="AY785">
        <v>711.3</v>
      </c>
      <c r="BB785">
        <v>1288.17</v>
      </c>
      <c r="BC785">
        <v>7.72</v>
      </c>
      <c r="BF785" t="s">
        <v>172</v>
      </c>
    </row>
    <row r="786" spans="1:58" x14ac:dyDescent="0.45">
      <c r="A786">
        <v>10785</v>
      </c>
      <c r="B786">
        <v>1</v>
      </c>
      <c r="C786">
        <v>80</v>
      </c>
      <c r="D786">
        <v>4</v>
      </c>
      <c r="E786">
        <v>5</v>
      </c>
      <c r="F786">
        <v>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800</v>
      </c>
      <c r="Y786">
        <v>65.7</v>
      </c>
      <c r="Z786">
        <v>0</v>
      </c>
      <c r="AA786">
        <v>1</v>
      </c>
      <c r="AB786">
        <v>0</v>
      </c>
      <c r="AC786">
        <v>0</v>
      </c>
      <c r="AD786">
        <v>1</v>
      </c>
      <c r="AE786">
        <v>730</v>
      </c>
      <c r="AF786">
        <v>0.5</v>
      </c>
      <c r="AG786">
        <v>0</v>
      </c>
      <c r="AH786">
        <v>1</v>
      </c>
      <c r="AI786">
        <v>0</v>
      </c>
      <c r="AJ786">
        <v>1</v>
      </c>
      <c r="AK786">
        <v>480</v>
      </c>
      <c r="AL786">
        <v>6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13.950000000000003</v>
      </c>
      <c r="AX786">
        <v>4</v>
      </c>
      <c r="AY786">
        <v>711.3</v>
      </c>
      <c r="BB786">
        <v>1475.41</v>
      </c>
      <c r="BC786">
        <v>10.18</v>
      </c>
      <c r="BF786" t="s">
        <v>173</v>
      </c>
    </row>
    <row r="787" spans="1:58" x14ac:dyDescent="0.45">
      <c r="A787">
        <v>10786</v>
      </c>
      <c r="B787">
        <v>1</v>
      </c>
      <c r="C787">
        <v>80</v>
      </c>
      <c r="D787">
        <v>4</v>
      </c>
      <c r="E787">
        <v>5</v>
      </c>
      <c r="F787">
        <v>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800</v>
      </c>
      <c r="Y787">
        <v>65.7</v>
      </c>
      <c r="Z787">
        <v>0</v>
      </c>
      <c r="AA787">
        <v>1</v>
      </c>
      <c r="AB787">
        <v>0</v>
      </c>
      <c r="AC787">
        <v>0</v>
      </c>
      <c r="AD787">
        <v>1</v>
      </c>
      <c r="AE787">
        <v>760</v>
      </c>
      <c r="AF787">
        <v>0.5</v>
      </c>
      <c r="AG787">
        <v>0</v>
      </c>
      <c r="AH787">
        <v>1</v>
      </c>
      <c r="AI787">
        <v>0</v>
      </c>
      <c r="AJ787">
        <v>1</v>
      </c>
      <c r="AK787">
        <v>480</v>
      </c>
      <c r="AL787">
        <v>6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13.950000000000003</v>
      </c>
      <c r="AX787">
        <v>4</v>
      </c>
      <c r="AY787">
        <v>711.3</v>
      </c>
      <c r="BB787">
        <v>1474.28</v>
      </c>
      <c r="BC787">
        <v>8.9499999999999993</v>
      </c>
      <c r="BF787" t="s">
        <v>174</v>
      </c>
    </row>
    <row r="788" spans="1:58" x14ac:dyDescent="0.45">
      <c r="A788">
        <v>10787</v>
      </c>
      <c r="B788">
        <v>1</v>
      </c>
      <c r="C788">
        <v>80</v>
      </c>
      <c r="D788">
        <v>4</v>
      </c>
      <c r="E788">
        <v>5</v>
      </c>
      <c r="F788">
        <v>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800</v>
      </c>
      <c r="Y788">
        <v>65.7</v>
      </c>
      <c r="Z788">
        <v>0</v>
      </c>
      <c r="AA788">
        <v>1</v>
      </c>
      <c r="AB788">
        <v>0</v>
      </c>
      <c r="AC788">
        <v>0</v>
      </c>
      <c r="AD788">
        <v>1</v>
      </c>
      <c r="AE788">
        <v>800</v>
      </c>
      <c r="AF788">
        <v>0.5</v>
      </c>
      <c r="AG788">
        <v>0</v>
      </c>
      <c r="AH788">
        <v>1</v>
      </c>
      <c r="AI788">
        <v>0</v>
      </c>
      <c r="AJ788">
        <v>1</v>
      </c>
      <c r="AK788">
        <v>480</v>
      </c>
      <c r="AL788">
        <v>6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13.950000000000003</v>
      </c>
      <c r="AX788">
        <v>4</v>
      </c>
      <c r="AY788">
        <v>711.3</v>
      </c>
      <c r="BB788">
        <v>1263.42</v>
      </c>
      <c r="BC788">
        <v>9.44</v>
      </c>
      <c r="BF788" t="s">
        <v>175</v>
      </c>
    </row>
    <row r="789" spans="1:58" x14ac:dyDescent="0.45">
      <c r="A789">
        <v>10788</v>
      </c>
      <c r="B789">
        <v>1</v>
      </c>
      <c r="C789">
        <v>80</v>
      </c>
      <c r="D789">
        <v>4</v>
      </c>
      <c r="E789">
        <v>5</v>
      </c>
      <c r="F789">
        <v>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800</v>
      </c>
      <c r="Y789">
        <v>65.7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830</v>
      </c>
      <c r="AF789">
        <v>0.5</v>
      </c>
      <c r="AG789">
        <v>0</v>
      </c>
      <c r="AH789">
        <v>1</v>
      </c>
      <c r="AI789">
        <v>0</v>
      </c>
      <c r="AJ789">
        <v>1</v>
      </c>
      <c r="AK789">
        <v>480</v>
      </c>
      <c r="AL789">
        <v>6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13.950000000000003</v>
      </c>
      <c r="AX789">
        <v>4</v>
      </c>
      <c r="AY789">
        <v>711.3</v>
      </c>
      <c r="BB789">
        <v>1216.6300000000001</v>
      </c>
      <c r="BC789">
        <v>9.9</v>
      </c>
      <c r="BF789" t="s">
        <v>176</v>
      </c>
    </row>
    <row r="790" spans="1:58" x14ac:dyDescent="0.45">
      <c r="A790">
        <v>10789</v>
      </c>
      <c r="B790">
        <v>1</v>
      </c>
      <c r="C790">
        <v>80</v>
      </c>
      <c r="D790">
        <v>4</v>
      </c>
      <c r="E790">
        <v>5</v>
      </c>
      <c r="F790">
        <v>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800</v>
      </c>
      <c r="Y790">
        <v>65.7</v>
      </c>
      <c r="Z790">
        <v>0</v>
      </c>
      <c r="AA790">
        <v>1</v>
      </c>
      <c r="AB790">
        <v>0</v>
      </c>
      <c r="AC790">
        <v>0</v>
      </c>
      <c r="AD790">
        <v>1</v>
      </c>
      <c r="AE790">
        <v>730</v>
      </c>
      <c r="AF790">
        <v>0.5</v>
      </c>
      <c r="AG790">
        <v>0</v>
      </c>
      <c r="AH790">
        <v>1</v>
      </c>
      <c r="AI790">
        <v>0</v>
      </c>
      <c r="AJ790">
        <v>1</v>
      </c>
      <c r="AK790">
        <v>500</v>
      </c>
      <c r="AL790">
        <v>6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13.950000000000003</v>
      </c>
      <c r="AX790">
        <v>4</v>
      </c>
      <c r="AY790">
        <v>711.3</v>
      </c>
      <c r="BB790">
        <v>1383.33</v>
      </c>
      <c r="BC790">
        <v>13.87</v>
      </c>
      <c r="BF790" t="s">
        <v>177</v>
      </c>
    </row>
    <row r="791" spans="1:58" x14ac:dyDescent="0.45">
      <c r="A791">
        <v>10790</v>
      </c>
      <c r="B791">
        <v>1</v>
      </c>
      <c r="C791">
        <v>80</v>
      </c>
      <c r="D791">
        <v>4</v>
      </c>
      <c r="E791">
        <v>5</v>
      </c>
      <c r="F791">
        <v>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800</v>
      </c>
      <c r="Y791">
        <v>65.7</v>
      </c>
      <c r="Z791">
        <v>0</v>
      </c>
      <c r="AA791">
        <v>1</v>
      </c>
      <c r="AB791">
        <v>0</v>
      </c>
      <c r="AC791">
        <v>0</v>
      </c>
      <c r="AD791">
        <v>1</v>
      </c>
      <c r="AE791">
        <v>760</v>
      </c>
      <c r="AF791">
        <v>0.5</v>
      </c>
      <c r="AG791">
        <v>0</v>
      </c>
      <c r="AH791">
        <v>1</v>
      </c>
      <c r="AI791">
        <v>0</v>
      </c>
      <c r="AJ791">
        <v>1</v>
      </c>
      <c r="AK791">
        <v>500</v>
      </c>
      <c r="AL791">
        <v>6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13.950000000000003</v>
      </c>
      <c r="AX791">
        <v>4</v>
      </c>
      <c r="AY791">
        <v>711.3</v>
      </c>
      <c r="BB791">
        <v>1470.05</v>
      </c>
      <c r="BC791">
        <v>10.4</v>
      </c>
      <c r="BF791" t="s">
        <v>178</v>
      </c>
    </row>
    <row r="792" spans="1:58" x14ac:dyDescent="0.45">
      <c r="A792">
        <v>10791</v>
      </c>
      <c r="B792">
        <v>1</v>
      </c>
      <c r="C792">
        <v>80</v>
      </c>
      <c r="D792">
        <v>4</v>
      </c>
      <c r="E792">
        <v>5</v>
      </c>
      <c r="F792">
        <v>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800</v>
      </c>
      <c r="Y792">
        <v>65.7</v>
      </c>
      <c r="Z792">
        <v>0</v>
      </c>
      <c r="AA792">
        <v>1</v>
      </c>
      <c r="AB792">
        <v>0</v>
      </c>
      <c r="AC792">
        <v>0</v>
      </c>
      <c r="AD792">
        <v>1</v>
      </c>
      <c r="AE792">
        <v>800</v>
      </c>
      <c r="AF792">
        <v>0.5</v>
      </c>
      <c r="AG792">
        <v>0</v>
      </c>
      <c r="AH792">
        <v>1</v>
      </c>
      <c r="AI792">
        <v>0</v>
      </c>
      <c r="AJ792">
        <v>1</v>
      </c>
      <c r="AK792">
        <v>500</v>
      </c>
      <c r="AL792">
        <v>6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13.950000000000003</v>
      </c>
      <c r="AX792">
        <v>4</v>
      </c>
      <c r="AY792">
        <v>711.3</v>
      </c>
      <c r="BB792">
        <v>1400.15</v>
      </c>
      <c r="BC792">
        <v>7.52</v>
      </c>
      <c r="BF792" t="s">
        <v>179</v>
      </c>
    </row>
    <row r="793" spans="1:58" x14ac:dyDescent="0.45">
      <c r="A793">
        <v>10792</v>
      </c>
      <c r="B793">
        <v>1</v>
      </c>
      <c r="C793">
        <v>80</v>
      </c>
      <c r="D793">
        <v>4</v>
      </c>
      <c r="E793">
        <v>5</v>
      </c>
      <c r="F793">
        <v>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800</v>
      </c>
      <c r="Y793">
        <v>65.7</v>
      </c>
      <c r="Z793">
        <v>0</v>
      </c>
      <c r="AA793">
        <v>1</v>
      </c>
      <c r="AB793">
        <v>0</v>
      </c>
      <c r="AC793">
        <v>0</v>
      </c>
      <c r="AD793">
        <v>1</v>
      </c>
      <c r="AE793">
        <v>830</v>
      </c>
      <c r="AF793">
        <v>0.5</v>
      </c>
      <c r="AG793">
        <v>0</v>
      </c>
      <c r="AH793">
        <v>1</v>
      </c>
      <c r="AI793">
        <v>0</v>
      </c>
      <c r="AJ793">
        <v>1</v>
      </c>
      <c r="AK793">
        <v>500</v>
      </c>
      <c r="AL793">
        <v>6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13.950000000000003</v>
      </c>
      <c r="AX793">
        <v>4</v>
      </c>
      <c r="AY793">
        <v>711.3</v>
      </c>
      <c r="BB793">
        <v>1305.81</v>
      </c>
      <c r="BC793">
        <v>7.75</v>
      </c>
      <c r="BF793" t="s">
        <v>180</v>
      </c>
    </row>
    <row r="794" spans="1:58" x14ac:dyDescent="0.45">
      <c r="A794">
        <v>10793</v>
      </c>
      <c r="B794">
        <v>1</v>
      </c>
      <c r="C794">
        <v>80</v>
      </c>
      <c r="D794">
        <v>4</v>
      </c>
      <c r="E794">
        <v>5</v>
      </c>
      <c r="F794">
        <v>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800</v>
      </c>
      <c r="Y794">
        <v>65.7</v>
      </c>
      <c r="Z794">
        <v>0</v>
      </c>
      <c r="AA794">
        <v>1</v>
      </c>
      <c r="AB794">
        <v>0</v>
      </c>
      <c r="AC794">
        <v>0</v>
      </c>
      <c r="AD794">
        <v>1</v>
      </c>
      <c r="AE794">
        <v>730</v>
      </c>
      <c r="AF794">
        <v>0.5</v>
      </c>
      <c r="AG794">
        <v>0</v>
      </c>
      <c r="AH794">
        <v>1</v>
      </c>
      <c r="AI794">
        <v>0</v>
      </c>
      <c r="AJ794">
        <v>1</v>
      </c>
      <c r="AK794">
        <v>520</v>
      </c>
      <c r="AL794">
        <v>6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13.950000000000003</v>
      </c>
      <c r="AX794">
        <v>4</v>
      </c>
      <c r="AY794">
        <v>711.3</v>
      </c>
      <c r="BB794">
        <v>1279.6600000000001</v>
      </c>
      <c r="BC794">
        <v>15.55</v>
      </c>
      <c r="BF794" t="s">
        <v>181</v>
      </c>
    </row>
    <row r="795" spans="1:58" x14ac:dyDescent="0.45">
      <c r="A795">
        <v>10794</v>
      </c>
      <c r="B795">
        <v>1</v>
      </c>
      <c r="C795">
        <v>80</v>
      </c>
      <c r="D795">
        <v>4</v>
      </c>
      <c r="E795">
        <v>5</v>
      </c>
      <c r="F795">
        <v>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800</v>
      </c>
      <c r="Y795">
        <v>65.7</v>
      </c>
      <c r="Z795">
        <v>0</v>
      </c>
      <c r="AA795">
        <v>1</v>
      </c>
      <c r="AB795">
        <v>0</v>
      </c>
      <c r="AC795">
        <v>0</v>
      </c>
      <c r="AD795">
        <v>1</v>
      </c>
      <c r="AE795">
        <v>760</v>
      </c>
      <c r="AF795">
        <v>0.5</v>
      </c>
      <c r="AG795">
        <v>0</v>
      </c>
      <c r="AH795">
        <v>1</v>
      </c>
      <c r="AI795">
        <v>0</v>
      </c>
      <c r="AJ795">
        <v>1</v>
      </c>
      <c r="AK795">
        <v>520</v>
      </c>
      <c r="AL795">
        <v>6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13.950000000000003</v>
      </c>
      <c r="AX795">
        <v>4</v>
      </c>
      <c r="AY795">
        <v>711.3</v>
      </c>
      <c r="BB795">
        <v>1366.56</v>
      </c>
      <c r="BC795">
        <v>12.97</v>
      </c>
      <c r="BF795" t="s">
        <v>182</v>
      </c>
    </row>
    <row r="796" spans="1:58" x14ac:dyDescent="0.45">
      <c r="A796">
        <v>10795</v>
      </c>
      <c r="B796">
        <v>1</v>
      </c>
      <c r="C796">
        <v>80</v>
      </c>
      <c r="D796">
        <v>4</v>
      </c>
      <c r="E796">
        <v>5</v>
      </c>
      <c r="F796">
        <v>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800</v>
      </c>
      <c r="Y796">
        <v>65.7</v>
      </c>
      <c r="Z796">
        <v>0</v>
      </c>
      <c r="AA796">
        <v>1</v>
      </c>
      <c r="AB796">
        <v>0</v>
      </c>
      <c r="AC796">
        <v>0</v>
      </c>
      <c r="AD796">
        <v>1</v>
      </c>
      <c r="AE796">
        <v>800</v>
      </c>
      <c r="AF796">
        <v>0.5</v>
      </c>
      <c r="AG796">
        <v>0</v>
      </c>
      <c r="AH796">
        <v>1</v>
      </c>
      <c r="AI796">
        <v>0</v>
      </c>
      <c r="AJ796">
        <v>1</v>
      </c>
      <c r="AK796">
        <v>520</v>
      </c>
      <c r="AL796">
        <v>6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13.950000000000003</v>
      </c>
      <c r="AX796">
        <v>4</v>
      </c>
      <c r="AY796">
        <v>711.3</v>
      </c>
      <c r="BB796">
        <v>1413.25</v>
      </c>
      <c r="BC796">
        <v>8.1999999999999993</v>
      </c>
      <c r="BF796" t="s">
        <v>183</v>
      </c>
    </row>
    <row r="797" spans="1:58" x14ac:dyDescent="0.45">
      <c r="A797">
        <v>10796</v>
      </c>
      <c r="B797">
        <v>1</v>
      </c>
      <c r="C797">
        <v>80</v>
      </c>
      <c r="D797">
        <v>4</v>
      </c>
      <c r="E797">
        <v>5</v>
      </c>
      <c r="F797">
        <v>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800</v>
      </c>
      <c r="Y797">
        <v>65.7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830</v>
      </c>
      <c r="AF797">
        <v>0.5</v>
      </c>
      <c r="AG797">
        <v>0</v>
      </c>
      <c r="AH797">
        <v>1</v>
      </c>
      <c r="AI797">
        <v>0</v>
      </c>
      <c r="AJ797">
        <v>1</v>
      </c>
      <c r="AK797">
        <v>520</v>
      </c>
      <c r="AL797">
        <v>6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13.950000000000003</v>
      </c>
      <c r="AX797">
        <v>4</v>
      </c>
      <c r="AY797">
        <v>711.3</v>
      </c>
      <c r="BB797">
        <v>1409.09</v>
      </c>
      <c r="BC797">
        <v>6.88</v>
      </c>
      <c r="BF797" t="s">
        <v>184</v>
      </c>
    </row>
    <row r="798" spans="1:58" x14ac:dyDescent="0.45">
      <c r="A798">
        <v>10797</v>
      </c>
      <c r="B798">
        <v>0</v>
      </c>
      <c r="C798">
        <v>88.6</v>
      </c>
      <c r="D798">
        <v>6.1</v>
      </c>
      <c r="E798">
        <v>4</v>
      </c>
      <c r="F798">
        <v>0</v>
      </c>
      <c r="G798">
        <v>0</v>
      </c>
      <c r="H798">
        <v>0</v>
      </c>
      <c r="I798">
        <v>0</v>
      </c>
      <c r="J798">
        <v>0.65</v>
      </c>
      <c r="K798">
        <v>0</v>
      </c>
      <c r="L798">
        <v>0.65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J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-2.7699999999999996</v>
      </c>
      <c r="AX798">
        <v>6.208333333333333</v>
      </c>
      <c r="AY798">
        <v>836.94999999999993</v>
      </c>
      <c r="BF798" t="s">
        <v>185</v>
      </c>
    </row>
    <row r="799" spans="1:58" x14ac:dyDescent="0.45">
      <c r="A799">
        <v>10798</v>
      </c>
      <c r="B799">
        <v>0</v>
      </c>
      <c r="C799">
        <v>88.6</v>
      </c>
      <c r="D799">
        <v>6.1</v>
      </c>
      <c r="E799">
        <v>4</v>
      </c>
      <c r="F799">
        <v>0</v>
      </c>
      <c r="G799">
        <v>0</v>
      </c>
      <c r="H799">
        <v>0</v>
      </c>
      <c r="I799">
        <v>0</v>
      </c>
      <c r="J799">
        <v>0.65</v>
      </c>
      <c r="K799">
        <v>0</v>
      </c>
      <c r="L799">
        <v>0.65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910</v>
      </c>
      <c r="AF799">
        <v>2</v>
      </c>
      <c r="AG799">
        <v>0</v>
      </c>
      <c r="AH799">
        <v>1</v>
      </c>
      <c r="AI799">
        <v>0</v>
      </c>
      <c r="AJ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-2.7699999999999996</v>
      </c>
      <c r="AX799">
        <v>6.208333333333333</v>
      </c>
      <c r="AY799">
        <v>836.94999999999993</v>
      </c>
      <c r="BF799" t="s">
        <v>185</v>
      </c>
    </row>
    <row r="800" spans="1:58" x14ac:dyDescent="0.45">
      <c r="A800">
        <v>10799</v>
      </c>
      <c r="B800">
        <v>0</v>
      </c>
      <c r="C800">
        <v>88.6</v>
      </c>
      <c r="D800">
        <v>6.1</v>
      </c>
      <c r="E800">
        <v>4</v>
      </c>
      <c r="F800">
        <v>0</v>
      </c>
      <c r="G800">
        <v>0</v>
      </c>
      <c r="H800">
        <v>0</v>
      </c>
      <c r="I800">
        <v>0</v>
      </c>
      <c r="J800">
        <v>0.65</v>
      </c>
      <c r="K800">
        <v>0</v>
      </c>
      <c r="L800">
        <v>0.65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910</v>
      </c>
      <c r="AF800">
        <v>1</v>
      </c>
      <c r="AG800">
        <v>0</v>
      </c>
      <c r="AH800">
        <v>0</v>
      </c>
      <c r="AI800">
        <v>1</v>
      </c>
      <c r="AJ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-2.7699999999999996</v>
      </c>
      <c r="AX800">
        <v>6.208333333333333</v>
      </c>
      <c r="AY800">
        <v>836.94999999999993</v>
      </c>
      <c r="BF800" t="s">
        <v>185</v>
      </c>
    </row>
    <row r="801" spans="1:58" x14ac:dyDescent="0.45">
      <c r="A801">
        <v>10800</v>
      </c>
      <c r="B801">
        <v>0</v>
      </c>
      <c r="C801">
        <v>88.6</v>
      </c>
      <c r="D801">
        <v>6.1</v>
      </c>
      <c r="E801">
        <v>4</v>
      </c>
      <c r="F801">
        <v>0</v>
      </c>
      <c r="G801">
        <v>0</v>
      </c>
      <c r="H801">
        <v>0</v>
      </c>
      <c r="I801">
        <v>0</v>
      </c>
      <c r="J801">
        <v>0.65</v>
      </c>
      <c r="K801">
        <v>0</v>
      </c>
      <c r="L801">
        <v>0.65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>
        <v>955</v>
      </c>
      <c r="AF801">
        <v>1</v>
      </c>
      <c r="AG801">
        <v>0</v>
      </c>
      <c r="AH801">
        <v>0</v>
      </c>
      <c r="AI801">
        <v>1</v>
      </c>
      <c r="AJ801">
        <v>1</v>
      </c>
      <c r="AK801">
        <v>500</v>
      </c>
      <c r="AL801">
        <v>2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-2.7699999999999996</v>
      </c>
      <c r="AX801">
        <v>6.208333333333333</v>
      </c>
      <c r="AY801">
        <v>836.94999999999993</v>
      </c>
      <c r="BF801" t="s">
        <v>185</v>
      </c>
    </row>
    <row r="802" spans="1:58" x14ac:dyDescent="0.45">
      <c r="A802">
        <v>10801</v>
      </c>
      <c r="B802">
        <v>0</v>
      </c>
      <c r="C802">
        <v>88.3</v>
      </c>
      <c r="D802">
        <v>6.1</v>
      </c>
      <c r="E802">
        <v>4</v>
      </c>
      <c r="F802">
        <v>0</v>
      </c>
      <c r="G802">
        <v>0</v>
      </c>
      <c r="H802">
        <v>0</v>
      </c>
      <c r="I802">
        <v>0</v>
      </c>
      <c r="J802">
        <v>0.8</v>
      </c>
      <c r="K802">
        <v>0</v>
      </c>
      <c r="L802">
        <v>0.8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Z802">
        <v>1</v>
      </c>
      <c r="AA802">
        <v>0</v>
      </c>
      <c r="AB802">
        <v>0</v>
      </c>
      <c r="AC802">
        <v>0</v>
      </c>
      <c r="AD802">
        <v>1</v>
      </c>
      <c r="AE802">
        <v>955</v>
      </c>
      <c r="AF802">
        <v>1</v>
      </c>
      <c r="AG802">
        <v>0</v>
      </c>
      <c r="AH802">
        <v>0</v>
      </c>
      <c r="AI802">
        <v>1</v>
      </c>
      <c r="AJ802">
        <v>1</v>
      </c>
      <c r="AK802">
        <v>500</v>
      </c>
      <c r="AL802">
        <v>2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-2.6199999999999992</v>
      </c>
      <c r="AX802">
        <v>6.2333333333333334</v>
      </c>
      <c r="AY802">
        <v>834.4899999999999</v>
      </c>
      <c r="BE802" t="s">
        <v>315</v>
      </c>
      <c r="BF802" t="s">
        <v>186</v>
      </c>
    </row>
    <row r="803" spans="1:58" x14ac:dyDescent="0.45">
      <c r="A803">
        <v>10802</v>
      </c>
      <c r="B803">
        <v>0</v>
      </c>
      <c r="C803">
        <v>88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3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J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-4.16</v>
      </c>
      <c r="AX803">
        <v>6.333333333333333</v>
      </c>
      <c r="AY803">
        <v>871.30000000000007</v>
      </c>
      <c r="BE803" t="s">
        <v>316</v>
      </c>
      <c r="BF803" t="s">
        <v>187</v>
      </c>
    </row>
    <row r="804" spans="1:58" x14ac:dyDescent="0.45">
      <c r="A804">
        <v>10803</v>
      </c>
      <c r="B804">
        <v>0</v>
      </c>
      <c r="C804">
        <v>88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3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J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-4.16</v>
      </c>
      <c r="AX804">
        <v>6.333333333333333</v>
      </c>
      <c r="AY804">
        <v>871.30000000000007</v>
      </c>
      <c r="BE804" t="s">
        <v>317</v>
      </c>
      <c r="BF804" t="s">
        <v>187</v>
      </c>
    </row>
    <row r="805" spans="1:58" x14ac:dyDescent="0.45">
      <c r="A805">
        <v>10804</v>
      </c>
      <c r="B805">
        <v>0</v>
      </c>
      <c r="C805">
        <v>88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3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J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-4.16</v>
      </c>
      <c r="AX805">
        <v>6.333333333333333</v>
      </c>
      <c r="AY805">
        <v>871.30000000000007</v>
      </c>
      <c r="BE805" t="s">
        <v>318</v>
      </c>
      <c r="BF805" t="s">
        <v>187</v>
      </c>
    </row>
    <row r="806" spans="1:58" x14ac:dyDescent="0.45">
      <c r="A806">
        <v>10805</v>
      </c>
      <c r="B806">
        <v>0</v>
      </c>
      <c r="C806">
        <v>88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3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J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-4.16</v>
      </c>
      <c r="AX806">
        <v>6.333333333333333</v>
      </c>
      <c r="AY806">
        <v>871.30000000000007</v>
      </c>
      <c r="BE806" t="s">
        <v>319</v>
      </c>
      <c r="BF806" t="s">
        <v>187</v>
      </c>
    </row>
    <row r="807" spans="1:58" x14ac:dyDescent="0.45">
      <c r="A807">
        <v>10806</v>
      </c>
      <c r="B807">
        <v>0</v>
      </c>
      <c r="C807">
        <v>88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3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J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-4.16</v>
      </c>
      <c r="AX807">
        <v>6.333333333333333</v>
      </c>
      <c r="AY807">
        <v>871.30000000000007</v>
      </c>
      <c r="BE807" t="s">
        <v>320</v>
      </c>
      <c r="BF807" t="s">
        <v>187</v>
      </c>
    </row>
    <row r="808" spans="1:58" x14ac:dyDescent="0.45">
      <c r="A808">
        <v>10807</v>
      </c>
      <c r="B808">
        <v>0</v>
      </c>
      <c r="C808">
        <v>88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3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J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-4.16</v>
      </c>
      <c r="AX808">
        <v>6.333333333333333</v>
      </c>
      <c r="AY808">
        <v>871.30000000000007</v>
      </c>
      <c r="BE808" t="s">
        <v>321</v>
      </c>
      <c r="BF808" t="s">
        <v>187</v>
      </c>
    </row>
    <row r="809" spans="1:58" x14ac:dyDescent="0.45">
      <c r="A809">
        <v>10808</v>
      </c>
      <c r="B809">
        <v>1</v>
      </c>
      <c r="C809">
        <v>87.3</v>
      </c>
      <c r="D809">
        <v>6.25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2.0499999999999998</v>
      </c>
      <c r="K809">
        <v>3.2</v>
      </c>
      <c r="L809">
        <v>1.0900000000000001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Z809">
        <v>1</v>
      </c>
      <c r="AA809">
        <v>0</v>
      </c>
      <c r="AB809">
        <v>0</v>
      </c>
      <c r="AC809">
        <v>0</v>
      </c>
      <c r="AD809">
        <v>1</v>
      </c>
      <c r="AE809">
        <v>970</v>
      </c>
      <c r="AF809">
        <v>2</v>
      </c>
      <c r="AG809">
        <v>0</v>
      </c>
      <c r="AH809">
        <v>1</v>
      </c>
      <c r="AI809">
        <v>0</v>
      </c>
      <c r="AJ809">
        <v>1</v>
      </c>
      <c r="AK809">
        <v>750</v>
      </c>
      <c r="AL809">
        <v>2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-4.2639999999999993</v>
      </c>
      <c r="AX809">
        <v>6.5916666666666668</v>
      </c>
      <c r="AY809">
        <v>870.625</v>
      </c>
      <c r="BA809">
        <v>787.51649999999995</v>
      </c>
      <c r="BB809">
        <v>879.67525000000001</v>
      </c>
      <c r="BC809">
        <v>16.701025000000001</v>
      </c>
      <c r="BF809" t="s">
        <v>108</v>
      </c>
    </row>
    <row r="810" spans="1:58" x14ac:dyDescent="0.45">
      <c r="A810">
        <v>10809</v>
      </c>
      <c r="B810">
        <v>1</v>
      </c>
      <c r="C810">
        <v>86.629000000000005</v>
      </c>
      <c r="D810">
        <v>6.75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2.11</v>
      </c>
      <c r="K810">
        <v>3.1</v>
      </c>
      <c r="L810">
        <v>1.04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965</v>
      </c>
      <c r="AF810">
        <v>1</v>
      </c>
      <c r="AG810">
        <v>1</v>
      </c>
      <c r="AH810">
        <v>0</v>
      </c>
      <c r="AI810">
        <v>0</v>
      </c>
      <c r="AJ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-4.8419999999999996</v>
      </c>
      <c r="AX810">
        <v>7.1016666666666666</v>
      </c>
      <c r="AY810">
        <v>871.73599999999999</v>
      </c>
      <c r="BA810">
        <v>840</v>
      </c>
      <c r="BB810">
        <v>989</v>
      </c>
      <c r="BC810">
        <v>13.4</v>
      </c>
      <c r="BF810" t="s">
        <v>108</v>
      </c>
    </row>
    <row r="811" spans="1:58" x14ac:dyDescent="0.45">
      <c r="A811">
        <v>10810</v>
      </c>
      <c r="B811">
        <v>1</v>
      </c>
      <c r="C811">
        <v>86.629000000000005</v>
      </c>
      <c r="D811">
        <v>6.75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2.11</v>
      </c>
      <c r="K811">
        <v>3.1</v>
      </c>
      <c r="L811">
        <v>1.04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Z811">
        <v>1</v>
      </c>
      <c r="AA811">
        <v>0</v>
      </c>
      <c r="AB811">
        <v>0</v>
      </c>
      <c r="AC811">
        <v>0</v>
      </c>
      <c r="AD811">
        <v>1</v>
      </c>
      <c r="AE811">
        <v>965</v>
      </c>
      <c r="AF811">
        <v>1</v>
      </c>
      <c r="AG811">
        <v>1</v>
      </c>
      <c r="AH811">
        <v>0</v>
      </c>
      <c r="AI811">
        <v>0</v>
      </c>
      <c r="AJ811">
        <v>1</v>
      </c>
      <c r="AK811">
        <v>900</v>
      </c>
      <c r="AL811">
        <v>1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-4.8419999999999996</v>
      </c>
      <c r="AX811">
        <v>7.1016666666666666</v>
      </c>
      <c r="AY811">
        <v>871.73599999999999</v>
      </c>
      <c r="BA811">
        <v>779</v>
      </c>
      <c r="BB811">
        <v>903</v>
      </c>
      <c r="BC811">
        <v>17.100000000000001</v>
      </c>
      <c r="BF811" t="s">
        <v>108</v>
      </c>
    </row>
    <row r="812" spans="1:58" x14ac:dyDescent="0.45">
      <c r="A812">
        <v>10811</v>
      </c>
      <c r="B812">
        <v>1</v>
      </c>
      <c r="C812">
        <v>86.629000000000005</v>
      </c>
      <c r="D812">
        <v>6.75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2.11</v>
      </c>
      <c r="K812">
        <v>3.1</v>
      </c>
      <c r="L812">
        <v>1.04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Z812">
        <v>1</v>
      </c>
      <c r="AA812">
        <v>0</v>
      </c>
      <c r="AB812">
        <v>0</v>
      </c>
      <c r="AC812">
        <v>0</v>
      </c>
      <c r="AD812">
        <v>1</v>
      </c>
      <c r="AE812">
        <v>980</v>
      </c>
      <c r="AF812">
        <v>1</v>
      </c>
      <c r="AG812">
        <v>1</v>
      </c>
      <c r="AH812">
        <v>0</v>
      </c>
      <c r="AI812">
        <v>0</v>
      </c>
      <c r="AJ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-4.8419999999999996</v>
      </c>
      <c r="AX812">
        <v>7.1016666666666666</v>
      </c>
      <c r="AY812">
        <v>871.73599999999999</v>
      </c>
      <c r="BA812">
        <v>854</v>
      </c>
      <c r="BB812">
        <v>990</v>
      </c>
      <c r="BC812">
        <v>12.6</v>
      </c>
      <c r="BF812" t="s">
        <v>108</v>
      </c>
    </row>
    <row r="813" spans="1:58" x14ac:dyDescent="0.45">
      <c r="A813">
        <v>10812</v>
      </c>
      <c r="B813">
        <v>1</v>
      </c>
      <c r="C813">
        <v>86.629000000000005</v>
      </c>
      <c r="D813">
        <v>6.75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2.11</v>
      </c>
      <c r="K813">
        <v>3.1</v>
      </c>
      <c r="L813">
        <v>1.04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Z813">
        <v>1</v>
      </c>
      <c r="AA813">
        <v>0</v>
      </c>
      <c r="AB813">
        <v>0</v>
      </c>
      <c r="AC813">
        <v>0</v>
      </c>
      <c r="AD813">
        <v>1</v>
      </c>
      <c r="AE813">
        <v>980</v>
      </c>
      <c r="AF813">
        <v>1</v>
      </c>
      <c r="AG813">
        <v>1</v>
      </c>
      <c r="AH813">
        <v>0</v>
      </c>
      <c r="AI813">
        <v>0</v>
      </c>
      <c r="AJ813">
        <v>1</v>
      </c>
      <c r="AK813">
        <v>900</v>
      </c>
      <c r="AL813">
        <v>1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-4.8419999999999996</v>
      </c>
      <c r="AX813">
        <v>7.1016666666666666</v>
      </c>
      <c r="AY813">
        <v>871.73599999999999</v>
      </c>
      <c r="BA813">
        <v>788</v>
      </c>
      <c r="BB813">
        <v>915</v>
      </c>
      <c r="BC813">
        <v>13.6</v>
      </c>
      <c r="BF813" t="s">
        <v>108</v>
      </c>
    </row>
    <row r="814" spans="1:58" x14ac:dyDescent="0.45">
      <c r="A814">
        <v>10813</v>
      </c>
      <c r="B814">
        <v>1</v>
      </c>
      <c r="C814">
        <v>86.629000000000005</v>
      </c>
      <c r="D814">
        <v>6.75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2.11</v>
      </c>
      <c r="K814">
        <v>3.1</v>
      </c>
      <c r="L814">
        <v>1.04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>
        <v>950</v>
      </c>
      <c r="AF814">
        <v>1</v>
      </c>
      <c r="AG814">
        <v>0</v>
      </c>
      <c r="AH814">
        <v>1</v>
      </c>
      <c r="AI814">
        <v>0</v>
      </c>
      <c r="AJ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-4.8419999999999996</v>
      </c>
      <c r="AX814">
        <v>7.1016666666666666</v>
      </c>
      <c r="AY814">
        <v>871.73599999999999</v>
      </c>
      <c r="BA814">
        <v>771</v>
      </c>
      <c r="BB814">
        <v>874</v>
      </c>
      <c r="BC814">
        <v>14.9</v>
      </c>
      <c r="BF814" t="s">
        <v>108</v>
      </c>
    </row>
    <row r="815" spans="1:58" x14ac:dyDescent="0.45">
      <c r="A815">
        <v>10814</v>
      </c>
      <c r="B815">
        <v>1</v>
      </c>
      <c r="C815">
        <v>86.629000000000005</v>
      </c>
      <c r="D815">
        <v>6.75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2.11</v>
      </c>
      <c r="K815">
        <v>3.1</v>
      </c>
      <c r="L815">
        <v>1.04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Z815">
        <v>1</v>
      </c>
      <c r="AA815">
        <v>0</v>
      </c>
      <c r="AB815">
        <v>0</v>
      </c>
      <c r="AC815">
        <v>0</v>
      </c>
      <c r="AD815">
        <v>1</v>
      </c>
      <c r="AE815">
        <v>965</v>
      </c>
      <c r="AF815">
        <v>1</v>
      </c>
      <c r="AG815">
        <v>0</v>
      </c>
      <c r="AH815">
        <v>1</v>
      </c>
      <c r="AI815">
        <v>0</v>
      </c>
      <c r="AJ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-4.8419999999999996</v>
      </c>
      <c r="AX815">
        <v>7.1016666666666666</v>
      </c>
      <c r="AY815">
        <v>871.73599999999999</v>
      </c>
      <c r="BA815">
        <v>770</v>
      </c>
      <c r="BB815">
        <v>881</v>
      </c>
      <c r="BC815">
        <v>14.5</v>
      </c>
      <c r="BF815" t="s">
        <v>108</v>
      </c>
    </row>
    <row r="816" spans="1:58" x14ac:dyDescent="0.45">
      <c r="A816">
        <v>10815</v>
      </c>
      <c r="B816">
        <v>1</v>
      </c>
      <c r="C816">
        <v>86.629000000000005</v>
      </c>
      <c r="D816">
        <v>6.75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2.11</v>
      </c>
      <c r="K816">
        <v>3.1</v>
      </c>
      <c r="L816">
        <v>1.04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>
        <v>980</v>
      </c>
      <c r="AF816">
        <v>1</v>
      </c>
      <c r="AG816">
        <v>0</v>
      </c>
      <c r="AH816">
        <v>1</v>
      </c>
      <c r="AI816">
        <v>0</v>
      </c>
      <c r="AJ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-4.8419999999999996</v>
      </c>
      <c r="AX816">
        <v>7.1016666666666666</v>
      </c>
      <c r="AY816">
        <v>871.73599999999999</v>
      </c>
      <c r="BA816">
        <v>782</v>
      </c>
      <c r="BB816">
        <v>891</v>
      </c>
      <c r="BC816">
        <v>13.4</v>
      </c>
      <c r="BF816" t="s">
        <v>108</v>
      </c>
    </row>
    <row r="817" spans="1:58" x14ac:dyDescent="0.45">
      <c r="A817">
        <v>10816</v>
      </c>
      <c r="B817">
        <v>1</v>
      </c>
      <c r="C817">
        <v>86.629000000000005</v>
      </c>
      <c r="D817">
        <v>6.75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2.11</v>
      </c>
      <c r="K817">
        <v>3.1</v>
      </c>
      <c r="L817">
        <v>1.04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>
        <v>950</v>
      </c>
      <c r="AF817">
        <v>1</v>
      </c>
      <c r="AG817">
        <v>1</v>
      </c>
      <c r="AH817">
        <v>0</v>
      </c>
      <c r="AI817">
        <v>0</v>
      </c>
      <c r="AJ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-4.8419999999999996</v>
      </c>
      <c r="AX817">
        <v>7.1016666666666666</v>
      </c>
      <c r="AY817">
        <v>871.73599999999999</v>
      </c>
      <c r="BA817">
        <v>830</v>
      </c>
      <c r="BB817">
        <v>950</v>
      </c>
      <c r="BC817">
        <v>15.3</v>
      </c>
      <c r="BF817" t="s">
        <v>108</v>
      </c>
    </row>
    <row r="818" spans="1:58" x14ac:dyDescent="0.45">
      <c r="A818">
        <v>10817</v>
      </c>
      <c r="B818">
        <v>1</v>
      </c>
      <c r="C818">
        <v>86.629000000000005</v>
      </c>
      <c r="D818">
        <v>6.75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2.11</v>
      </c>
      <c r="K818">
        <v>3.1</v>
      </c>
      <c r="L818">
        <v>1.04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950</v>
      </c>
      <c r="AF818">
        <v>1</v>
      </c>
      <c r="AG818">
        <v>1</v>
      </c>
      <c r="AH818">
        <v>0</v>
      </c>
      <c r="AI818">
        <v>0</v>
      </c>
      <c r="AJ818">
        <v>1</v>
      </c>
      <c r="AK818">
        <v>900</v>
      </c>
      <c r="AL818">
        <v>1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-4.8419999999999996</v>
      </c>
      <c r="AX818">
        <v>7.1016666666666666</v>
      </c>
      <c r="AY818">
        <v>871.73599999999999</v>
      </c>
      <c r="BA818">
        <v>776</v>
      </c>
      <c r="BB818">
        <v>872</v>
      </c>
      <c r="BC818">
        <v>15.5</v>
      </c>
      <c r="BF818" t="s">
        <v>108</v>
      </c>
    </row>
    <row r="819" spans="1:58" x14ac:dyDescent="0.45">
      <c r="A819">
        <v>10818</v>
      </c>
      <c r="B819">
        <v>1</v>
      </c>
      <c r="C819">
        <v>86.629000000000005</v>
      </c>
      <c r="D819">
        <v>6.75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2.11</v>
      </c>
      <c r="K819">
        <v>3.1</v>
      </c>
      <c r="L819">
        <v>1.04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J819">
        <v>1</v>
      </c>
      <c r="AK819">
        <v>930</v>
      </c>
      <c r="AL819">
        <v>1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-4.8419999999999996</v>
      </c>
      <c r="AX819">
        <v>7.1016666666666666</v>
      </c>
      <c r="AY819">
        <v>871.73599999999999</v>
      </c>
      <c r="BA819">
        <v>784</v>
      </c>
      <c r="BB819">
        <v>884</v>
      </c>
      <c r="BC819">
        <v>14.4</v>
      </c>
      <c r="BF819" t="s">
        <v>108</v>
      </c>
    </row>
    <row r="820" spans="1:58" x14ac:dyDescent="0.45">
      <c r="A820">
        <v>10819</v>
      </c>
      <c r="B820">
        <v>1</v>
      </c>
      <c r="C820">
        <v>86.629000000000005</v>
      </c>
      <c r="D820">
        <v>6.75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2.11</v>
      </c>
      <c r="K820">
        <v>3.1</v>
      </c>
      <c r="L820">
        <v>1.04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J820">
        <v>1</v>
      </c>
      <c r="AK820">
        <v>900</v>
      </c>
      <c r="AL820">
        <v>1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-4.8419999999999996</v>
      </c>
      <c r="AX820">
        <v>7.1016666666666666</v>
      </c>
      <c r="AY820">
        <v>871.73599999999999</v>
      </c>
      <c r="BA820">
        <v>766</v>
      </c>
      <c r="BB820">
        <v>869</v>
      </c>
      <c r="BC820">
        <v>16.5</v>
      </c>
      <c r="BF820" t="s">
        <v>108</v>
      </c>
    </row>
    <row r="821" spans="1:58" x14ac:dyDescent="0.45">
      <c r="A821">
        <v>10820</v>
      </c>
      <c r="B821">
        <v>1</v>
      </c>
      <c r="C821">
        <v>86.629000000000005</v>
      </c>
      <c r="D821">
        <v>6.75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2.11</v>
      </c>
      <c r="K821">
        <v>3.1</v>
      </c>
      <c r="L821">
        <v>1.04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J821">
        <v>1</v>
      </c>
      <c r="AK821">
        <v>930</v>
      </c>
      <c r="AL821">
        <v>1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-4.8419999999999996</v>
      </c>
      <c r="AX821">
        <v>7.1016666666666666</v>
      </c>
      <c r="AY821">
        <v>871.73599999999999</v>
      </c>
      <c r="BA821">
        <v>776</v>
      </c>
      <c r="BB821">
        <v>876</v>
      </c>
      <c r="BC821">
        <v>16.399999999999999</v>
      </c>
      <c r="BF821" t="s">
        <v>108</v>
      </c>
    </row>
    <row r="822" spans="1:58" x14ac:dyDescent="0.45">
      <c r="A822">
        <v>10821</v>
      </c>
      <c r="B822">
        <v>1</v>
      </c>
      <c r="C822">
        <v>86.629000000000005</v>
      </c>
      <c r="D822">
        <v>6.75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2.11</v>
      </c>
      <c r="K822">
        <v>3.1</v>
      </c>
      <c r="L822">
        <v>1.04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J822">
        <v>1</v>
      </c>
      <c r="AK822">
        <v>930</v>
      </c>
      <c r="AL822">
        <v>1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-4.8419999999999996</v>
      </c>
      <c r="AX822">
        <v>7.1016666666666666</v>
      </c>
      <c r="AY822">
        <v>871.73599999999999</v>
      </c>
      <c r="BA822">
        <v>785</v>
      </c>
      <c r="BB822">
        <v>919</v>
      </c>
      <c r="BC822">
        <v>16.899999999999999</v>
      </c>
      <c r="BF822" t="s">
        <v>108</v>
      </c>
    </row>
    <row r="823" spans="1:58" x14ac:dyDescent="0.45">
      <c r="A823">
        <v>10822</v>
      </c>
      <c r="B823">
        <v>1</v>
      </c>
      <c r="C823">
        <v>86.629000000000005</v>
      </c>
      <c r="D823">
        <v>6.75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2.11</v>
      </c>
      <c r="K823">
        <v>3.1</v>
      </c>
      <c r="L823">
        <v>1.04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J823">
        <v>1</v>
      </c>
      <c r="AK823">
        <v>950</v>
      </c>
      <c r="AL823">
        <v>1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-4.8419999999999996</v>
      </c>
      <c r="AX823">
        <v>7.1016666666666666</v>
      </c>
      <c r="AY823">
        <v>871.73599999999999</v>
      </c>
      <c r="BA823">
        <v>878</v>
      </c>
      <c r="BB823">
        <v>1017</v>
      </c>
      <c r="BC823">
        <v>16.2</v>
      </c>
      <c r="BF823" t="s">
        <v>108</v>
      </c>
    </row>
    <row r="824" spans="1:58" x14ac:dyDescent="0.45">
      <c r="A824">
        <v>10823</v>
      </c>
      <c r="B824">
        <v>1</v>
      </c>
      <c r="C824">
        <v>86.629000000000005</v>
      </c>
      <c r="D824">
        <v>6.75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2.11</v>
      </c>
      <c r="K824">
        <v>3.1</v>
      </c>
      <c r="L824">
        <v>1.04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J824">
        <v>1</v>
      </c>
      <c r="AK824">
        <v>900</v>
      </c>
      <c r="AL824">
        <v>1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-4.8419999999999996</v>
      </c>
      <c r="AX824">
        <v>7.1016666666666666</v>
      </c>
      <c r="AY824">
        <v>871.73599999999999</v>
      </c>
      <c r="BA824">
        <v>765</v>
      </c>
      <c r="BB824">
        <v>873</v>
      </c>
      <c r="BC824">
        <v>17.100000000000001</v>
      </c>
      <c r="BF824" t="s">
        <v>108</v>
      </c>
    </row>
    <row r="825" spans="1:58" x14ac:dyDescent="0.45">
      <c r="A825">
        <v>10824</v>
      </c>
      <c r="B825">
        <v>1</v>
      </c>
      <c r="C825">
        <v>86.629000000000005</v>
      </c>
      <c r="D825">
        <v>6.75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2.11</v>
      </c>
      <c r="K825">
        <v>3.1</v>
      </c>
      <c r="L825">
        <v>1.04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J825">
        <v>1</v>
      </c>
      <c r="AK825">
        <v>930</v>
      </c>
      <c r="AL825">
        <v>1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-4.8419999999999996</v>
      </c>
      <c r="AX825">
        <v>7.1016666666666666</v>
      </c>
      <c r="AY825">
        <v>871.73599999999999</v>
      </c>
      <c r="BA825">
        <v>770</v>
      </c>
      <c r="BB825">
        <v>875</v>
      </c>
      <c r="BC825">
        <v>14.5</v>
      </c>
      <c r="BF825" t="s">
        <v>108</v>
      </c>
    </row>
    <row r="826" spans="1:58" x14ac:dyDescent="0.45">
      <c r="A826">
        <v>10825</v>
      </c>
      <c r="B826">
        <v>1</v>
      </c>
      <c r="C826">
        <v>86.629000000000005</v>
      </c>
      <c r="D826">
        <v>6.75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2.11</v>
      </c>
      <c r="K826">
        <v>3.1</v>
      </c>
      <c r="L826">
        <v>1.04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J826">
        <v>1</v>
      </c>
      <c r="AK826">
        <v>950</v>
      </c>
      <c r="AL826">
        <v>1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-4.8419999999999996</v>
      </c>
      <c r="AX826">
        <v>7.1016666666666666</v>
      </c>
      <c r="AY826">
        <v>871.73599999999999</v>
      </c>
      <c r="BA826">
        <v>774</v>
      </c>
      <c r="BB826">
        <v>874</v>
      </c>
      <c r="BC826">
        <v>15.8</v>
      </c>
      <c r="BF826" t="s">
        <v>108</v>
      </c>
    </row>
    <row r="827" spans="1:58" x14ac:dyDescent="0.45">
      <c r="A827">
        <v>10826</v>
      </c>
      <c r="B827">
        <v>1</v>
      </c>
      <c r="C827">
        <v>86.629000000000005</v>
      </c>
      <c r="D827">
        <v>6.75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2.11</v>
      </c>
      <c r="K827">
        <v>3.1</v>
      </c>
      <c r="L827">
        <v>1.04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J827">
        <v>1</v>
      </c>
      <c r="AK827">
        <v>930</v>
      </c>
      <c r="AL827">
        <v>1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-4.8419999999999996</v>
      </c>
      <c r="AX827">
        <v>7.1016666666666666</v>
      </c>
      <c r="AY827">
        <v>871.73599999999999</v>
      </c>
      <c r="BA827">
        <v>850</v>
      </c>
      <c r="BB827">
        <v>990</v>
      </c>
      <c r="BC827">
        <v>13.4</v>
      </c>
      <c r="BF827" t="s">
        <v>108</v>
      </c>
    </row>
    <row r="828" spans="1:58" x14ac:dyDescent="0.45">
      <c r="A828">
        <v>10827</v>
      </c>
      <c r="B828">
        <v>1</v>
      </c>
      <c r="C828">
        <v>86.629000000000005</v>
      </c>
      <c r="D828">
        <v>6.75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2.11</v>
      </c>
      <c r="K828">
        <v>3.1</v>
      </c>
      <c r="L828">
        <v>1.04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J828">
        <v>1</v>
      </c>
      <c r="AK828">
        <v>950</v>
      </c>
      <c r="AL828">
        <v>1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-4.8419999999999996</v>
      </c>
      <c r="AX828">
        <v>7.1016666666666666</v>
      </c>
      <c r="AY828">
        <v>871.73599999999999</v>
      </c>
      <c r="BA828">
        <v>883</v>
      </c>
      <c r="BB828">
        <v>1031</v>
      </c>
      <c r="BC828">
        <v>12.6</v>
      </c>
      <c r="BF828" t="s">
        <v>108</v>
      </c>
    </row>
    <row r="829" spans="1:58" x14ac:dyDescent="0.45">
      <c r="A829">
        <v>10828</v>
      </c>
      <c r="B829">
        <v>1</v>
      </c>
      <c r="C829">
        <v>86.629000000000005</v>
      </c>
      <c r="D829">
        <v>6.75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2.11</v>
      </c>
      <c r="K829">
        <v>3.1</v>
      </c>
      <c r="L829">
        <v>1.04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J829">
        <v>1</v>
      </c>
      <c r="AK829">
        <v>965</v>
      </c>
      <c r="AL829">
        <v>1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-4.8419999999999996</v>
      </c>
      <c r="AX829">
        <v>7.1016666666666666</v>
      </c>
      <c r="AY829">
        <v>871.73599999999999</v>
      </c>
      <c r="BA829">
        <v>891</v>
      </c>
      <c r="BB829">
        <v>1037</v>
      </c>
      <c r="BC829">
        <v>12.7</v>
      </c>
      <c r="BF829" t="s">
        <v>108</v>
      </c>
    </row>
    <row r="830" spans="1:58" x14ac:dyDescent="0.45">
      <c r="A830">
        <v>10829</v>
      </c>
      <c r="B830">
        <v>1</v>
      </c>
      <c r="C830">
        <v>86.629000000000005</v>
      </c>
      <c r="D830">
        <v>6.75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2.11</v>
      </c>
      <c r="K830">
        <v>3.1</v>
      </c>
      <c r="L830">
        <v>1.04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J830">
        <v>1</v>
      </c>
      <c r="AK830">
        <v>900</v>
      </c>
      <c r="AL830">
        <v>1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-4.8419999999999996</v>
      </c>
      <c r="AX830">
        <v>7.1016666666666666</v>
      </c>
      <c r="AY830">
        <v>871.73599999999999</v>
      </c>
      <c r="BA830">
        <v>783</v>
      </c>
      <c r="BB830">
        <v>894</v>
      </c>
      <c r="BC830">
        <v>17.5</v>
      </c>
      <c r="BF830" t="s">
        <v>108</v>
      </c>
    </row>
    <row r="831" spans="1:58" x14ac:dyDescent="0.45">
      <c r="A831">
        <v>10830</v>
      </c>
      <c r="B831">
        <v>1</v>
      </c>
      <c r="C831">
        <v>86.629000000000005</v>
      </c>
      <c r="D831">
        <v>6.75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2.11</v>
      </c>
      <c r="K831">
        <v>3.1</v>
      </c>
      <c r="L831">
        <v>1.04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J831">
        <v>1</v>
      </c>
      <c r="AK831">
        <v>930</v>
      </c>
      <c r="AL831">
        <v>1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-4.8419999999999996</v>
      </c>
      <c r="AX831">
        <v>7.1016666666666666</v>
      </c>
      <c r="AY831">
        <v>871.73599999999999</v>
      </c>
      <c r="BA831">
        <v>743</v>
      </c>
      <c r="BB831">
        <v>864</v>
      </c>
      <c r="BC831">
        <v>14.8</v>
      </c>
      <c r="BF831" t="s">
        <v>108</v>
      </c>
    </row>
    <row r="832" spans="1:58" x14ac:dyDescent="0.45">
      <c r="A832">
        <v>10831</v>
      </c>
      <c r="B832">
        <v>1</v>
      </c>
      <c r="C832">
        <v>86.629000000000005</v>
      </c>
      <c r="D832">
        <v>6.75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2.11</v>
      </c>
      <c r="K832">
        <v>3.1</v>
      </c>
      <c r="L832">
        <v>1.04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J832">
        <v>1</v>
      </c>
      <c r="AK832">
        <v>950</v>
      </c>
      <c r="AL832">
        <v>1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-4.8419999999999996</v>
      </c>
      <c r="AX832">
        <v>7.1016666666666666</v>
      </c>
      <c r="AY832">
        <v>871.73599999999999</v>
      </c>
      <c r="BA832">
        <v>755</v>
      </c>
      <c r="BB832">
        <v>857</v>
      </c>
      <c r="BC832">
        <v>15.6</v>
      </c>
      <c r="BF832" t="s">
        <v>108</v>
      </c>
    </row>
    <row r="833" spans="1:58" x14ac:dyDescent="0.45">
      <c r="A833">
        <v>10832</v>
      </c>
      <c r="B833">
        <v>1</v>
      </c>
      <c r="C833">
        <v>86.629000000000005</v>
      </c>
      <c r="D833">
        <v>6.75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2.11</v>
      </c>
      <c r="K833">
        <v>3.1</v>
      </c>
      <c r="L833">
        <v>1.04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J833">
        <v>1</v>
      </c>
      <c r="AK833">
        <v>965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-4.8419999999999996</v>
      </c>
      <c r="AX833">
        <v>7.1016666666666666</v>
      </c>
      <c r="AY833">
        <v>871.73599999999999</v>
      </c>
      <c r="BA833">
        <v>796</v>
      </c>
      <c r="BB833">
        <v>896</v>
      </c>
      <c r="BC833">
        <v>15</v>
      </c>
      <c r="BF833" t="s">
        <v>108</v>
      </c>
    </row>
    <row r="834" spans="1:58" x14ac:dyDescent="0.45">
      <c r="A834">
        <v>10833</v>
      </c>
      <c r="B834">
        <v>1</v>
      </c>
      <c r="C834">
        <v>88</v>
      </c>
      <c r="D834">
        <v>5.7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1.2</v>
      </c>
      <c r="K834">
        <v>0</v>
      </c>
      <c r="L834">
        <v>3.8</v>
      </c>
      <c r="M834">
        <v>1.3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Z834">
        <v>0</v>
      </c>
      <c r="AA834">
        <v>1</v>
      </c>
      <c r="AB834">
        <v>0</v>
      </c>
      <c r="AC834">
        <v>0</v>
      </c>
      <c r="AD834">
        <v>1</v>
      </c>
      <c r="AE834">
        <v>940</v>
      </c>
      <c r="AF834">
        <v>1</v>
      </c>
      <c r="AG834">
        <v>1</v>
      </c>
      <c r="AH834">
        <v>0</v>
      </c>
      <c r="AI834">
        <v>0</v>
      </c>
      <c r="AJ834">
        <v>1</v>
      </c>
      <c r="AK834">
        <v>700</v>
      </c>
      <c r="AL834">
        <v>1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-1.9000000000000004</v>
      </c>
      <c r="AX834">
        <v>6.3333333333333339</v>
      </c>
      <c r="AY834">
        <v>855.05000000000007</v>
      </c>
      <c r="BA834">
        <v>970</v>
      </c>
      <c r="BB834">
        <v>1040</v>
      </c>
      <c r="BC834">
        <v>15</v>
      </c>
      <c r="BF834" t="s">
        <v>191</v>
      </c>
    </row>
    <row r="835" spans="1:58" x14ac:dyDescent="0.45">
      <c r="A835">
        <v>10834</v>
      </c>
      <c r="B835">
        <v>1</v>
      </c>
      <c r="C835">
        <v>88</v>
      </c>
      <c r="D835">
        <v>5.7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1.2</v>
      </c>
      <c r="K835">
        <v>0</v>
      </c>
      <c r="L835">
        <v>3.8</v>
      </c>
      <c r="M835">
        <v>1.3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>
        <v>940</v>
      </c>
      <c r="AF835">
        <v>0</v>
      </c>
      <c r="AG835">
        <v>1</v>
      </c>
      <c r="AH835">
        <v>0</v>
      </c>
      <c r="AI835">
        <v>0</v>
      </c>
      <c r="AJ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-1.9000000000000004</v>
      </c>
      <c r="AX835">
        <v>6.3333333333333339</v>
      </c>
      <c r="AY835">
        <v>855.05000000000007</v>
      </c>
      <c r="BA835">
        <v>1080</v>
      </c>
      <c r="BB835">
        <v>1150</v>
      </c>
      <c r="BC835">
        <v>10</v>
      </c>
      <c r="BF835" t="s">
        <v>191</v>
      </c>
    </row>
    <row r="836" spans="1:58" x14ac:dyDescent="0.45">
      <c r="A836">
        <v>10835</v>
      </c>
      <c r="B836">
        <v>1</v>
      </c>
      <c r="C836">
        <v>88</v>
      </c>
      <c r="D836">
        <v>5.7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1.2</v>
      </c>
      <c r="K836">
        <v>0</v>
      </c>
      <c r="L836">
        <v>3.8</v>
      </c>
      <c r="M836">
        <v>1.3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940</v>
      </c>
      <c r="AF836">
        <v>0</v>
      </c>
      <c r="AG836">
        <v>1</v>
      </c>
      <c r="AH836">
        <v>0</v>
      </c>
      <c r="AI836">
        <v>0</v>
      </c>
      <c r="AJ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-1.9000000000000004</v>
      </c>
      <c r="AX836">
        <v>6.3333333333333339</v>
      </c>
      <c r="AY836">
        <v>855.05000000000007</v>
      </c>
      <c r="BA836">
        <v>1150</v>
      </c>
      <c r="BB836">
        <v>1230</v>
      </c>
      <c r="BC836">
        <v>11</v>
      </c>
      <c r="BF836" t="s">
        <v>191</v>
      </c>
    </row>
    <row r="837" spans="1:58" x14ac:dyDescent="0.45">
      <c r="A837">
        <v>10836</v>
      </c>
      <c r="B837">
        <v>1</v>
      </c>
      <c r="C837">
        <v>81.3</v>
      </c>
      <c r="D837">
        <v>6.5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4</v>
      </c>
      <c r="K837">
        <v>0</v>
      </c>
      <c r="L837">
        <v>5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>
        <v>958</v>
      </c>
      <c r="AF837">
        <v>2</v>
      </c>
      <c r="AG837">
        <v>0</v>
      </c>
      <c r="AH837">
        <v>1</v>
      </c>
      <c r="AI837">
        <v>0</v>
      </c>
      <c r="AJ837">
        <v>1</v>
      </c>
      <c r="AK837">
        <v>550</v>
      </c>
      <c r="AL837">
        <v>6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-1.5</v>
      </c>
      <c r="AX837">
        <v>7.8333333333333339</v>
      </c>
      <c r="AY837">
        <v>828.94999999999993</v>
      </c>
      <c r="BA837">
        <v>1135.5</v>
      </c>
      <c r="BB837">
        <v>1292</v>
      </c>
      <c r="BC837">
        <v>11</v>
      </c>
      <c r="BF837" t="s">
        <v>108</v>
      </c>
    </row>
    <row r="838" spans="1:58" x14ac:dyDescent="0.45">
      <c r="A838">
        <v>10837</v>
      </c>
      <c r="B838">
        <v>1</v>
      </c>
      <c r="C838">
        <v>81.3</v>
      </c>
      <c r="D838">
        <v>6.5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</v>
      </c>
      <c r="K838">
        <v>0</v>
      </c>
      <c r="L838">
        <v>5</v>
      </c>
      <c r="M838">
        <v>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>
        <v>958</v>
      </c>
      <c r="AF838">
        <v>2</v>
      </c>
      <c r="AG838">
        <v>0</v>
      </c>
      <c r="AH838">
        <v>1</v>
      </c>
      <c r="AI838">
        <v>0</v>
      </c>
      <c r="AJ838">
        <v>1</v>
      </c>
      <c r="AK838">
        <v>520</v>
      </c>
      <c r="AL838">
        <v>6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-1.5</v>
      </c>
      <c r="AX838">
        <v>7.8333333333333339</v>
      </c>
      <c r="AY838">
        <v>828.94999999999993</v>
      </c>
      <c r="BA838">
        <v>1099</v>
      </c>
      <c r="BB838">
        <v>1261.5</v>
      </c>
      <c r="BC838">
        <v>14</v>
      </c>
      <c r="BF838" t="s">
        <v>108</v>
      </c>
    </row>
    <row r="839" spans="1:58" x14ac:dyDescent="0.45">
      <c r="A839">
        <v>10838</v>
      </c>
      <c r="B839">
        <v>1</v>
      </c>
      <c r="C839">
        <v>81.3</v>
      </c>
      <c r="D839">
        <v>6.5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4</v>
      </c>
      <c r="K839">
        <v>0</v>
      </c>
      <c r="L839">
        <v>5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Z839">
        <v>1</v>
      </c>
      <c r="AA839">
        <v>0</v>
      </c>
      <c r="AB839">
        <v>0</v>
      </c>
      <c r="AC839">
        <v>0</v>
      </c>
      <c r="AD839">
        <v>1</v>
      </c>
      <c r="AE839">
        <v>958</v>
      </c>
      <c r="AF839">
        <v>2</v>
      </c>
      <c r="AG839">
        <v>0</v>
      </c>
      <c r="AH839">
        <v>1</v>
      </c>
      <c r="AI839">
        <v>0</v>
      </c>
      <c r="AJ839">
        <v>1</v>
      </c>
      <c r="AK839">
        <v>540</v>
      </c>
      <c r="AL839">
        <v>6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-1.5</v>
      </c>
      <c r="AX839">
        <v>7.8333333333333339</v>
      </c>
      <c r="AY839">
        <v>828.94999999999993</v>
      </c>
      <c r="BA839">
        <v>1171.5</v>
      </c>
      <c r="BB839">
        <v>1279</v>
      </c>
      <c r="BC839">
        <v>13</v>
      </c>
      <c r="BF839" t="s">
        <v>108</v>
      </c>
    </row>
    <row r="840" spans="1:58" x14ac:dyDescent="0.45">
      <c r="A840">
        <v>10839</v>
      </c>
      <c r="B840">
        <v>1</v>
      </c>
      <c r="C840">
        <v>81.3</v>
      </c>
      <c r="D840">
        <v>6.5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</v>
      </c>
      <c r="K840">
        <v>0</v>
      </c>
      <c r="L840">
        <v>5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958</v>
      </c>
      <c r="AF840">
        <v>2</v>
      </c>
      <c r="AG840">
        <v>0</v>
      </c>
      <c r="AH840">
        <v>1</v>
      </c>
      <c r="AI840">
        <v>0</v>
      </c>
      <c r="AJ840">
        <v>1</v>
      </c>
      <c r="AK840">
        <v>560</v>
      </c>
      <c r="AL840">
        <v>6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-1.5</v>
      </c>
      <c r="AX840">
        <v>7.8333333333333339</v>
      </c>
      <c r="AY840">
        <v>828.94999999999993</v>
      </c>
      <c r="BA840">
        <v>1130</v>
      </c>
      <c r="BB840">
        <v>1276.5</v>
      </c>
      <c r="BC840">
        <v>15.3</v>
      </c>
      <c r="BF840" t="s">
        <v>108</v>
      </c>
    </row>
    <row r="841" spans="1:58" x14ac:dyDescent="0.45">
      <c r="A841">
        <v>10840</v>
      </c>
      <c r="B841">
        <v>1</v>
      </c>
      <c r="C841">
        <v>81.3</v>
      </c>
      <c r="D841">
        <v>6.5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</v>
      </c>
      <c r="K841">
        <v>0</v>
      </c>
      <c r="L841">
        <v>5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958</v>
      </c>
      <c r="AF841">
        <v>2</v>
      </c>
      <c r="AG841">
        <v>0</v>
      </c>
      <c r="AH841">
        <v>1</v>
      </c>
      <c r="AI841">
        <v>0</v>
      </c>
      <c r="AJ841">
        <v>1</v>
      </c>
      <c r="AK841">
        <v>580</v>
      </c>
      <c r="AL841">
        <v>6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-1.5</v>
      </c>
      <c r="AX841">
        <v>7.8333333333333339</v>
      </c>
      <c r="AY841">
        <v>828.94999999999993</v>
      </c>
      <c r="BA841">
        <v>1124</v>
      </c>
      <c r="BB841">
        <v>1268</v>
      </c>
      <c r="BC841">
        <v>14</v>
      </c>
      <c r="BF841" t="s">
        <v>108</v>
      </c>
    </row>
    <row r="842" spans="1:58" x14ac:dyDescent="0.45">
      <c r="A842">
        <v>10841</v>
      </c>
      <c r="B842">
        <v>1</v>
      </c>
      <c r="C842">
        <v>81.3</v>
      </c>
      <c r="D842">
        <v>6.5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4</v>
      </c>
      <c r="K842">
        <v>0</v>
      </c>
      <c r="L842">
        <v>5</v>
      </c>
      <c r="M842">
        <v>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958</v>
      </c>
      <c r="AF842">
        <v>2</v>
      </c>
      <c r="AG842">
        <v>0</v>
      </c>
      <c r="AH842">
        <v>1</v>
      </c>
      <c r="AI842">
        <v>0</v>
      </c>
      <c r="AJ842">
        <v>1</v>
      </c>
      <c r="AK842">
        <v>600</v>
      </c>
      <c r="AL842">
        <v>6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-1.5</v>
      </c>
      <c r="AX842">
        <v>7.8333333333333339</v>
      </c>
      <c r="AY842">
        <v>828.94999999999993</v>
      </c>
      <c r="BA842">
        <v>1129.5</v>
      </c>
      <c r="BB842">
        <v>1293</v>
      </c>
      <c r="BC842">
        <v>13.5</v>
      </c>
      <c r="BF842" t="s">
        <v>108</v>
      </c>
    </row>
    <row r="843" spans="1:58" x14ac:dyDescent="0.45">
      <c r="A843">
        <v>10842</v>
      </c>
      <c r="B843">
        <v>1</v>
      </c>
      <c r="C843">
        <v>83.52</v>
      </c>
      <c r="D843">
        <v>6.44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3.62</v>
      </c>
      <c r="K843">
        <v>0</v>
      </c>
      <c r="L843">
        <v>3.94</v>
      </c>
      <c r="M843">
        <v>1.68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880</v>
      </c>
      <c r="Y843">
        <v>60</v>
      </c>
      <c r="Z843">
        <v>0</v>
      </c>
      <c r="AA843">
        <v>1</v>
      </c>
      <c r="AB843">
        <v>0</v>
      </c>
      <c r="AC843">
        <v>0</v>
      </c>
      <c r="AD843">
        <v>0</v>
      </c>
      <c r="AJ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-2.5000000000000004</v>
      </c>
      <c r="AX843">
        <v>7.6033333333333335</v>
      </c>
      <c r="AY843">
        <v>840.17200000000014</v>
      </c>
      <c r="BA843">
        <v>1131.8599999999999</v>
      </c>
      <c r="BB843">
        <v>1217.71</v>
      </c>
      <c r="BC843">
        <v>10.6775</v>
      </c>
      <c r="BF843" t="s">
        <v>108</v>
      </c>
    </row>
    <row r="844" spans="1:58" x14ac:dyDescent="0.45">
      <c r="A844">
        <v>10843</v>
      </c>
      <c r="B844">
        <v>1</v>
      </c>
      <c r="C844">
        <v>83.52</v>
      </c>
      <c r="D844">
        <v>6.44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3.62</v>
      </c>
      <c r="K844">
        <v>0</v>
      </c>
      <c r="L844">
        <v>3.94</v>
      </c>
      <c r="M844">
        <v>1.68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910</v>
      </c>
      <c r="Y844">
        <v>60</v>
      </c>
      <c r="Z844">
        <v>0</v>
      </c>
      <c r="AA844">
        <v>1</v>
      </c>
      <c r="AB844">
        <v>0</v>
      </c>
      <c r="AC844">
        <v>0</v>
      </c>
      <c r="AD844">
        <v>0</v>
      </c>
      <c r="AJ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-2.5000000000000004</v>
      </c>
      <c r="AX844">
        <v>7.6033333333333335</v>
      </c>
      <c r="AY844">
        <v>840.17200000000014</v>
      </c>
      <c r="BA844">
        <v>1030.3599999999999</v>
      </c>
      <c r="BB844">
        <v>1086.32</v>
      </c>
      <c r="BC844">
        <v>14.1265</v>
      </c>
      <c r="BF844" t="s">
        <v>108</v>
      </c>
    </row>
    <row r="845" spans="1:58" x14ac:dyDescent="0.45">
      <c r="A845">
        <v>10844</v>
      </c>
      <c r="B845">
        <v>1</v>
      </c>
      <c r="C845">
        <v>83.52</v>
      </c>
      <c r="D845">
        <v>6.44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3.62</v>
      </c>
      <c r="K845">
        <v>0</v>
      </c>
      <c r="L845">
        <v>3.94</v>
      </c>
      <c r="M845">
        <v>1.68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940</v>
      </c>
      <c r="Y845">
        <v>60</v>
      </c>
      <c r="Z845">
        <v>0</v>
      </c>
      <c r="AA845">
        <v>1</v>
      </c>
      <c r="AB845">
        <v>0</v>
      </c>
      <c r="AC845">
        <v>0</v>
      </c>
      <c r="AD845">
        <v>1</v>
      </c>
      <c r="AE845">
        <v>900</v>
      </c>
      <c r="AF845">
        <v>1</v>
      </c>
      <c r="AG845">
        <v>0</v>
      </c>
      <c r="AH845">
        <v>1</v>
      </c>
      <c r="AI845">
        <v>0</v>
      </c>
      <c r="AJ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-2.5000000000000004</v>
      </c>
      <c r="AX845">
        <v>7.6033333333333335</v>
      </c>
      <c r="AY845">
        <v>840.17200000000014</v>
      </c>
      <c r="BA845">
        <v>1123.5</v>
      </c>
      <c r="BB845">
        <v>1192</v>
      </c>
      <c r="BC845">
        <v>12</v>
      </c>
      <c r="BF845" t="s">
        <v>108</v>
      </c>
    </row>
    <row r="846" spans="1:58" x14ac:dyDescent="0.45">
      <c r="A846">
        <v>10845</v>
      </c>
      <c r="B846">
        <v>1</v>
      </c>
      <c r="C846">
        <v>83.52</v>
      </c>
      <c r="D846">
        <v>6.44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3.62</v>
      </c>
      <c r="K846">
        <v>0</v>
      </c>
      <c r="L846">
        <v>3.94</v>
      </c>
      <c r="M846">
        <v>1.68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940</v>
      </c>
      <c r="Y846">
        <v>60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930</v>
      </c>
      <c r="AF846">
        <v>1</v>
      </c>
      <c r="AG846">
        <v>1</v>
      </c>
      <c r="AH846">
        <v>0</v>
      </c>
      <c r="AI846">
        <v>0</v>
      </c>
      <c r="AJ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-2.5000000000000004</v>
      </c>
      <c r="AX846">
        <v>7.6033333333333335</v>
      </c>
      <c r="AY846">
        <v>840.17200000000014</v>
      </c>
      <c r="BA846">
        <v>1472.5</v>
      </c>
      <c r="BB846">
        <v>1580.5</v>
      </c>
      <c r="BC846">
        <v>4.75</v>
      </c>
      <c r="BF846" t="s">
        <v>108</v>
      </c>
    </row>
    <row r="847" spans="1:58" x14ac:dyDescent="0.45">
      <c r="A847">
        <v>10846</v>
      </c>
      <c r="B847">
        <v>1</v>
      </c>
      <c r="C847">
        <v>83.52</v>
      </c>
      <c r="D847">
        <v>6.44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3.62</v>
      </c>
      <c r="K847">
        <v>0</v>
      </c>
      <c r="L847">
        <v>3.94</v>
      </c>
      <c r="M847">
        <v>1.68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940</v>
      </c>
      <c r="Y847">
        <v>60</v>
      </c>
      <c r="Z847">
        <v>0</v>
      </c>
      <c r="AA847">
        <v>1</v>
      </c>
      <c r="AB847">
        <v>0</v>
      </c>
      <c r="AC847">
        <v>0</v>
      </c>
      <c r="AD847">
        <v>1</v>
      </c>
      <c r="AE847">
        <v>950</v>
      </c>
      <c r="AF847">
        <v>1</v>
      </c>
      <c r="AG847">
        <v>0</v>
      </c>
      <c r="AH847">
        <v>1</v>
      </c>
      <c r="AI847">
        <v>0</v>
      </c>
      <c r="AJ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-2.5000000000000004</v>
      </c>
      <c r="AX847">
        <v>7.6033333333333335</v>
      </c>
      <c r="AY847">
        <v>840.17200000000014</v>
      </c>
      <c r="BA847">
        <v>1029</v>
      </c>
      <c r="BB847">
        <v>1193.5</v>
      </c>
      <c r="BC847">
        <v>7</v>
      </c>
      <c r="BF847" t="s">
        <v>108</v>
      </c>
    </row>
    <row r="848" spans="1:58" x14ac:dyDescent="0.45">
      <c r="A848">
        <v>10847</v>
      </c>
      <c r="B848">
        <v>1</v>
      </c>
      <c r="C848">
        <v>83.52</v>
      </c>
      <c r="D848">
        <v>6.44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3.62</v>
      </c>
      <c r="K848">
        <v>0</v>
      </c>
      <c r="L848">
        <v>3.94</v>
      </c>
      <c r="M848">
        <v>1.68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960</v>
      </c>
      <c r="Y848">
        <v>60</v>
      </c>
      <c r="Z848">
        <v>0</v>
      </c>
      <c r="AA848">
        <v>1</v>
      </c>
      <c r="AB848">
        <v>0</v>
      </c>
      <c r="AC848">
        <v>0</v>
      </c>
      <c r="AD848">
        <v>1</v>
      </c>
      <c r="AE848">
        <v>900</v>
      </c>
      <c r="AF848">
        <v>1</v>
      </c>
      <c r="AG848">
        <v>0</v>
      </c>
      <c r="AH848">
        <v>1</v>
      </c>
      <c r="AI848">
        <v>0</v>
      </c>
      <c r="AJ848">
        <v>1</v>
      </c>
      <c r="AK848">
        <v>600</v>
      </c>
      <c r="AL848">
        <v>6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-2.5000000000000004</v>
      </c>
      <c r="AX848">
        <v>7.6033333333333335</v>
      </c>
      <c r="AY848">
        <v>840.17200000000014</v>
      </c>
      <c r="BA848">
        <v>1069.25</v>
      </c>
      <c r="BB848">
        <v>1163.1600000000001</v>
      </c>
      <c r="BC848">
        <v>14.0883</v>
      </c>
      <c r="BF848" t="s">
        <v>108</v>
      </c>
    </row>
    <row r="849" spans="1:58" x14ac:dyDescent="0.45">
      <c r="A849">
        <v>10848</v>
      </c>
      <c r="B849">
        <v>1</v>
      </c>
      <c r="C849">
        <v>83.52</v>
      </c>
      <c r="D849">
        <v>6.44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3.62</v>
      </c>
      <c r="K849">
        <v>0</v>
      </c>
      <c r="L849">
        <v>3.94</v>
      </c>
      <c r="M849">
        <v>1.68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990</v>
      </c>
      <c r="Y849">
        <v>60</v>
      </c>
      <c r="Z849">
        <v>0</v>
      </c>
      <c r="AA849">
        <v>1</v>
      </c>
      <c r="AB849">
        <v>0</v>
      </c>
      <c r="AC849">
        <v>0</v>
      </c>
      <c r="AD849">
        <v>1</v>
      </c>
      <c r="AE849">
        <v>900</v>
      </c>
      <c r="AF849">
        <v>1</v>
      </c>
      <c r="AG849">
        <v>0</v>
      </c>
      <c r="AH849">
        <v>1</v>
      </c>
      <c r="AI849">
        <v>0</v>
      </c>
      <c r="AJ849">
        <v>1</v>
      </c>
      <c r="AK849">
        <v>600</v>
      </c>
      <c r="AL849">
        <v>6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-2.5000000000000004</v>
      </c>
      <c r="AX849">
        <v>7.6033333333333335</v>
      </c>
      <c r="AY849">
        <v>840.17200000000014</v>
      </c>
      <c r="BA849">
        <v>1076.3599999999999</v>
      </c>
      <c r="BB849">
        <v>1180.24</v>
      </c>
      <c r="BC849">
        <v>9.9297699999999995</v>
      </c>
      <c r="BF849" t="s">
        <v>108</v>
      </c>
    </row>
    <row r="850" spans="1:58" x14ac:dyDescent="0.45">
      <c r="A850">
        <v>10849</v>
      </c>
      <c r="B850">
        <v>1</v>
      </c>
      <c r="C850">
        <v>83.52</v>
      </c>
      <c r="D850">
        <v>6.44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3.62</v>
      </c>
      <c r="K850">
        <v>0</v>
      </c>
      <c r="L850">
        <v>3.94</v>
      </c>
      <c r="M850">
        <v>1.68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1005</v>
      </c>
      <c r="Y850">
        <v>60</v>
      </c>
      <c r="Z850">
        <v>0</v>
      </c>
      <c r="AA850">
        <v>1</v>
      </c>
      <c r="AB850">
        <v>0</v>
      </c>
      <c r="AC850">
        <v>0</v>
      </c>
      <c r="AD850">
        <v>1</v>
      </c>
      <c r="AE850">
        <v>900</v>
      </c>
      <c r="AF850">
        <v>1</v>
      </c>
      <c r="AG850">
        <v>0</v>
      </c>
      <c r="AH850">
        <v>1</v>
      </c>
      <c r="AI850">
        <v>0</v>
      </c>
      <c r="AJ850">
        <v>1</v>
      </c>
      <c r="AK850">
        <v>600</v>
      </c>
      <c r="AL850">
        <v>6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-2.5000000000000004</v>
      </c>
      <c r="AX850">
        <v>7.6033333333333335</v>
      </c>
      <c r="AY850">
        <v>840.17200000000014</v>
      </c>
      <c r="BA850">
        <v>1086.32</v>
      </c>
      <c r="BB850">
        <v>1170.28</v>
      </c>
      <c r="BC850">
        <v>12.206</v>
      </c>
      <c r="BF850" t="s">
        <v>108</v>
      </c>
    </row>
    <row r="851" spans="1:58" x14ac:dyDescent="0.45">
      <c r="A851">
        <v>10850</v>
      </c>
      <c r="B851">
        <v>1</v>
      </c>
      <c r="C851">
        <v>83.52</v>
      </c>
      <c r="D851">
        <v>6.44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3.62</v>
      </c>
      <c r="K851">
        <v>0</v>
      </c>
      <c r="L851">
        <v>3.94</v>
      </c>
      <c r="M851">
        <v>1.68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940</v>
      </c>
      <c r="Y851">
        <v>20</v>
      </c>
      <c r="Z851">
        <v>0</v>
      </c>
      <c r="AA851">
        <v>1</v>
      </c>
      <c r="AB851">
        <v>0</v>
      </c>
      <c r="AC851">
        <v>0</v>
      </c>
      <c r="AD851">
        <v>1</v>
      </c>
      <c r="AE851">
        <v>900</v>
      </c>
      <c r="AF851">
        <v>1</v>
      </c>
      <c r="AG851">
        <v>0</v>
      </c>
      <c r="AH851">
        <v>1</v>
      </c>
      <c r="AI851">
        <v>0</v>
      </c>
      <c r="AJ851">
        <v>1</v>
      </c>
      <c r="AK851">
        <v>600</v>
      </c>
      <c r="AL851">
        <v>6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-2.5000000000000004</v>
      </c>
      <c r="AX851">
        <v>7.6033333333333335</v>
      </c>
      <c r="AY851">
        <v>840.17200000000014</v>
      </c>
      <c r="BA851">
        <v>1078</v>
      </c>
      <c r="BB851">
        <v>1158</v>
      </c>
      <c r="BC851">
        <v>11.75</v>
      </c>
      <c r="BF851" t="s">
        <v>108</v>
      </c>
    </row>
    <row r="852" spans="1:58" x14ac:dyDescent="0.45">
      <c r="A852">
        <v>10851</v>
      </c>
      <c r="B852">
        <v>1</v>
      </c>
      <c r="C852">
        <v>83.52</v>
      </c>
      <c r="D852">
        <v>6.44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3.62</v>
      </c>
      <c r="K852">
        <v>0</v>
      </c>
      <c r="L852">
        <v>3.94</v>
      </c>
      <c r="M852">
        <v>1.68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940</v>
      </c>
      <c r="Y852">
        <v>40</v>
      </c>
      <c r="Z852">
        <v>0</v>
      </c>
      <c r="AA852">
        <v>1</v>
      </c>
      <c r="AB852">
        <v>0</v>
      </c>
      <c r="AC852">
        <v>0</v>
      </c>
      <c r="AD852">
        <v>1</v>
      </c>
      <c r="AE852">
        <v>900</v>
      </c>
      <c r="AF852">
        <v>1</v>
      </c>
      <c r="AG852">
        <v>0</v>
      </c>
      <c r="AH852">
        <v>1</v>
      </c>
      <c r="AI852">
        <v>0</v>
      </c>
      <c r="AJ852">
        <v>1</v>
      </c>
      <c r="AK852">
        <v>600</v>
      </c>
      <c r="AL852">
        <v>6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-2.5000000000000004</v>
      </c>
      <c r="AX852">
        <v>7.6033333333333335</v>
      </c>
      <c r="AY852">
        <v>840.17200000000014</v>
      </c>
      <c r="BA852">
        <v>1068</v>
      </c>
      <c r="BB852">
        <v>1158.5</v>
      </c>
      <c r="BC852">
        <v>12.75</v>
      </c>
      <c r="BF852" t="s">
        <v>108</v>
      </c>
    </row>
    <row r="853" spans="1:58" x14ac:dyDescent="0.45">
      <c r="A853">
        <v>10852</v>
      </c>
      <c r="B853">
        <v>1</v>
      </c>
      <c r="C853">
        <v>85.7</v>
      </c>
      <c r="D853">
        <v>6.81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2.25</v>
      </c>
      <c r="K853">
        <v>0</v>
      </c>
      <c r="L853">
        <v>2.1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1050</v>
      </c>
      <c r="Z853">
        <v>0</v>
      </c>
      <c r="AA853">
        <v>1</v>
      </c>
      <c r="AB853">
        <v>0</v>
      </c>
      <c r="AC853">
        <v>0</v>
      </c>
      <c r="AD853">
        <v>0</v>
      </c>
      <c r="AJ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-4.7099999999999991</v>
      </c>
      <c r="AX853">
        <v>7.8516666666666666</v>
      </c>
      <c r="AY853">
        <v>869.226</v>
      </c>
      <c r="BA853">
        <v>1059.57</v>
      </c>
      <c r="BB853">
        <v>1187.3900000000001</v>
      </c>
      <c r="BC853">
        <v>9.2331500000000002</v>
      </c>
      <c r="BF853" t="s">
        <v>108</v>
      </c>
    </row>
    <row r="854" spans="1:58" x14ac:dyDescent="0.45">
      <c r="A854">
        <v>10853</v>
      </c>
      <c r="B854">
        <v>1</v>
      </c>
      <c r="C854">
        <v>85.7</v>
      </c>
      <c r="D854">
        <v>6.81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2.25</v>
      </c>
      <c r="K854">
        <v>0</v>
      </c>
      <c r="L854">
        <v>2.1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1050</v>
      </c>
      <c r="Y854">
        <v>25</v>
      </c>
      <c r="Z854">
        <v>0</v>
      </c>
      <c r="AA854">
        <v>1</v>
      </c>
      <c r="AB854">
        <v>0</v>
      </c>
      <c r="AC854">
        <v>0</v>
      </c>
      <c r="AD854">
        <v>0</v>
      </c>
      <c r="AJ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-4.7099999999999991</v>
      </c>
      <c r="AX854">
        <v>7.8516666666666666</v>
      </c>
      <c r="AY854">
        <v>869.226</v>
      </c>
      <c r="BA854">
        <v>1073.05</v>
      </c>
      <c r="BB854">
        <v>1191.29</v>
      </c>
      <c r="BC854">
        <v>13.033300000000001</v>
      </c>
      <c r="BF854" t="s">
        <v>108</v>
      </c>
    </row>
    <row r="855" spans="1:58" x14ac:dyDescent="0.45">
      <c r="A855">
        <v>10854</v>
      </c>
      <c r="B855">
        <v>1</v>
      </c>
      <c r="C855">
        <v>85.7</v>
      </c>
      <c r="D855">
        <v>6.81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2.25</v>
      </c>
      <c r="K855">
        <v>0</v>
      </c>
      <c r="L855">
        <v>2.1</v>
      </c>
      <c r="M855">
        <v>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1050</v>
      </c>
      <c r="Y855">
        <v>45</v>
      </c>
      <c r="Z855">
        <v>0</v>
      </c>
      <c r="AA855">
        <v>1</v>
      </c>
      <c r="AB855">
        <v>0</v>
      </c>
      <c r="AC855">
        <v>0</v>
      </c>
      <c r="AD855">
        <v>0</v>
      </c>
      <c r="AJ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-4.7099999999999991</v>
      </c>
      <c r="AX855">
        <v>7.8516666666666666</v>
      </c>
      <c r="AY855">
        <v>869.226</v>
      </c>
      <c r="BA855">
        <v>1083.47</v>
      </c>
      <c r="BB855">
        <v>1200</v>
      </c>
      <c r="BC855">
        <v>13.36</v>
      </c>
      <c r="BF855" t="s">
        <v>108</v>
      </c>
    </row>
    <row r="856" spans="1:58" x14ac:dyDescent="0.45">
      <c r="A856">
        <v>10855</v>
      </c>
      <c r="B856">
        <v>1</v>
      </c>
      <c r="C856">
        <v>85.7</v>
      </c>
      <c r="D856">
        <v>6.81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2.25</v>
      </c>
      <c r="K856">
        <v>0</v>
      </c>
      <c r="L856">
        <v>2.1</v>
      </c>
      <c r="M856">
        <v>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1050</v>
      </c>
      <c r="Y856">
        <v>80</v>
      </c>
      <c r="Z856">
        <v>0</v>
      </c>
      <c r="AA856">
        <v>1</v>
      </c>
      <c r="AB856">
        <v>0</v>
      </c>
      <c r="AC856">
        <v>0</v>
      </c>
      <c r="AD856">
        <v>0</v>
      </c>
      <c r="AJ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-4.7099999999999991</v>
      </c>
      <c r="AX856">
        <v>7.8516666666666666</v>
      </c>
      <c r="AY856">
        <v>869.226</v>
      </c>
      <c r="BA856">
        <v>1151.76</v>
      </c>
      <c r="BB856">
        <v>1258.7</v>
      </c>
      <c r="BC856">
        <v>15.1442</v>
      </c>
      <c r="BF856" t="s">
        <v>108</v>
      </c>
    </row>
    <row r="857" spans="1:58" x14ac:dyDescent="0.45">
      <c r="A857">
        <v>10856</v>
      </c>
      <c r="B857">
        <v>1</v>
      </c>
      <c r="C857">
        <v>86.4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4</v>
      </c>
      <c r="K857">
        <v>0</v>
      </c>
      <c r="L857">
        <v>0.4</v>
      </c>
      <c r="M857">
        <v>2.75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Z857">
        <v>1</v>
      </c>
      <c r="AA857">
        <v>0</v>
      </c>
      <c r="AB857">
        <v>0</v>
      </c>
      <c r="AC857">
        <v>0</v>
      </c>
      <c r="AD857">
        <v>1</v>
      </c>
      <c r="AE857">
        <v>950</v>
      </c>
      <c r="AF857">
        <v>1</v>
      </c>
      <c r="AG857">
        <v>1</v>
      </c>
      <c r="AH857">
        <v>0</v>
      </c>
      <c r="AI857">
        <v>0</v>
      </c>
      <c r="AJ857">
        <v>1</v>
      </c>
      <c r="AK857">
        <v>650</v>
      </c>
      <c r="AL857">
        <v>6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-5.6</v>
      </c>
      <c r="AX857">
        <v>7.5833333333333339</v>
      </c>
      <c r="AY857">
        <v>874.75</v>
      </c>
      <c r="BA857">
        <v>922</v>
      </c>
      <c r="BB857">
        <v>1026</v>
      </c>
      <c r="BC857">
        <v>3.7</v>
      </c>
      <c r="BF857" t="s">
        <v>108</v>
      </c>
    </row>
    <row r="858" spans="1:58" x14ac:dyDescent="0.45">
      <c r="A858">
        <v>10857</v>
      </c>
      <c r="B858">
        <v>1</v>
      </c>
      <c r="C858">
        <v>85.9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</v>
      </c>
      <c r="K858">
        <v>0</v>
      </c>
      <c r="L858">
        <v>2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Z858">
        <v>1</v>
      </c>
      <c r="AA858">
        <v>0</v>
      </c>
      <c r="AB858">
        <v>0</v>
      </c>
      <c r="AC858">
        <v>0</v>
      </c>
      <c r="AD858">
        <v>1</v>
      </c>
      <c r="AE858">
        <v>900</v>
      </c>
      <c r="AF858">
        <v>1</v>
      </c>
      <c r="AG858">
        <v>0</v>
      </c>
      <c r="AH858">
        <v>1</v>
      </c>
      <c r="AI858">
        <v>0</v>
      </c>
      <c r="AJ858">
        <v>1</v>
      </c>
      <c r="AK858">
        <v>550</v>
      </c>
      <c r="AL858">
        <v>8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-4</v>
      </c>
      <c r="AX858">
        <v>7.3333333333333339</v>
      </c>
      <c r="AY858">
        <v>856.4</v>
      </c>
      <c r="BB858">
        <v>1045.31</v>
      </c>
      <c r="BC858">
        <v>17.287199999999999</v>
      </c>
      <c r="BF858" t="s">
        <v>108</v>
      </c>
    </row>
    <row r="859" spans="1:58" x14ac:dyDescent="0.45">
      <c r="A859">
        <v>10858</v>
      </c>
      <c r="B859">
        <v>1</v>
      </c>
      <c r="C859">
        <v>85.9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0</v>
      </c>
      <c r="L859">
        <v>2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Z859">
        <v>1</v>
      </c>
      <c r="AA859">
        <v>0</v>
      </c>
      <c r="AB859">
        <v>0</v>
      </c>
      <c r="AC859">
        <v>0</v>
      </c>
      <c r="AD859">
        <v>1</v>
      </c>
      <c r="AE859">
        <v>900</v>
      </c>
      <c r="AF859">
        <v>1</v>
      </c>
      <c r="AG859">
        <v>0</v>
      </c>
      <c r="AH859">
        <v>1</v>
      </c>
      <c r="AI859">
        <v>0</v>
      </c>
      <c r="AJ859">
        <v>1</v>
      </c>
      <c r="AK859">
        <v>600</v>
      </c>
      <c r="AL859">
        <v>8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-4</v>
      </c>
      <c r="AX859">
        <v>7.3333333333333339</v>
      </c>
      <c r="AY859">
        <v>856.4</v>
      </c>
      <c r="BB859">
        <v>1060.1300000000001</v>
      </c>
      <c r="BC859">
        <v>16.668900000000001</v>
      </c>
      <c r="BF859" t="s">
        <v>108</v>
      </c>
    </row>
    <row r="860" spans="1:58" x14ac:dyDescent="0.45">
      <c r="A860">
        <v>10859</v>
      </c>
      <c r="B860">
        <v>1</v>
      </c>
      <c r="C860">
        <v>85.9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4</v>
      </c>
      <c r="K860">
        <v>0</v>
      </c>
      <c r="L860">
        <v>2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Z860">
        <v>1</v>
      </c>
      <c r="AA860">
        <v>0</v>
      </c>
      <c r="AB860">
        <v>0</v>
      </c>
      <c r="AC860">
        <v>0</v>
      </c>
      <c r="AD860">
        <v>1</v>
      </c>
      <c r="AE860">
        <v>900</v>
      </c>
      <c r="AF860">
        <v>1</v>
      </c>
      <c r="AG860">
        <v>0</v>
      </c>
      <c r="AH860">
        <v>1</v>
      </c>
      <c r="AI860">
        <v>0</v>
      </c>
      <c r="AJ860">
        <v>1</v>
      </c>
      <c r="AK860">
        <v>650</v>
      </c>
      <c r="AL860">
        <v>8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-4</v>
      </c>
      <c r="AX860">
        <v>7.3333333333333339</v>
      </c>
      <c r="AY860">
        <v>856.4</v>
      </c>
      <c r="BB860">
        <v>1044.27</v>
      </c>
      <c r="BC860">
        <v>13.732100000000001</v>
      </c>
      <c r="BF860" t="s">
        <v>108</v>
      </c>
    </row>
    <row r="861" spans="1:58" x14ac:dyDescent="0.45">
      <c r="A861">
        <v>10860</v>
      </c>
      <c r="B861">
        <v>1</v>
      </c>
      <c r="C861">
        <v>85.9</v>
      </c>
      <c r="D861">
        <v>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4</v>
      </c>
      <c r="K861">
        <v>0</v>
      </c>
      <c r="L861">
        <v>2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Z861">
        <v>1</v>
      </c>
      <c r="AA861">
        <v>0</v>
      </c>
      <c r="AB861">
        <v>0</v>
      </c>
      <c r="AC861">
        <v>0</v>
      </c>
      <c r="AD861">
        <v>1</v>
      </c>
      <c r="AE861">
        <v>950</v>
      </c>
      <c r="AF861">
        <v>1</v>
      </c>
      <c r="AG861">
        <v>0</v>
      </c>
      <c r="AH861">
        <v>1</v>
      </c>
      <c r="AI861">
        <v>0</v>
      </c>
      <c r="AJ861">
        <v>1</v>
      </c>
      <c r="AK861">
        <v>550</v>
      </c>
      <c r="AL861">
        <v>8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-4</v>
      </c>
      <c r="AX861">
        <v>7.3333333333333339</v>
      </c>
      <c r="AY861">
        <v>856.4</v>
      </c>
      <c r="BB861">
        <v>1049</v>
      </c>
      <c r="BC861">
        <v>17.088799999999999</v>
      </c>
      <c r="BF861" t="s">
        <v>108</v>
      </c>
    </row>
    <row r="862" spans="1:58" x14ac:dyDescent="0.45">
      <c r="A862">
        <v>10861</v>
      </c>
      <c r="B862">
        <v>1</v>
      </c>
      <c r="C862">
        <v>85.9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4</v>
      </c>
      <c r="K862">
        <v>0</v>
      </c>
      <c r="L862">
        <v>2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Z862">
        <v>1</v>
      </c>
      <c r="AA862">
        <v>0</v>
      </c>
      <c r="AB862">
        <v>0</v>
      </c>
      <c r="AC862">
        <v>0</v>
      </c>
      <c r="AD862">
        <v>1</v>
      </c>
      <c r="AE862">
        <v>950</v>
      </c>
      <c r="AF862">
        <v>1</v>
      </c>
      <c r="AG862">
        <v>0</v>
      </c>
      <c r="AH862">
        <v>1</v>
      </c>
      <c r="AI862">
        <v>0</v>
      </c>
      <c r="AJ862">
        <v>1</v>
      </c>
      <c r="AK862">
        <v>600</v>
      </c>
      <c r="AL862">
        <v>8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-4</v>
      </c>
      <c r="AX862">
        <v>7.3333333333333339</v>
      </c>
      <c r="AY862">
        <v>856.4</v>
      </c>
      <c r="BB862">
        <v>1050.3399999999999</v>
      </c>
      <c r="BC862">
        <v>16.192499999999999</v>
      </c>
      <c r="BF862" t="s">
        <v>108</v>
      </c>
    </row>
    <row r="863" spans="1:58" x14ac:dyDescent="0.45">
      <c r="A863">
        <v>10862</v>
      </c>
      <c r="B863">
        <v>1</v>
      </c>
      <c r="C863">
        <v>85.9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4</v>
      </c>
      <c r="K863">
        <v>0</v>
      </c>
      <c r="L863">
        <v>2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Z863">
        <v>1</v>
      </c>
      <c r="AA863">
        <v>0</v>
      </c>
      <c r="AB863">
        <v>0</v>
      </c>
      <c r="AC863">
        <v>0</v>
      </c>
      <c r="AD863">
        <v>1</v>
      </c>
      <c r="AE863">
        <v>950</v>
      </c>
      <c r="AF863">
        <v>1</v>
      </c>
      <c r="AG863">
        <v>0</v>
      </c>
      <c r="AH863">
        <v>1</v>
      </c>
      <c r="AI863">
        <v>0</v>
      </c>
      <c r="AJ863">
        <v>1</v>
      </c>
      <c r="AK863">
        <v>650</v>
      </c>
      <c r="AL863">
        <v>8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-4</v>
      </c>
      <c r="AX863">
        <v>7.3333333333333339</v>
      </c>
      <c r="AY863">
        <v>856.4</v>
      </c>
      <c r="BB863">
        <v>1044.6500000000001</v>
      </c>
      <c r="BC863">
        <v>13.008599999999999</v>
      </c>
      <c r="BF863" t="s">
        <v>108</v>
      </c>
    </row>
    <row r="864" spans="1:58" x14ac:dyDescent="0.45">
      <c r="A864">
        <v>10863</v>
      </c>
      <c r="B864">
        <v>1</v>
      </c>
      <c r="C864">
        <v>85.9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4</v>
      </c>
      <c r="K864">
        <v>0</v>
      </c>
      <c r="L864">
        <v>2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Z864">
        <v>1</v>
      </c>
      <c r="AA864">
        <v>0</v>
      </c>
      <c r="AB864">
        <v>0</v>
      </c>
      <c r="AC864">
        <v>0</v>
      </c>
      <c r="AD864">
        <v>1</v>
      </c>
      <c r="AE864">
        <v>980</v>
      </c>
      <c r="AF864">
        <v>1</v>
      </c>
      <c r="AG864">
        <v>0</v>
      </c>
      <c r="AH864">
        <v>1</v>
      </c>
      <c r="AI864">
        <v>0</v>
      </c>
      <c r="AJ864">
        <v>1</v>
      </c>
      <c r="AK864">
        <v>550</v>
      </c>
      <c r="AL864">
        <v>8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-4</v>
      </c>
      <c r="AX864">
        <v>7.3333333333333339</v>
      </c>
      <c r="AY864">
        <v>856.4</v>
      </c>
      <c r="BB864">
        <v>1077.53</v>
      </c>
      <c r="BC864">
        <v>13.6069</v>
      </c>
      <c r="BF864" t="s">
        <v>108</v>
      </c>
    </row>
    <row r="865" spans="1:58" x14ac:dyDescent="0.45">
      <c r="A865">
        <v>10864</v>
      </c>
      <c r="B865">
        <v>1</v>
      </c>
      <c r="C865">
        <v>85.9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4</v>
      </c>
      <c r="K865">
        <v>0</v>
      </c>
      <c r="L865">
        <v>2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>
        <v>980</v>
      </c>
      <c r="AF865">
        <v>1</v>
      </c>
      <c r="AG865">
        <v>0</v>
      </c>
      <c r="AH865">
        <v>1</v>
      </c>
      <c r="AI865">
        <v>0</v>
      </c>
      <c r="AJ865">
        <v>1</v>
      </c>
      <c r="AK865">
        <v>600</v>
      </c>
      <c r="AL865">
        <v>8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-4</v>
      </c>
      <c r="AX865">
        <v>7.3333333333333339</v>
      </c>
      <c r="AY865">
        <v>856.4</v>
      </c>
      <c r="BB865">
        <v>1052.8699999999999</v>
      </c>
      <c r="BC865">
        <v>15.1525</v>
      </c>
      <c r="BF865" t="s">
        <v>108</v>
      </c>
    </row>
    <row r="866" spans="1:58" x14ac:dyDescent="0.45">
      <c r="A866">
        <v>10865</v>
      </c>
      <c r="B866">
        <v>1</v>
      </c>
      <c r="C866">
        <v>85.9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4</v>
      </c>
      <c r="K866">
        <v>0</v>
      </c>
      <c r="L866">
        <v>2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Z866">
        <v>1</v>
      </c>
      <c r="AA866">
        <v>0</v>
      </c>
      <c r="AB866">
        <v>0</v>
      </c>
      <c r="AC866">
        <v>0</v>
      </c>
      <c r="AD866">
        <v>1</v>
      </c>
      <c r="AE866">
        <v>980</v>
      </c>
      <c r="AF866">
        <v>1</v>
      </c>
      <c r="AG866">
        <v>0</v>
      </c>
      <c r="AH866">
        <v>1</v>
      </c>
      <c r="AI866">
        <v>0</v>
      </c>
      <c r="AJ866">
        <v>1</v>
      </c>
      <c r="AK866">
        <v>650</v>
      </c>
      <c r="AL866">
        <v>8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-4</v>
      </c>
      <c r="AX866">
        <v>7.3333333333333339</v>
      </c>
      <c r="AY866">
        <v>856.4</v>
      </c>
      <c r="BB866">
        <v>1075.77</v>
      </c>
      <c r="BC866">
        <v>11.288600000000001</v>
      </c>
      <c r="BF866" t="s">
        <v>108</v>
      </c>
    </row>
    <row r="867" spans="1:58" x14ac:dyDescent="0.45">
      <c r="A867">
        <v>10866</v>
      </c>
      <c r="B867">
        <v>1</v>
      </c>
      <c r="C867">
        <v>85.9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4</v>
      </c>
      <c r="K867">
        <v>0</v>
      </c>
      <c r="L867">
        <v>2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1000</v>
      </c>
      <c r="AF867">
        <v>1</v>
      </c>
      <c r="AG867">
        <v>0</v>
      </c>
      <c r="AH867">
        <v>1</v>
      </c>
      <c r="AI867">
        <v>0</v>
      </c>
      <c r="AJ867">
        <v>1</v>
      </c>
      <c r="AK867">
        <v>550</v>
      </c>
      <c r="AL867">
        <v>8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-4</v>
      </c>
      <c r="AX867">
        <v>7.3333333333333339</v>
      </c>
      <c r="AY867">
        <v>856.4</v>
      </c>
      <c r="BB867">
        <v>1026.78</v>
      </c>
      <c r="BC867">
        <v>11.357799999999999</v>
      </c>
      <c r="BF867" t="s">
        <v>108</v>
      </c>
    </row>
    <row r="868" spans="1:58" x14ac:dyDescent="0.45">
      <c r="A868">
        <v>10867</v>
      </c>
      <c r="B868">
        <v>1</v>
      </c>
      <c r="C868">
        <v>85.9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</v>
      </c>
      <c r="K868">
        <v>0</v>
      </c>
      <c r="L868">
        <v>2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Z868">
        <v>1</v>
      </c>
      <c r="AA868">
        <v>0</v>
      </c>
      <c r="AB868">
        <v>0</v>
      </c>
      <c r="AC868">
        <v>0</v>
      </c>
      <c r="AD868">
        <v>1</v>
      </c>
      <c r="AE868">
        <v>1000</v>
      </c>
      <c r="AF868">
        <v>1</v>
      </c>
      <c r="AG868">
        <v>0</v>
      </c>
      <c r="AH868">
        <v>1</v>
      </c>
      <c r="AI868">
        <v>0</v>
      </c>
      <c r="AJ868">
        <v>1</v>
      </c>
      <c r="AK868">
        <v>600</v>
      </c>
      <c r="AL868">
        <v>8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-4</v>
      </c>
      <c r="AX868">
        <v>7.3333333333333339</v>
      </c>
      <c r="AY868">
        <v>856.4</v>
      </c>
      <c r="BB868">
        <v>1047.5</v>
      </c>
      <c r="BC868">
        <v>8.6065799999999992</v>
      </c>
      <c r="BF868" t="s">
        <v>108</v>
      </c>
    </row>
    <row r="869" spans="1:58" x14ac:dyDescent="0.45">
      <c r="A869">
        <v>10868</v>
      </c>
      <c r="B869">
        <v>1</v>
      </c>
      <c r="C869">
        <v>85.9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</v>
      </c>
      <c r="K869">
        <v>0</v>
      </c>
      <c r="L869">
        <v>2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Z869">
        <v>1</v>
      </c>
      <c r="AA869">
        <v>0</v>
      </c>
      <c r="AB869">
        <v>0</v>
      </c>
      <c r="AC869">
        <v>0</v>
      </c>
      <c r="AD869">
        <v>1</v>
      </c>
      <c r="AE869">
        <v>1000</v>
      </c>
      <c r="AF869">
        <v>1</v>
      </c>
      <c r="AG869">
        <v>0</v>
      </c>
      <c r="AH869">
        <v>1</v>
      </c>
      <c r="AI869">
        <v>0</v>
      </c>
      <c r="AJ869">
        <v>1</v>
      </c>
      <c r="AK869">
        <v>650</v>
      </c>
      <c r="AL869">
        <v>8</v>
      </c>
      <c r="AM869">
        <v>0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-4</v>
      </c>
      <c r="AX869">
        <v>7.3333333333333339</v>
      </c>
      <c r="AY869">
        <v>856.4</v>
      </c>
      <c r="BB869">
        <v>1036.1099999999999</v>
      </c>
      <c r="BC869">
        <v>6.81332</v>
      </c>
      <c r="BF869" t="s">
        <v>108</v>
      </c>
    </row>
    <row r="870" spans="1:58" x14ac:dyDescent="0.45">
      <c r="A870">
        <v>10869</v>
      </c>
      <c r="B870">
        <v>1</v>
      </c>
      <c r="C870">
        <v>85.9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4</v>
      </c>
      <c r="K870">
        <v>0</v>
      </c>
      <c r="L870">
        <v>2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>
        <v>1030</v>
      </c>
      <c r="AF870">
        <v>1</v>
      </c>
      <c r="AG870">
        <v>0</v>
      </c>
      <c r="AH870">
        <v>1</v>
      </c>
      <c r="AI870">
        <v>0</v>
      </c>
      <c r="AJ870">
        <v>1</v>
      </c>
      <c r="AK870">
        <v>550</v>
      </c>
      <c r="AL870">
        <v>8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-4</v>
      </c>
      <c r="AX870">
        <v>7.3333333333333339</v>
      </c>
      <c r="AY870">
        <v>856.4</v>
      </c>
      <c r="BB870">
        <v>1030.44</v>
      </c>
      <c r="BC870">
        <v>8.5865899999999993</v>
      </c>
      <c r="BF870" t="s">
        <v>108</v>
      </c>
    </row>
    <row r="871" spans="1:58" x14ac:dyDescent="0.45">
      <c r="A871">
        <v>10870</v>
      </c>
      <c r="B871">
        <v>1</v>
      </c>
      <c r="C871">
        <v>85.9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</v>
      </c>
      <c r="K871">
        <v>0</v>
      </c>
      <c r="L871">
        <v>2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Z871">
        <v>1</v>
      </c>
      <c r="AA871">
        <v>0</v>
      </c>
      <c r="AB871">
        <v>0</v>
      </c>
      <c r="AC871">
        <v>0</v>
      </c>
      <c r="AD871">
        <v>1</v>
      </c>
      <c r="AE871">
        <v>1030</v>
      </c>
      <c r="AF871">
        <v>1</v>
      </c>
      <c r="AG871">
        <v>0</v>
      </c>
      <c r="AH871">
        <v>1</v>
      </c>
      <c r="AI871">
        <v>0</v>
      </c>
      <c r="AJ871">
        <v>1</v>
      </c>
      <c r="AK871">
        <v>600</v>
      </c>
      <c r="AL871">
        <v>8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-4</v>
      </c>
      <c r="AX871">
        <v>7.3333333333333339</v>
      </c>
      <c r="AY871">
        <v>856.4</v>
      </c>
      <c r="BB871">
        <v>1043.4000000000001</v>
      </c>
      <c r="BC871">
        <v>7.7517899999999997</v>
      </c>
      <c r="BF871" t="s">
        <v>108</v>
      </c>
    </row>
    <row r="872" spans="1:58" x14ac:dyDescent="0.45">
      <c r="A872">
        <v>10871</v>
      </c>
      <c r="B872">
        <v>1</v>
      </c>
      <c r="C872">
        <v>85.9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4</v>
      </c>
      <c r="K872">
        <v>0</v>
      </c>
      <c r="L872">
        <v>2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Z872">
        <v>1</v>
      </c>
      <c r="AA872">
        <v>0</v>
      </c>
      <c r="AB872">
        <v>0</v>
      </c>
      <c r="AC872">
        <v>0</v>
      </c>
      <c r="AD872">
        <v>1</v>
      </c>
      <c r="AE872">
        <v>1030</v>
      </c>
      <c r="AF872">
        <v>1</v>
      </c>
      <c r="AG872">
        <v>0</v>
      </c>
      <c r="AH872">
        <v>1</v>
      </c>
      <c r="AI872">
        <v>0</v>
      </c>
      <c r="AJ872">
        <v>1</v>
      </c>
      <c r="AK872">
        <v>650</v>
      </c>
      <c r="AL872">
        <v>8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-4</v>
      </c>
      <c r="AX872">
        <v>7.3333333333333339</v>
      </c>
      <c r="AY872">
        <v>856.4</v>
      </c>
      <c r="BB872">
        <v>1029.2</v>
      </c>
      <c r="BC872">
        <v>7.2576099999999997</v>
      </c>
      <c r="BF872" t="s">
        <v>108</v>
      </c>
    </row>
    <row r="873" spans="1:58" x14ac:dyDescent="0.45">
      <c r="A873">
        <v>10872</v>
      </c>
      <c r="B873">
        <v>0</v>
      </c>
      <c r="C873">
        <v>88.39</v>
      </c>
      <c r="D873">
        <v>6.9</v>
      </c>
      <c r="E873">
        <v>0</v>
      </c>
      <c r="F873">
        <v>0</v>
      </c>
      <c r="G873">
        <v>0</v>
      </c>
      <c r="H873">
        <v>0.03</v>
      </c>
      <c r="I873">
        <v>0</v>
      </c>
      <c r="J873">
        <v>1.6</v>
      </c>
      <c r="K873">
        <v>0</v>
      </c>
      <c r="L873">
        <v>3.08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J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-3.7330000000000001</v>
      </c>
      <c r="AX873">
        <v>7.166666666666667</v>
      </c>
      <c r="AY873">
        <v>855.72800000000007</v>
      </c>
      <c r="BF873" t="s">
        <v>192</v>
      </c>
    </row>
    <row r="874" spans="1:58" x14ac:dyDescent="0.45">
      <c r="A874">
        <v>10873</v>
      </c>
      <c r="B874">
        <v>0</v>
      </c>
      <c r="C874">
        <v>88.39</v>
      </c>
      <c r="D874">
        <v>6.9</v>
      </c>
      <c r="E874">
        <v>0</v>
      </c>
      <c r="F874">
        <v>0</v>
      </c>
      <c r="G874">
        <v>0</v>
      </c>
      <c r="H874">
        <v>0.03</v>
      </c>
      <c r="I874">
        <v>0</v>
      </c>
      <c r="J874">
        <v>1.6</v>
      </c>
      <c r="K874">
        <v>0</v>
      </c>
      <c r="L874">
        <v>3.08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J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-3.7330000000000001</v>
      </c>
      <c r="AX874">
        <v>7.166666666666667</v>
      </c>
      <c r="AY874">
        <v>855.72800000000007</v>
      </c>
      <c r="BF874" t="s">
        <v>192</v>
      </c>
    </row>
    <row r="875" spans="1:58" x14ac:dyDescent="0.45">
      <c r="A875">
        <v>10874</v>
      </c>
      <c r="B875">
        <v>0</v>
      </c>
      <c r="C875">
        <v>88.39</v>
      </c>
      <c r="D875">
        <v>6.9</v>
      </c>
      <c r="E875">
        <v>0</v>
      </c>
      <c r="F875">
        <v>0</v>
      </c>
      <c r="G875">
        <v>0</v>
      </c>
      <c r="H875">
        <v>0.03</v>
      </c>
      <c r="I875">
        <v>0</v>
      </c>
      <c r="J875">
        <v>1.6</v>
      </c>
      <c r="K875">
        <v>0</v>
      </c>
      <c r="L875">
        <v>3.08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J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-3.7330000000000001</v>
      </c>
      <c r="AX875">
        <v>7.166666666666667</v>
      </c>
      <c r="AY875">
        <v>855.72800000000007</v>
      </c>
      <c r="BF875" t="s">
        <v>192</v>
      </c>
    </row>
    <row r="876" spans="1:58" x14ac:dyDescent="0.45">
      <c r="A876">
        <v>10875</v>
      </c>
      <c r="B876">
        <v>1</v>
      </c>
      <c r="C876">
        <v>89.034999999999997</v>
      </c>
      <c r="D876">
        <v>6.2</v>
      </c>
      <c r="E876">
        <v>4.3</v>
      </c>
      <c r="F876">
        <v>0</v>
      </c>
      <c r="G876">
        <v>0</v>
      </c>
      <c r="H876">
        <v>0.16</v>
      </c>
      <c r="I876">
        <v>0</v>
      </c>
      <c r="J876">
        <v>0.02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Z876">
        <v>0</v>
      </c>
      <c r="AA876">
        <v>1</v>
      </c>
      <c r="AB876">
        <v>0</v>
      </c>
      <c r="AC876">
        <v>0</v>
      </c>
      <c r="AD876">
        <v>1</v>
      </c>
      <c r="AE876">
        <v>870</v>
      </c>
      <c r="AF876">
        <v>1</v>
      </c>
      <c r="AG876">
        <v>1</v>
      </c>
      <c r="AH876">
        <v>0</v>
      </c>
      <c r="AI876">
        <v>0</v>
      </c>
      <c r="AJ876">
        <v>1</v>
      </c>
      <c r="AK876">
        <v>675</v>
      </c>
      <c r="AL876">
        <v>4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-2.855</v>
      </c>
      <c r="AX876">
        <v>6.2033333333333331</v>
      </c>
      <c r="AY876">
        <v>841.67799999999988</v>
      </c>
      <c r="BA876">
        <v>900</v>
      </c>
      <c r="BB876">
        <v>965</v>
      </c>
      <c r="BC876">
        <v>17</v>
      </c>
      <c r="BF876" t="s">
        <v>193</v>
      </c>
    </row>
    <row r="877" spans="1:58" x14ac:dyDescent="0.45">
      <c r="A877">
        <v>10876</v>
      </c>
      <c r="B877">
        <v>1</v>
      </c>
      <c r="C877">
        <v>89.034999999999997</v>
      </c>
      <c r="D877">
        <v>6.2</v>
      </c>
      <c r="E877">
        <v>4.3</v>
      </c>
      <c r="F877">
        <v>0</v>
      </c>
      <c r="G877">
        <v>0</v>
      </c>
      <c r="H877">
        <v>0.16</v>
      </c>
      <c r="I877">
        <v>0</v>
      </c>
      <c r="J877">
        <v>0.02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Z877">
        <v>0</v>
      </c>
      <c r="AA877">
        <v>0</v>
      </c>
      <c r="AB877">
        <v>0</v>
      </c>
      <c r="AC877">
        <v>1</v>
      </c>
      <c r="AD877">
        <v>0</v>
      </c>
      <c r="AJ877">
        <v>1</v>
      </c>
      <c r="AK877">
        <v>500</v>
      </c>
      <c r="AL877">
        <v>1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-2.855</v>
      </c>
      <c r="AX877">
        <v>6.2033333333333331</v>
      </c>
      <c r="AY877">
        <v>841.67799999999988</v>
      </c>
      <c r="BA877">
        <v>1360</v>
      </c>
      <c r="BB877">
        <v>1435</v>
      </c>
      <c r="BC877">
        <v>9</v>
      </c>
      <c r="BF877" t="s">
        <v>193</v>
      </c>
    </row>
    <row r="878" spans="1:58" x14ac:dyDescent="0.45">
      <c r="A878">
        <v>10877</v>
      </c>
      <c r="B878">
        <v>1</v>
      </c>
      <c r="C878">
        <v>68.820000000000007</v>
      </c>
      <c r="D878">
        <v>9.93</v>
      </c>
      <c r="E878">
        <v>3.15</v>
      </c>
      <c r="F878">
        <v>0</v>
      </c>
      <c r="G878">
        <v>0</v>
      </c>
      <c r="H878">
        <v>0.48</v>
      </c>
      <c r="I878">
        <v>0</v>
      </c>
      <c r="J878">
        <v>17.62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Z878">
        <v>0</v>
      </c>
      <c r="AA878">
        <v>1</v>
      </c>
      <c r="AB878">
        <v>0</v>
      </c>
      <c r="AC878">
        <v>0</v>
      </c>
      <c r="AD878">
        <v>1</v>
      </c>
      <c r="AE878">
        <f>AY878</f>
        <v>736.71299999999997</v>
      </c>
      <c r="AF878">
        <v>0</v>
      </c>
      <c r="AG878">
        <v>0</v>
      </c>
      <c r="AH878">
        <v>1</v>
      </c>
      <c r="AI878">
        <v>0</v>
      </c>
      <c r="AJ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-6.4275000000000002</v>
      </c>
      <c r="AX878">
        <v>12.866666666666667</v>
      </c>
      <c r="AY878">
        <v>736.71299999999997</v>
      </c>
      <c r="AZ878">
        <v>92</v>
      </c>
      <c r="BA878">
        <v>1299</v>
      </c>
      <c r="BF878" t="s">
        <v>60</v>
      </c>
    </row>
    <row r="879" spans="1:58" x14ac:dyDescent="0.45">
      <c r="A879">
        <v>10878</v>
      </c>
      <c r="B879">
        <v>1</v>
      </c>
      <c r="C879">
        <v>68.320000000000007</v>
      </c>
      <c r="D879">
        <v>9.93</v>
      </c>
      <c r="E879">
        <v>3.16</v>
      </c>
      <c r="F879">
        <v>0</v>
      </c>
      <c r="G879">
        <v>0</v>
      </c>
      <c r="H879">
        <v>0.96</v>
      </c>
      <c r="I879">
        <v>0</v>
      </c>
      <c r="J879">
        <v>17.630000000000003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Z879">
        <v>0</v>
      </c>
      <c r="AA879">
        <v>1</v>
      </c>
      <c r="AB879">
        <v>0</v>
      </c>
      <c r="AC879">
        <v>0</v>
      </c>
      <c r="AD879">
        <v>1</v>
      </c>
      <c r="AE879">
        <f>AY879</f>
        <v>729.1339999999999</v>
      </c>
      <c r="AF879">
        <v>0</v>
      </c>
      <c r="AG879">
        <v>0</v>
      </c>
      <c r="AH879">
        <v>1</v>
      </c>
      <c r="AI879">
        <v>0</v>
      </c>
      <c r="AJ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-5.0287999999999995</v>
      </c>
      <c r="AX879">
        <v>12.868333333333334</v>
      </c>
      <c r="AY879">
        <v>729.1339999999999</v>
      </c>
      <c r="AZ879">
        <v>100</v>
      </c>
      <c r="BA879">
        <v>1421</v>
      </c>
      <c r="BF879" t="s">
        <v>60</v>
      </c>
    </row>
    <row r="880" spans="1:58" x14ac:dyDescent="0.45">
      <c r="A880">
        <v>10879</v>
      </c>
      <c r="B880">
        <v>1</v>
      </c>
      <c r="C880">
        <v>67.81</v>
      </c>
      <c r="D880">
        <v>9.94</v>
      </c>
      <c r="E880">
        <v>3.16</v>
      </c>
      <c r="F880">
        <v>0</v>
      </c>
      <c r="G880">
        <v>0</v>
      </c>
      <c r="H880">
        <v>1.44</v>
      </c>
      <c r="I880">
        <v>0</v>
      </c>
      <c r="J880">
        <v>17.64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Z880">
        <v>0</v>
      </c>
      <c r="AA880">
        <v>1</v>
      </c>
      <c r="AB880">
        <v>0</v>
      </c>
      <c r="AC880">
        <v>0</v>
      </c>
      <c r="AD880">
        <v>1</v>
      </c>
      <c r="AE880">
        <f>AY880</f>
        <v>721.69399999999996</v>
      </c>
      <c r="AF880">
        <v>0</v>
      </c>
      <c r="AG880">
        <v>0</v>
      </c>
      <c r="AH880">
        <v>1</v>
      </c>
      <c r="AI880">
        <v>0</v>
      </c>
      <c r="AJ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-3.6467999999999989</v>
      </c>
      <c r="AX880">
        <v>12.879999999999999</v>
      </c>
      <c r="AY880">
        <v>721.69399999999996</v>
      </c>
      <c r="AZ880">
        <v>96</v>
      </c>
      <c r="BA880">
        <v>1553</v>
      </c>
      <c r="BF880" t="s">
        <v>60</v>
      </c>
    </row>
    <row r="881" spans="1:58" x14ac:dyDescent="0.45">
      <c r="A881">
        <v>10880</v>
      </c>
      <c r="B881">
        <v>1</v>
      </c>
      <c r="C881">
        <v>67.31</v>
      </c>
      <c r="D881">
        <v>9.9500000000000011</v>
      </c>
      <c r="E881">
        <v>3.16</v>
      </c>
      <c r="F881">
        <v>0</v>
      </c>
      <c r="G881">
        <v>0</v>
      </c>
      <c r="H881">
        <v>1.92</v>
      </c>
      <c r="I881">
        <v>0</v>
      </c>
      <c r="J881">
        <v>17.66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Z881">
        <v>0</v>
      </c>
      <c r="AA881">
        <v>1</v>
      </c>
      <c r="AB881">
        <v>0</v>
      </c>
      <c r="AC881">
        <v>0</v>
      </c>
      <c r="AD881">
        <v>1</v>
      </c>
      <c r="AE881">
        <f>AY881</f>
        <v>714.18499999999995</v>
      </c>
      <c r="AF881">
        <v>0</v>
      </c>
      <c r="AG881">
        <v>0</v>
      </c>
      <c r="AH881">
        <v>1</v>
      </c>
      <c r="AI881">
        <v>0</v>
      </c>
      <c r="AJ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-2.264800000000001</v>
      </c>
      <c r="AX881">
        <v>12.893333333333334</v>
      </c>
      <c r="AY881">
        <v>714.18499999999995</v>
      </c>
      <c r="AZ881">
        <v>103</v>
      </c>
      <c r="BA881">
        <v>1399</v>
      </c>
      <c r="BF881" t="s">
        <v>60</v>
      </c>
    </row>
    <row r="882" spans="1:58" x14ac:dyDescent="0.45">
      <c r="A882">
        <v>10881</v>
      </c>
      <c r="B882">
        <v>1</v>
      </c>
      <c r="C882">
        <v>66.8</v>
      </c>
      <c r="D882">
        <v>9.9599999999999991</v>
      </c>
      <c r="E882">
        <v>3.16</v>
      </c>
      <c r="F882">
        <v>0</v>
      </c>
      <c r="G882">
        <v>0</v>
      </c>
      <c r="H882">
        <v>2.41</v>
      </c>
      <c r="I882">
        <v>0</v>
      </c>
      <c r="J882">
        <v>17.669999999999998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Z882">
        <v>0</v>
      </c>
      <c r="AA882">
        <v>1</v>
      </c>
      <c r="AB882">
        <v>0</v>
      </c>
      <c r="AC882">
        <v>0</v>
      </c>
      <c r="AD882">
        <v>1</v>
      </c>
      <c r="AE882">
        <f>AY882</f>
        <v>706.59100000000001</v>
      </c>
      <c r="AF882">
        <v>0</v>
      </c>
      <c r="AG882">
        <v>0</v>
      </c>
      <c r="AH882">
        <v>1</v>
      </c>
      <c r="AI882">
        <v>0</v>
      </c>
      <c r="AJ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-0.85379999999999789</v>
      </c>
      <c r="AX882">
        <v>12.904999999999999</v>
      </c>
      <c r="AY882">
        <v>706.59100000000001</v>
      </c>
      <c r="AZ882">
        <v>79</v>
      </c>
      <c r="BA882">
        <v>1068</v>
      </c>
      <c r="BF882" t="s">
        <v>60</v>
      </c>
    </row>
    <row r="883" spans="1:58" x14ac:dyDescent="0.45">
      <c r="A883">
        <v>10882</v>
      </c>
      <c r="B883">
        <v>1</v>
      </c>
      <c r="C883">
        <v>84.68</v>
      </c>
      <c r="D883">
        <v>3.01</v>
      </c>
      <c r="E883">
        <v>0</v>
      </c>
      <c r="F883">
        <v>2.65</v>
      </c>
      <c r="G883">
        <v>0</v>
      </c>
      <c r="H883">
        <v>0</v>
      </c>
      <c r="I883">
        <v>0</v>
      </c>
      <c r="J883">
        <v>0</v>
      </c>
      <c r="K883">
        <v>2.8</v>
      </c>
      <c r="L883">
        <v>6.63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Z883">
        <v>1</v>
      </c>
      <c r="AA883">
        <v>0</v>
      </c>
      <c r="AB883">
        <v>0</v>
      </c>
      <c r="AC883">
        <v>0</v>
      </c>
      <c r="AD883">
        <v>1</v>
      </c>
      <c r="AE883">
        <v>880</v>
      </c>
      <c r="AF883">
        <v>0.5</v>
      </c>
      <c r="AG883">
        <v>1</v>
      </c>
      <c r="AH883">
        <v>0</v>
      </c>
      <c r="AI883">
        <v>0</v>
      </c>
      <c r="AJ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8.6440000000000001</v>
      </c>
      <c r="AX883">
        <v>3.01</v>
      </c>
      <c r="AY883">
        <v>793.27099999999996</v>
      </c>
      <c r="BA883">
        <v>687</v>
      </c>
      <c r="BB883">
        <v>903</v>
      </c>
      <c r="BC883">
        <v>24</v>
      </c>
      <c r="BF883" t="s">
        <v>108</v>
      </c>
    </row>
    <row r="884" spans="1:58" x14ac:dyDescent="0.45">
      <c r="A884">
        <v>10883</v>
      </c>
      <c r="B884">
        <v>1</v>
      </c>
      <c r="C884">
        <v>84.68</v>
      </c>
      <c r="D884">
        <v>3.01</v>
      </c>
      <c r="E884">
        <v>0</v>
      </c>
      <c r="F884">
        <v>2.65</v>
      </c>
      <c r="G884">
        <v>0</v>
      </c>
      <c r="H884">
        <v>0</v>
      </c>
      <c r="I884">
        <v>0</v>
      </c>
      <c r="J884">
        <v>0</v>
      </c>
      <c r="K884">
        <v>2.8</v>
      </c>
      <c r="L884">
        <v>6.63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Z884">
        <v>1</v>
      </c>
      <c r="AA884">
        <v>0</v>
      </c>
      <c r="AB884">
        <v>0</v>
      </c>
      <c r="AC884">
        <v>0</v>
      </c>
      <c r="AD884">
        <v>1</v>
      </c>
      <c r="AE884">
        <v>820</v>
      </c>
      <c r="AF884">
        <v>0.5</v>
      </c>
      <c r="AG884">
        <v>1</v>
      </c>
      <c r="AH884">
        <v>0</v>
      </c>
      <c r="AI884">
        <v>0</v>
      </c>
      <c r="AJ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8.6440000000000001</v>
      </c>
      <c r="AX884">
        <v>3.01</v>
      </c>
      <c r="AY884">
        <v>793.27099999999996</v>
      </c>
      <c r="BA884">
        <v>811</v>
      </c>
      <c r="BB884">
        <v>965</v>
      </c>
      <c r="BC884">
        <v>10.9</v>
      </c>
      <c r="BF884" t="s">
        <v>108</v>
      </c>
    </row>
    <row r="885" spans="1:58" x14ac:dyDescent="0.45">
      <c r="A885">
        <v>10884</v>
      </c>
      <c r="B885">
        <v>1</v>
      </c>
      <c r="C885">
        <v>84.68</v>
      </c>
      <c r="D885">
        <v>3.01</v>
      </c>
      <c r="E885">
        <v>0</v>
      </c>
      <c r="F885">
        <v>2.65</v>
      </c>
      <c r="G885">
        <v>0</v>
      </c>
      <c r="H885">
        <v>0</v>
      </c>
      <c r="I885">
        <v>0</v>
      </c>
      <c r="J885">
        <v>0</v>
      </c>
      <c r="K885">
        <v>2.8</v>
      </c>
      <c r="L885">
        <v>6.63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>
        <v>880</v>
      </c>
      <c r="AF885">
        <v>0.5</v>
      </c>
      <c r="AG885">
        <v>1</v>
      </c>
      <c r="AH885">
        <v>0</v>
      </c>
      <c r="AI885">
        <v>0</v>
      </c>
      <c r="AJ885">
        <v>1</v>
      </c>
      <c r="AK885">
        <v>530</v>
      </c>
      <c r="AL885">
        <v>6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8.6440000000000001</v>
      </c>
      <c r="AX885">
        <v>3.01</v>
      </c>
      <c r="AY885">
        <v>793.27099999999996</v>
      </c>
      <c r="BA885">
        <v>987</v>
      </c>
      <c r="BB885">
        <v>1311</v>
      </c>
      <c r="BC885">
        <v>2.1</v>
      </c>
      <c r="BF885" t="s">
        <v>108</v>
      </c>
    </row>
    <row r="886" spans="1:58" x14ac:dyDescent="0.45">
      <c r="A886">
        <v>10885</v>
      </c>
      <c r="B886">
        <v>1</v>
      </c>
      <c r="C886">
        <v>84.68</v>
      </c>
      <c r="D886">
        <v>3.01</v>
      </c>
      <c r="E886">
        <v>0</v>
      </c>
      <c r="F886">
        <v>2.65</v>
      </c>
      <c r="G886">
        <v>0</v>
      </c>
      <c r="H886">
        <v>0</v>
      </c>
      <c r="I886">
        <v>0</v>
      </c>
      <c r="J886">
        <v>0</v>
      </c>
      <c r="K886">
        <v>2.8</v>
      </c>
      <c r="L886">
        <v>6.63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>
        <v>820</v>
      </c>
      <c r="AF886">
        <v>0.5</v>
      </c>
      <c r="AG886">
        <v>1</v>
      </c>
      <c r="AH886">
        <v>0</v>
      </c>
      <c r="AI886">
        <v>0</v>
      </c>
      <c r="AJ886">
        <v>1</v>
      </c>
      <c r="AK886">
        <v>530</v>
      </c>
      <c r="AL886">
        <v>6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8.6440000000000001</v>
      </c>
      <c r="AX886">
        <v>3.01</v>
      </c>
      <c r="AY886">
        <v>793.27099999999996</v>
      </c>
      <c r="BA886">
        <v>963</v>
      </c>
      <c r="BB886">
        <v>1296</v>
      </c>
      <c r="BC886">
        <v>4.7</v>
      </c>
      <c r="BF886" t="s">
        <v>108</v>
      </c>
    </row>
    <row r="887" spans="1:58" x14ac:dyDescent="0.45">
      <c r="A887">
        <v>10886</v>
      </c>
      <c r="B887">
        <v>1</v>
      </c>
      <c r="C887">
        <v>82.19</v>
      </c>
      <c r="D887">
        <v>4.22</v>
      </c>
      <c r="E887">
        <v>0</v>
      </c>
      <c r="F887">
        <v>3.9</v>
      </c>
      <c r="G887">
        <v>0</v>
      </c>
      <c r="H887">
        <v>0</v>
      </c>
      <c r="I887">
        <v>0</v>
      </c>
      <c r="J887">
        <v>0</v>
      </c>
      <c r="K887">
        <v>2.86</v>
      </c>
      <c r="L887">
        <v>6.62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Z887">
        <v>1</v>
      </c>
      <c r="AA887">
        <v>0</v>
      </c>
      <c r="AB887">
        <v>0</v>
      </c>
      <c r="AC887">
        <v>0</v>
      </c>
      <c r="AD887">
        <v>1</v>
      </c>
      <c r="AE887">
        <v>890</v>
      </c>
      <c r="AF887">
        <v>0.5</v>
      </c>
      <c r="AG887">
        <v>1</v>
      </c>
      <c r="AH887">
        <v>0</v>
      </c>
      <c r="AI887">
        <v>0</v>
      </c>
      <c r="AJ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9.4407999999999994</v>
      </c>
      <c r="AX887">
        <v>4.22</v>
      </c>
      <c r="AY887">
        <v>780.78199999999993</v>
      </c>
      <c r="BA887">
        <v>726</v>
      </c>
      <c r="BB887">
        <v>893</v>
      </c>
      <c r="BC887">
        <v>19.5</v>
      </c>
      <c r="BF887" t="s">
        <v>108</v>
      </c>
    </row>
    <row r="888" spans="1:58" x14ac:dyDescent="0.45">
      <c r="A888">
        <v>10887</v>
      </c>
      <c r="B888">
        <v>1</v>
      </c>
      <c r="C888">
        <v>82.19</v>
      </c>
      <c r="D888">
        <v>4.22</v>
      </c>
      <c r="E888">
        <v>0</v>
      </c>
      <c r="F888">
        <v>3.9</v>
      </c>
      <c r="G888">
        <v>0</v>
      </c>
      <c r="H888">
        <v>0</v>
      </c>
      <c r="I888">
        <v>0</v>
      </c>
      <c r="J888">
        <v>0</v>
      </c>
      <c r="K888">
        <v>2.86</v>
      </c>
      <c r="L888">
        <v>6.62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Z888">
        <v>1</v>
      </c>
      <c r="AA888">
        <v>0</v>
      </c>
      <c r="AB888">
        <v>0</v>
      </c>
      <c r="AC888">
        <v>0</v>
      </c>
      <c r="AD888">
        <v>1</v>
      </c>
      <c r="AE888">
        <v>830</v>
      </c>
      <c r="AF888">
        <v>0.5</v>
      </c>
      <c r="AG888">
        <v>1</v>
      </c>
      <c r="AH888">
        <v>0</v>
      </c>
      <c r="AI888">
        <v>0</v>
      </c>
      <c r="AJ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9.4407999999999994</v>
      </c>
      <c r="AX888">
        <v>4.22</v>
      </c>
      <c r="AY888">
        <v>780.78199999999993</v>
      </c>
      <c r="BA888">
        <v>908</v>
      </c>
      <c r="BB888">
        <v>942</v>
      </c>
      <c r="BC888">
        <v>9.1</v>
      </c>
      <c r="BF888" t="s">
        <v>108</v>
      </c>
    </row>
    <row r="889" spans="1:58" x14ac:dyDescent="0.45">
      <c r="A889">
        <v>10888</v>
      </c>
      <c r="B889">
        <v>1</v>
      </c>
      <c r="C889">
        <v>82.19</v>
      </c>
      <c r="D889">
        <v>4.22</v>
      </c>
      <c r="E889">
        <v>0</v>
      </c>
      <c r="F889">
        <v>3.9</v>
      </c>
      <c r="G889">
        <v>0</v>
      </c>
      <c r="H889">
        <v>0</v>
      </c>
      <c r="I889">
        <v>0</v>
      </c>
      <c r="J889">
        <v>0</v>
      </c>
      <c r="K889">
        <v>2.86</v>
      </c>
      <c r="L889">
        <v>6.62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Z889">
        <v>1</v>
      </c>
      <c r="AA889">
        <v>0</v>
      </c>
      <c r="AB889">
        <v>0</v>
      </c>
      <c r="AC889">
        <v>0</v>
      </c>
      <c r="AD889">
        <v>1</v>
      </c>
      <c r="AE889">
        <v>890</v>
      </c>
      <c r="AF889">
        <v>0.5</v>
      </c>
      <c r="AG889">
        <v>1</v>
      </c>
      <c r="AH889">
        <v>0</v>
      </c>
      <c r="AI889">
        <v>0</v>
      </c>
      <c r="AJ889">
        <v>1</v>
      </c>
      <c r="AK889">
        <v>540</v>
      </c>
      <c r="AL889">
        <v>6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9.4407999999999994</v>
      </c>
      <c r="AX889">
        <v>4.22</v>
      </c>
      <c r="AY889">
        <v>780.78199999999993</v>
      </c>
      <c r="BA889">
        <v>1058</v>
      </c>
      <c r="BB889">
        <v>1378</v>
      </c>
      <c r="BC889">
        <v>1.5</v>
      </c>
      <c r="BF889" t="s">
        <v>108</v>
      </c>
    </row>
    <row r="890" spans="1:58" x14ac:dyDescent="0.45">
      <c r="A890">
        <v>10889</v>
      </c>
      <c r="B890">
        <v>1</v>
      </c>
      <c r="C890">
        <v>82.19</v>
      </c>
      <c r="D890">
        <v>4.22</v>
      </c>
      <c r="E890">
        <v>0</v>
      </c>
      <c r="F890">
        <v>3.9</v>
      </c>
      <c r="G890">
        <v>0</v>
      </c>
      <c r="H890">
        <v>0</v>
      </c>
      <c r="I890">
        <v>0</v>
      </c>
      <c r="J890">
        <v>0</v>
      </c>
      <c r="K890">
        <v>2.86</v>
      </c>
      <c r="L890">
        <v>6.62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Z890">
        <v>1</v>
      </c>
      <c r="AA890">
        <v>0</v>
      </c>
      <c r="AB890">
        <v>0</v>
      </c>
      <c r="AC890">
        <v>0</v>
      </c>
      <c r="AD890">
        <v>1</v>
      </c>
      <c r="AE890">
        <v>830</v>
      </c>
      <c r="AF890">
        <v>0.5</v>
      </c>
      <c r="AG890">
        <v>1</v>
      </c>
      <c r="AH890">
        <v>0</v>
      </c>
      <c r="AI890">
        <v>0</v>
      </c>
      <c r="AJ890">
        <v>1</v>
      </c>
      <c r="AK890">
        <v>540</v>
      </c>
      <c r="AL890">
        <v>6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9.4407999999999994</v>
      </c>
      <c r="AX890">
        <v>4.22</v>
      </c>
      <c r="AY890">
        <v>780.78199999999993</v>
      </c>
      <c r="BA890">
        <v>1094</v>
      </c>
      <c r="BB890">
        <v>1308</v>
      </c>
      <c r="BC890">
        <v>5.2</v>
      </c>
      <c r="BF890" t="s">
        <v>108</v>
      </c>
    </row>
    <row r="891" spans="1:58" x14ac:dyDescent="0.45">
      <c r="A891">
        <v>10890</v>
      </c>
      <c r="B891">
        <v>1</v>
      </c>
      <c r="C891">
        <v>88.21</v>
      </c>
      <c r="D891">
        <v>5.13</v>
      </c>
      <c r="E891">
        <v>3.03</v>
      </c>
      <c r="F891">
        <v>0.76</v>
      </c>
      <c r="G891">
        <v>0</v>
      </c>
      <c r="H891">
        <v>0</v>
      </c>
      <c r="I891">
        <v>0</v>
      </c>
      <c r="J891">
        <v>2.87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Z891">
        <v>0</v>
      </c>
      <c r="AA891">
        <v>1</v>
      </c>
      <c r="AB891">
        <v>0</v>
      </c>
      <c r="AC891">
        <v>0</v>
      </c>
      <c r="AD891">
        <v>1</v>
      </c>
      <c r="AE891">
        <v>700</v>
      </c>
      <c r="AF891">
        <v>1</v>
      </c>
      <c r="AG891">
        <v>0</v>
      </c>
      <c r="AH891">
        <v>1</v>
      </c>
      <c r="AI891">
        <v>0</v>
      </c>
      <c r="AJ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-1.8838999999999997</v>
      </c>
      <c r="AX891">
        <v>5.6083333333333334</v>
      </c>
      <c r="AY891">
        <v>828.02</v>
      </c>
      <c r="BA891">
        <v>847.19100000000003</v>
      </c>
      <c r="BB891">
        <v>878.65200000000004</v>
      </c>
      <c r="BC891">
        <v>17.7578</v>
      </c>
      <c r="BF891" t="s">
        <v>108</v>
      </c>
    </row>
    <row r="892" spans="1:58" x14ac:dyDescent="0.45">
      <c r="A892">
        <v>10891</v>
      </c>
      <c r="B892">
        <v>1</v>
      </c>
      <c r="C892">
        <v>88.21</v>
      </c>
      <c r="D892">
        <v>5.13</v>
      </c>
      <c r="E892">
        <v>3.03</v>
      </c>
      <c r="F892">
        <v>0.76</v>
      </c>
      <c r="G892">
        <v>0</v>
      </c>
      <c r="H892">
        <v>0</v>
      </c>
      <c r="I892">
        <v>0</v>
      </c>
      <c r="J892">
        <v>2.87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950</v>
      </c>
      <c r="Z892">
        <v>0</v>
      </c>
      <c r="AA892">
        <v>1</v>
      </c>
      <c r="AB892">
        <v>0</v>
      </c>
      <c r="AC892">
        <v>0</v>
      </c>
      <c r="AD892">
        <v>1</v>
      </c>
      <c r="AE892">
        <v>700</v>
      </c>
      <c r="AF892">
        <v>1</v>
      </c>
      <c r="AG892">
        <v>0</v>
      </c>
      <c r="AH892">
        <v>1</v>
      </c>
      <c r="AI892">
        <v>0</v>
      </c>
      <c r="AJ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-1.8838999999999997</v>
      </c>
      <c r="AX892">
        <v>5.6083333333333334</v>
      </c>
      <c r="AY892">
        <v>828.02</v>
      </c>
      <c r="BA892">
        <v>942.07500000000005</v>
      </c>
      <c r="BB892">
        <v>973.76400000000001</v>
      </c>
      <c r="BC892">
        <v>14.257300000000001</v>
      </c>
      <c r="BF892" t="s">
        <v>108</v>
      </c>
    </row>
    <row r="893" spans="1:58" x14ac:dyDescent="0.45">
      <c r="A893">
        <v>10892</v>
      </c>
      <c r="B893">
        <v>1</v>
      </c>
      <c r="C893">
        <v>88.21</v>
      </c>
      <c r="D893">
        <v>5.13</v>
      </c>
      <c r="E893">
        <v>3.03</v>
      </c>
      <c r="F893">
        <v>0.76</v>
      </c>
      <c r="G893">
        <v>0</v>
      </c>
      <c r="H893">
        <v>0</v>
      </c>
      <c r="I893">
        <v>0</v>
      </c>
      <c r="J893">
        <v>2.87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890</v>
      </c>
      <c r="Z893">
        <v>0</v>
      </c>
      <c r="AA893">
        <v>1</v>
      </c>
      <c r="AB893">
        <v>0</v>
      </c>
      <c r="AC893">
        <v>0</v>
      </c>
      <c r="AD893">
        <v>1</v>
      </c>
      <c r="AE893">
        <v>700</v>
      </c>
      <c r="AF893">
        <v>1</v>
      </c>
      <c r="AG893">
        <v>0</v>
      </c>
      <c r="AH893">
        <v>1</v>
      </c>
      <c r="AI893">
        <v>0</v>
      </c>
      <c r="AJ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-1.8838999999999997</v>
      </c>
      <c r="AX893">
        <v>5.6083333333333334</v>
      </c>
      <c r="AY893">
        <v>828.02</v>
      </c>
      <c r="BA893">
        <v>893.92100000000005</v>
      </c>
      <c r="BB893">
        <v>961.47699999999998</v>
      </c>
      <c r="BC893">
        <v>15.7849</v>
      </c>
      <c r="BF893" t="s">
        <v>108</v>
      </c>
    </row>
    <row r="894" spans="1:58" x14ac:dyDescent="0.45">
      <c r="A894">
        <v>10893</v>
      </c>
      <c r="B894">
        <v>1</v>
      </c>
      <c r="C894">
        <v>88.21</v>
      </c>
      <c r="D894">
        <v>5.13</v>
      </c>
      <c r="E894">
        <v>3.03</v>
      </c>
      <c r="F894">
        <v>0.76</v>
      </c>
      <c r="G894">
        <v>0</v>
      </c>
      <c r="H894">
        <v>0</v>
      </c>
      <c r="I894">
        <v>0</v>
      </c>
      <c r="J894">
        <v>2.87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840</v>
      </c>
      <c r="Z894">
        <v>0</v>
      </c>
      <c r="AA894">
        <v>1</v>
      </c>
      <c r="AB894">
        <v>0</v>
      </c>
      <c r="AC894">
        <v>0</v>
      </c>
      <c r="AD894">
        <v>1</v>
      </c>
      <c r="AE894">
        <v>700</v>
      </c>
      <c r="AF894">
        <v>1</v>
      </c>
      <c r="AG894">
        <v>0</v>
      </c>
      <c r="AH894">
        <v>1</v>
      </c>
      <c r="AI894">
        <v>0</v>
      </c>
      <c r="AJ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-1.8838999999999997</v>
      </c>
      <c r="AX894">
        <v>5.6083333333333334</v>
      </c>
      <c r="AY894">
        <v>828.02</v>
      </c>
      <c r="BA894">
        <v>1007.72</v>
      </c>
      <c r="BB894">
        <v>1023.63</v>
      </c>
      <c r="BC894">
        <v>13.2879</v>
      </c>
      <c r="BF894" t="s">
        <v>108</v>
      </c>
    </row>
    <row r="895" spans="1:58" x14ac:dyDescent="0.45">
      <c r="A895">
        <v>10894</v>
      </c>
      <c r="B895">
        <v>1</v>
      </c>
      <c r="C895">
        <v>88.21</v>
      </c>
      <c r="D895">
        <v>5.13</v>
      </c>
      <c r="E895">
        <v>3.03</v>
      </c>
      <c r="F895">
        <v>0.76</v>
      </c>
      <c r="G895">
        <v>0</v>
      </c>
      <c r="H895">
        <v>0</v>
      </c>
      <c r="I895">
        <v>0</v>
      </c>
      <c r="J895">
        <v>2.87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Z895">
        <v>0</v>
      </c>
      <c r="AA895">
        <v>1</v>
      </c>
      <c r="AB895">
        <v>0</v>
      </c>
      <c r="AC895">
        <v>0</v>
      </c>
      <c r="AD895">
        <v>1</v>
      </c>
      <c r="AE895">
        <v>800</v>
      </c>
      <c r="AF895">
        <v>1</v>
      </c>
      <c r="AG895">
        <v>0</v>
      </c>
      <c r="AH895">
        <v>1</v>
      </c>
      <c r="AI895">
        <v>0</v>
      </c>
      <c r="AJ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-1.8838999999999997</v>
      </c>
      <c r="AX895">
        <v>5.6083333333333334</v>
      </c>
      <c r="AY895">
        <v>828.02</v>
      </c>
      <c r="BA895">
        <v>820.22500000000002</v>
      </c>
      <c r="BB895">
        <v>862.92100000000005</v>
      </c>
      <c r="BC895">
        <v>19.103100000000001</v>
      </c>
      <c r="BF895" t="s">
        <v>108</v>
      </c>
    </row>
    <row r="896" spans="1:58" x14ac:dyDescent="0.45">
      <c r="A896">
        <v>10895</v>
      </c>
      <c r="B896">
        <v>1</v>
      </c>
      <c r="C896">
        <v>88.21</v>
      </c>
      <c r="D896">
        <v>5.13</v>
      </c>
      <c r="E896">
        <v>3.03</v>
      </c>
      <c r="F896">
        <v>0.76</v>
      </c>
      <c r="G896">
        <v>0</v>
      </c>
      <c r="H896">
        <v>0</v>
      </c>
      <c r="I896">
        <v>0</v>
      </c>
      <c r="J896">
        <v>2.87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950</v>
      </c>
      <c r="Z896">
        <v>0</v>
      </c>
      <c r="AA896">
        <v>1</v>
      </c>
      <c r="AB896">
        <v>0</v>
      </c>
      <c r="AC896">
        <v>0</v>
      </c>
      <c r="AD896">
        <v>1</v>
      </c>
      <c r="AE896">
        <v>800</v>
      </c>
      <c r="AF896">
        <v>1</v>
      </c>
      <c r="AG896">
        <v>0</v>
      </c>
      <c r="AH896">
        <v>1</v>
      </c>
      <c r="AI896">
        <v>0</v>
      </c>
      <c r="AJ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-1.8838999999999997</v>
      </c>
      <c r="AX896">
        <v>5.6083333333333334</v>
      </c>
      <c r="AY896">
        <v>828.02</v>
      </c>
      <c r="BA896">
        <v>892.16399999999999</v>
      </c>
      <c r="BB896">
        <v>945.31299999999999</v>
      </c>
      <c r="BC896">
        <v>17.601400000000002</v>
      </c>
      <c r="BF896" t="s">
        <v>108</v>
      </c>
    </row>
    <row r="897" spans="1:58" x14ac:dyDescent="0.45">
      <c r="A897">
        <v>10896</v>
      </c>
      <c r="B897">
        <v>1</v>
      </c>
      <c r="C897">
        <v>88.21</v>
      </c>
      <c r="D897">
        <v>5.13</v>
      </c>
      <c r="E897">
        <v>3.03</v>
      </c>
      <c r="F897">
        <v>0.76</v>
      </c>
      <c r="G897">
        <v>0</v>
      </c>
      <c r="H897">
        <v>0</v>
      </c>
      <c r="I897">
        <v>0</v>
      </c>
      <c r="J897">
        <v>2.87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890</v>
      </c>
      <c r="Z897">
        <v>0</v>
      </c>
      <c r="AA897">
        <v>1</v>
      </c>
      <c r="AB897">
        <v>0</v>
      </c>
      <c r="AC897">
        <v>0</v>
      </c>
      <c r="AD897">
        <v>1</v>
      </c>
      <c r="AE897">
        <v>800</v>
      </c>
      <c r="AF897">
        <v>1</v>
      </c>
      <c r="AG897">
        <v>0</v>
      </c>
      <c r="AH897">
        <v>1</v>
      </c>
      <c r="AI897">
        <v>0</v>
      </c>
      <c r="AJ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-1.8838999999999997</v>
      </c>
      <c r="AX897">
        <v>5.6083333333333334</v>
      </c>
      <c r="AY897">
        <v>828.02</v>
      </c>
      <c r="BA897">
        <v>771.59400000000005</v>
      </c>
      <c r="BB897">
        <v>880.61400000000003</v>
      </c>
      <c r="BC897">
        <v>18.973199999999999</v>
      </c>
      <c r="BF897" t="s">
        <v>108</v>
      </c>
    </row>
    <row r="898" spans="1:58" x14ac:dyDescent="0.45">
      <c r="A898">
        <v>10897</v>
      </c>
      <c r="B898">
        <v>1</v>
      </c>
      <c r="C898">
        <v>88.21</v>
      </c>
      <c r="D898">
        <v>5.13</v>
      </c>
      <c r="E898">
        <v>3.03</v>
      </c>
      <c r="F898">
        <v>0.76</v>
      </c>
      <c r="G898">
        <v>0</v>
      </c>
      <c r="H898">
        <v>0</v>
      </c>
      <c r="I898">
        <v>0</v>
      </c>
      <c r="J898">
        <v>2.87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840</v>
      </c>
      <c r="Z898">
        <v>0</v>
      </c>
      <c r="AA898">
        <v>1</v>
      </c>
      <c r="AB898">
        <v>0</v>
      </c>
      <c r="AC898">
        <v>0</v>
      </c>
      <c r="AD898">
        <v>1</v>
      </c>
      <c r="AE898">
        <v>800</v>
      </c>
      <c r="AF898">
        <v>1</v>
      </c>
      <c r="AG898">
        <v>0</v>
      </c>
      <c r="AH898">
        <v>1</v>
      </c>
      <c r="AI898">
        <v>0</v>
      </c>
      <c r="AJ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-1.8838999999999997</v>
      </c>
      <c r="AX898">
        <v>5.6083333333333334</v>
      </c>
      <c r="AY898">
        <v>828.02</v>
      </c>
      <c r="BA898">
        <v>949.90099999999995</v>
      </c>
      <c r="BB898">
        <v>964.53</v>
      </c>
      <c r="BC898">
        <v>14.9915</v>
      </c>
      <c r="BF898" t="s">
        <v>108</v>
      </c>
    </row>
    <row r="899" spans="1:58" x14ac:dyDescent="0.45">
      <c r="A899">
        <v>10898</v>
      </c>
      <c r="B899">
        <v>1</v>
      </c>
      <c r="C899">
        <v>88.21</v>
      </c>
      <c r="D899">
        <v>5.13</v>
      </c>
      <c r="E899">
        <v>3.03</v>
      </c>
      <c r="F899">
        <v>0.76</v>
      </c>
      <c r="G899">
        <v>0</v>
      </c>
      <c r="H899">
        <v>0</v>
      </c>
      <c r="I899">
        <v>0</v>
      </c>
      <c r="J899">
        <v>2.87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Z899">
        <v>0</v>
      </c>
      <c r="AA899">
        <v>1</v>
      </c>
      <c r="AB899">
        <v>0</v>
      </c>
      <c r="AC899">
        <v>0</v>
      </c>
      <c r="AD899">
        <v>1</v>
      </c>
      <c r="AE899">
        <v>900</v>
      </c>
      <c r="AF899">
        <v>1</v>
      </c>
      <c r="AG899">
        <v>0</v>
      </c>
      <c r="AH899">
        <v>1</v>
      </c>
      <c r="AI899">
        <v>0</v>
      </c>
      <c r="AJ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-1.8838999999999997</v>
      </c>
      <c r="AX899">
        <v>5.6083333333333334</v>
      </c>
      <c r="AY899">
        <v>828.02</v>
      </c>
      <c r="BA899">
        <v>786.51700000000005</v>
      </c>
      <c r="BB899">
        <v>856.18</v>
      </c>
      <c r="BC899">
        <v>19.372199999999999</v>
      </c>
      <c r="BF899" t="s">
        <v>108</v>
      </c>
    </row>
    <row r="900" spans="1:58" x14ac:dyDescent="0.45">
      <c r="A900">
        <v>10899</v>
      </c>
      <c r="B900">
        <v>1</v>
      </c>
      <c r="C900">
        <v>88.21</v>
      </c>
      <c r="D900">
        <v>5.13</v>
      </c>
      <c r="E900">
        <v>3.03</v>
      </c>
      <c r="F900">
        <v>0.76</v>
      </c>
      <c r="G900">
        <v>0</v>
      </c>
      <c r="H900">
        <v>0</v>
      </c>
      <c r="I900">
        <v>0</v>
      </c>
      <c r="J900">
        <v>2.87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950</v>
      </c>
      <c r="Z900">
        <v>0</v>
      </c>
      <c r="AA900">
        <v>1</v>
      </c>
      <c r="AB900">
        <v>0</v>
      </c>
      <c r="AC900">
        <v>0</v>
      </c>
      <c r="AD900">
        <v>1</v>
      </c>
      <c r="AE900">
        <v>900</v>
      </c>
      <c r="AF900">
        <v>1</v>
      </c>
      <c r="AG900">
        <v>0</v>
      </c>
      <c r="AH900">
        <v>1</v>
      </c>
      <c r="AI900">
        <v>0</v>
      </c>
      <c r="AJ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-1.8838999999999997</v>
      </c>
      <c r="AX900">
        <v>5.6083333333333334</v>
      </c>
      <c r="AY900">
        <v>828.02</v>
      </c>
      <c r="BA900">
        <v>864.73</v>
      </c>
      <c r="BB900">
        <v>934.75099999999998</v>
      </c>
      <c r="BC900">
        <v>17.8843</v>
      </c>
      <c r="BF900" t="s">
        <v>108</v>
      </c>
    </row>
    <row r="901" spans="1:58" x14ac:dyDescent="0.45">
      <c r="A901">
        <v>10900</v>
      </c>
      <c r="B901">
        <v>1</v>
      </c>
      <c r="C901">
        <v>88.21</v>
      </c>
      <c r="D901">
        <v>5.13</v>
      </c>
      <c r="E901">
        <v>3.03</v>
      </c>
      <c r="F901">
        <v>0.76</v>
      </c>
      <c r="G901">
        <v>0</v>
      </c>
      <c r="H901">
        <v>0</v>
      </c>
      <c r="I901">
        <v>0</v>
      </c>
      <c r="J901">
        <v>2.87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890</v>
      </c>
      <c r="Z901">
        <v>0</v>
      </c>
      <c r="AA901">
        <v>1</v>
      </c>
      <c r="AB901">
        <v>0</v>
      </c>
      <c r="AC901">
        <v>0</v>
      </c>
      <c r="AD901">
        <v>1</v>
      </c>
      <c r="AE901">
        <v>900</v>
      </c>
      <c r="AF901">
        <v>1</v>
      </c>
      <c r="AG901">
        <v>0</v>
      </c>
      <c r="AH901">
        <v>1</v>
      </c>
      <c r="AI901">
        <v>0</v>
      </c>
      <c r="AJ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-1.8838999999999997</v>
      </c>
      <c r="AX901">
        <v>5.6083333333333334</v>
      </c>
      <c r="AY901">
        <v>828.02</v>
      </c>
      <c r="BA901">
        <v>746.005</v>
      </c>
      <c r="BB901">
        <v>870.37199999999996</v>
      </c>
      <c r="BC901">
        <v>17.207699999999999</v>
      </c>
      <c r="BF901" t="s">
        <v>108</v>
      </c>
    </row>
    <row r="902" spans="1:58" x14ac:dyDescent="0.45">
      <c r="A902">
        <v>10901</v>
      </c>
      <c r="B902">
        <v>1</v>
      </c>
      <c r="C902">
        <v>88.21</v>
      </c>
      <c r="D902">
        <v>5.13</v>
      </c>
      <c r="E902">
        <v>3.03</v>
      </c>
      <c r="F902">
        <v>0.76</v>
      </c>
      <c r="G902">
        <v>0</v>
      </c>
      <c r="H902">
        <v>0</v>
      </c>
      <c r="I902">
        <v>0</v>
      </c>
      <c r="J902">
        <v>2.87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840</v>
      </c>
      <c r="Z902">
        <v>0</v>
      </c>
      <c r="AA902">
        <v>1</v>
      </c>
      <c r="AB902">
        <v>0</v>
      </c>
      <c r="AC902">
        <v>0</v>
      </c>
      <c r="AD902">
        <v>1</v>
      </c>
      <c r="AE902">
        <v>900</v>
      </c>
      <c r="AF902">
        <v>1</v>
      </c>
      <c r="AG902">
        <v>0</v>
      </c>
      <c r="AH902">
        <v>1</v>
      </c>
      <c r="AI902">
        <v>0</v>
      </c>
      <c r="AJ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-1.8838999999999997</v>
      </c>
      <c r="AX902">
        <v>5.6083333333333334</v>
      </c>
      <c r="AY902">
        <v>828.02</v>
      </c>
      <c r="BA902">
        <v>935.35400000000004</v>
      </c>
      <c r="BB902">
        <v>969.71199999999999</v>
      </c>
      <c r="BC902">
        <v>15.3322</v>
      </c>
      <c r="BF902" t="s">
        <v>108</v>
      </c>
    </row>
    <row r="903" spans="1:58" x14ac:dyDescent="0.45">
      <c r="A903">
        <v>10902</v>
      </c>
      <c r="B903">
        <v>1</v>
      </c>
      <c r="C903">
        <v>88.21</v>
      </c>
      <c r="D903">
        <v>5.13</v>
      </c>
      <c r="E903">
        <v>3.03</v>
      </c>
      <c r="F903">
        <v>0.76</v>
      </c>
      <c r="G903">
        <v>0</v>
      </c>
      <c r="H903">
        <v>0</v>
      </c>
      <c r="I903">
        <v>0</v>
      </c>
      <c r="J903">
        <v>2.87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Z903">
        <v>0</v>
      </c>
      <c r="AA903">
        <v>1</v>
      </c>
      <c r="AB903">
        <v>0</v>
      </c>
      <c r="AC903">
        <v>0</v>
      </c>
      <c r="AD903">
        <v>1</v>
      </c>
      <c r="AE903">
        <v>950</v>
      </c>
      <c r="AF903">
        <v>1</v>
      </c>
      <c r="AG903">
        <v>0</v>
      </c>
      <c r="AH903">
        <v>1</v>
      </c>
      <c r="AI903">
        <v>0</v>
      </c>
      <c r="AJ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-1.8838999999999997</v>
      </c>
      <c r="AX903">
        <v>5.6083333333333334</v>
      </c>
      <c r="AY903">
        <v>828.02</v>
      </c>
      <c r="BA903">
        <v>730.33699999999999</v>
      </c>
      <c r="BB903">
        <v>874.15700000000004</v>
      </c>
      <c r="BC903">
        <v>15.605399999999999</v>
      </c>
      <c r="BF903" t="s">
        <v>108</v>
      </c>
    </row>
    <row r="904" spans="1:58" x14ac:dyDescent="0.45">
      <c r="A904">
        <v>10903</v>
      </c>
      <c r="B904">
        <v>1</v>
      </c>
      <c r="C904">
        <v>88.21</v>
      </c>
      <c r="D904">
        <v>5.13</v>
      </c>
      <c r="E904">
        <v>3.03</v>
      </c>
      <c r="F904">
        <v>0.76</v>
      </c>
      <c r="G904">
        <v>0</v>
      </c>
      <c r="H904">
        <v>0</v>
      </c>
      <c r="I904">
        <v>0</v>
      </c>
      <c r="J904">
        <v>2.87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840</v>
      </c>
      <c r="Z904">
        <v>0</v>
      </c>
      <c r="AA904">
        <v>1</v>
      </c>
      <c r="AB904">
        <v>0</v>
      </c>
      <c r="AC904">
        <v>0</v>
      </c>
      <c r="AD904">
        <v>1</v>
      </c>
      <c r="AE904">
        <v>950</v>
      </c>
      <c r="AF904">
        <v>1</v>
      </c>
      <c r="AG904">
        <v>0</v>
      </c>
      <c r="AH904">
        <v>1</v>
      </c>
      <c r="AI904">
        <v>0</v>
      </c>
      <c r="AJ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-1.8838999999999997</v>
      </c>
      <c r="AX904">
        <v>5.6083333333333334</v>
      </c>
      <c r="AY904">
        <v>828.02</v>
      </c>
      <c r="BA904">
        <v>833.26900000000001</v>
      </c>
      <c r="BB904">
        <v>912.81700000000001</v>
      </c>
      <c r="BC904">
        <v>13.1175</v>
      </c>
      <c r="BF904" t="s">
        <v>108</v>
      </c>
    </row>
    <row r="905" spans="1:58" x14ac:dyDescent="0.45">
      <c r="A905">
        <v>10904</v>
      </c>
      <c r="B905">
        <v>1</v>
      </c>
      <c r="C905">
        <v>87.57</v>
      </c>
      <c r="D905">
        <v>4.97</v>
      </c>
      <c r="E905">
        <v>3.11</v>
      </c>
      <c r="F905">
        <v>1.52</v>
      </c>
      <c r="G905">
        <v>0</v>
      </c>
      <c r="H905">
        <v>0</v>
      </c>
      <c r="I905">
        <v>0</v>
      </c>
      <c r="J905">
        <v>2.83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Z905">
        <v>1</v>
      </c>
      <c r="AA905">
        <v>0</v>
      </c>
      <c r="AB905">
        <v>0</v>
      </c>
      <c r="AC905">
        <v>0</v>
      </c>
      <c r="AD905">
        <v>1</v>
      </c>
      <c r="AE905">
        <v>700</v>
      </c>
      <c r="AF905">
        <v>1</v>
      </c>
      <c r="AG905">
        <v>0</v>
      </c>
      <c r="AH905">
        <v>1</v>
      </c>
      <c r="AI905">
        <v>0</v>
      </c>
      <c r="AJ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-0.45429999999999904</v>
      </c>
      <c r="AX905">
        <v>5.4416666666666664</v>
      </c>
      <c r="AY905">
        <v>817.81999999999994</v>
      </c>
      <c r="BA905">
        <v>865.71100000000001</v>
      </c>
      <c r="BB905">
        <v>901.26700000000005</v>
      </c>
      <c r="BC905">
        <v>18.482099999999999</v>
      </c>
      <c r="BF905" t="s">
        <v>108</v>
      </c>
    </row>
    <row r="906" spans="1:58" x14ac:dyDescent="0.45">
      <c r="A906">
        <v>10905</v>
      </c>
      <c r="B906">
        <v>1</v>
      </c>
      <c r="C906">
        <v>87.57</v>
      </c>
      <c r="D906">
        <v>4.97</v>
      </c>
      <c r="E906">
        <v>3.11</v>
      </c>
      <c r="F906">
        <v>1.52</v>
      </c>
      <c r="G906">
        <v>0</v>
      </c>
      <c r="H906">
        <v>0</v>
      </c>
      <c r="I906">
        <v>0</v>
      </c>
      <c r="J906">
        <v>2.83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800</v>
      </c>
      <c r="AF906">
        <v>1</v>
      </c>
      <c r="AG906">
        <v>0</v>
      </c>
      <c r="AH906">
        <v>1</v>
      </c>
      <c r="AI906">
        <v>0</v>
      </c>
      <c r="AJ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-0.45429999999999904</v>
      </c>
      <c r="AX906">
        <v>5.4416666666666664</v>
      </c>
      <c r="AY906">
        <v>817.81999999999994</v>
      </c>
      <c r="BA906">
        <v>843.803</v>
      </c>
      <c r="BB906">
        <v>903.82600000000002</v>
      </c>
      <c r="BC906">
        <v>19.017900000000001</v>
      </c>
      <c r="BF906" t="s">
        <v>108</v>
      </c>
    </row>
    <row r="907" spans="1:58" x14ac:dyDescent="0.45">
      <c r="A907">
        <v>10906</v>
      </c>
      <c r="B907">
        <v>1</v>
      </c>
      <c r="C907">
        <v>87.57</v>
      </c>
      <c r="D907">
        <v>4.97</v>
      </c>
      <c r="E907">
        <v>3.11</v>
      </c>
      <c r="F907">
        <v>1.52</v>
      </c>
      <c r="G907">
        <v>0</v>
      </c>
      <c r="H907">
        <v>0</v>
      </c>
      <c r="I907">
        <v>0</v>
      </c>
      <c r="J907">
        <v>2.83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Z907">
        <v>1</v>
      </c>
      <c r="AA907">
        <v>0</v>
      </c>
      <c r="AB907">
        <v>0</v>
      </c>
      <c r="AC907">
        <v>0</v>
      </c>
      <c r="AD907">
        <v>1</v>
      </c>
      <c r="AE907">
        <v>900</v>
      </c>
      <c r="AF907">
        <v>1</v>
      </c>
      <c r="AG907">
        <v>0</v>
      </c>
      <c r="AH907">
        <v>1</v>
      </c>
      <c r="AI907">
        <v>0</v>
      </c>
      <c r="AJ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-0.45429999999999904</v>
      </c>
      <c r="AX907">
        <v>5.4416666666666664</v>
      </c>
      <c r="AY907">
        <v>817.81999999999994</v>
      </c>
      <c r="BA907">
        <v>806.33900000000006</v>
      </c>
      <c r="BB907">
        <v>893.01800000000003</v>
      </c>
      <c r="BC907">
        <v>18.75</v>
      </c>
      <c r="BF907" t="s">
        <v>108</v>
      </c>
    </row>
    <row r="908" spans="1:58" x14ac:dyDescent="0.45">
      <c r="A908">
        <v>10907</v>
      </c>
      <c r="B908">
        <v>1</v>
      </c>
      <c r="C908">
        <v>87.57</v>
      </c>
      <c r="D908">
        <v>4.97</v>
      </c>
      <c r="E908">
        <v>3.11</v>
      </c>
      <c r="F908">
        <v>1.52</v>
      </c>
      <c r="G908">
        <v>0</v>
      </c>
      <c r="H908">
        <v>0</v>
      </c>
      <c r="I908">
        <v>0</v>
      </c>
      <c r="J908">
        <v>2.83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Z908">
        <v>1</v>
      </c>
      <c r="AA908">
        <v>0</v>
      </c>
      <c r="AB908">
        <v>0</v>
      </c>
      <c r="AC908">
        <v>0</v>
      </c>
      <c r="AD908">
        <v>1</v>
      </c>
      <c r="AE908">
        <v>950</v>
      </c>
      <c r="AF908">
        <v>1</v>
      </c>
      <c r="AG908">
        <v>0</v>
      </c>
      <c r="AH908">
        <v>1</v>
      </c>
      <c r="AI908">
        <v>0</v>
      </c>
      <c r="AJ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-0.45429999999999904</v>
      </c>
      <c r="AX908">
        <v>5.4416666666666664</v>
      </c>
      <c r="AY908">
        <v>817.81999999999994</v>
      </c>
      <c r="BA908">
        <v>727.65</v>
      </c>
      <c r="BB908">
        <v>883.16399999999999</v>
      </c>
      <c r="BC908">
        <v>18.214300000000001</v>
      </c>
      <c r="BF908" t="s">
        <v>108</v>
      </c>
    </row>
    <row r="909" spans="1:58" x14ac:dyDescent="0.45">
      <c r="A909">
        <v>10908</v>
      </c>
      <c r="B909">
        <v>1</v>
      </c>
      <c r="C909">
        <v>84.62</v>
      </c>
      <c r="D909">
        <v>5.21</v>
      </c>
      <c r="E909">
        <v>0</v>
      </c>
      <c r="F909">
        <v>4.05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4.0599999999999996</v>
      </c>
      <c r="M909">
        <v>2.06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908</v>
      </c>
      <c r="Y909">
        <v>60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800</v>
      </c>
      <c r="AF909">
        <v>4</v>
      </c>
      <c r="AG909">
        <v>1</v>
      </c>
      <c r="AH909">
        <v>0</v>
      </c>
      <c r="AI909">
        <v>0</v>
      </c>
      <c r="AJ909">
        <v>1</v>
      </c>
      <c r="AK909">
        <v>640</v>
      </c>
      <c r="AL909">
        <v>8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5.3299999999999992</v>
      </c>
      <c r="AX909">
        <v>5.8966666666666665</v>
      </c>
      <c r="AY909">
        <v>814.01800000000014</v>
      </c>
      <c r="BA909">
        <v>1184.5</v>
      </c>
      <c r="BB909">
        <v>1220</v>
      </c>
      <c r="BC909">
        <v>11.75</v>
      </c>
      <c r="BF909" t="s">
        <v>108</v>
      </c>
    </row>
    <row r="910" spans="1:58" x14ac:dyDescent="0.45">
      <c r="A910">
        <v>10909</v>
      </c>
      <c r="B910">
        <v>1</v>
      </c>
      <c r="C910">
        <v>84.62</v>
      </c>
      <c r="D910">
        <v>5.21</v>
      </c>
      <c r="E910">
        <v>0</v>
      </c>
      <c r="F910">
        <v>4.05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4.0599999999999996</v>
      </c>
      <c r="M910">
        <v>2.06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918</v>
      </c>
      <c r="Y910">
        <v>60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800</v>
      </c>
      <c r="AF910">
        <v>4</v>
      </c>
      <c r="AG910">
        <v>1</v>
      </c>
      <c r="AH910">
        <v>0</v>
      </c>
      <c r="AI910">
        <v>0</v>
      </c>
      <c r="AJ910">
        <v>1</v>
      </c>
      <c r="AK910">
        <v>640</v>
      </c>
      <c r="AL910">
        <v>8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5.3299999999999992</v>
      </c>
      <c r="AX910">
        <v>5.8966666666666665</v>
      </c>
      <c r="AY910">
        <v>814.01800000000014</v>
      </c>
      <c r="BA910">
        <v>1176</v>
      </c>
      <c r="BB910">
        <v>1208</v>
      </c>
      <c r="BC910">
        <v>12.25</v>
      </c>
      <c r="BF910" t="s">
        <v>108</v>
      </c>
    </row>
    <row r="911" spans="1:58" x14ac:dyDescent="0.45">
      <c r="A911">
        <v>10910</v>
      </c>
      <c r="B911">
        <v>1</v>
      </c>
      <c r="C911">
        <v>84.62</v>
      </c>
      <c r="D911">
        <v>5.21</v>
      </c>
      <c r="E911">
        <v>0</v>
      </c>
      <c r="F911">
        <v>4.05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4.0599999999999996</v>
      </c>
      <c r="M911">
        <v>2.06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928</v>
      </c>
      <c r="Y911">
        <v>60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800</v>
      </c>
      <c r="AF911">
        <v>4</v>
      </c>
      <c r="AG911">
        <v>1</v>
      </c>
      <c r="AH911">
        <v>0</v>
      </c>
      <c r="AI911">
        <v>0</v>
      </c>
      <c r="AJ911">
        <v>1</v>
      </c>
      <c r="AK911">
        <v>640</v>
      </c>
      <c r="AL911">
        <v>8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5.3299999999999992</v>
      </c>
      <c r="AX911">
        <v>5.8966666666666665</v>
      </c>
      <c r="AY911">
        <v>814.01800000000014</v>
      </c>
      <c r="BA911">
        <v>1224.5</v>
      </c>
      <c r="BB911">
        <v>1256.5</v>
      </c>
      <c r="BC911">
        <v>9.75</v>
      </c>
      <c r="BF911" t="s">
        <v>108</v>
      </c>
    </row>
    <row r="912" spans="1:58" x14ac:dyDescent="0.45">
      <c r="A912">
        <v>10911</v>
      </c>
      <c r="B912">
        <v>1</v>
      </c>
      <c r="C912">
        <v>84.62</v>
      </c>
      <c r="D912">
        <v>5.21</v>
      </c>
      <c r="E912">
        <v>0</v>
      </c>
      <c r="F912">
        <v>4.05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4.0599999999999996</v>
      </c>
      <c r="M912">
        <v>2.06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918</v>
      </c>
      <c r="Y912">
        <v>30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800</v>
      </c>
      <c r="AF912">
        <v>4</v>
      </c>
      <c r="AG912">
        <v>1</v>
      </c>
      <c r="AH912">
        <v>0</v>
      </c>
      <c r="AI912">
        <v>0</v>
      </c>
      <c r="AJ912">
        <v>1</v>
      </c>
      <c r="AK912">
        <v>640</v>
      </c>
      <c r="AL912">
        <v>8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5.3299999999999992</v>
      </c>
      <c r="AX912">
        <v>5.8966666666666665</v>
      </c>
      <c r="AY912">
        <v>814.01800000000014</v>
      </c>
      <c r="BA912">
        <v>1178</v>
      </c>
      <c r="BB912">
        <v>1212.5</v>
      </c>
      <c r="BC912">
        <v>12.75</v>
      </c>
      <c r="BF912" t="s">
        <v>108</v>
      </c>
    </row>
    <row r="913" spans="1:58" x14ac:dyDescent="0.45">
      <c r="A913">
        <v>10912</v>
      </c>
      <c r="B913">
        <v>1</v>
      </c>
      <c r="C913">
        <v>84.62</v>
      </c>
      <c r="D913">
        <v>5.21</v>
      </c>
      <c r="E913">
        <v>0</v>
      </c>
      <c r="F913">
        <v>4.05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4.0599999999999996</v>
      </c>
      <c r="M913">
        <v>2.06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918</v>
      </c>
      <c r="Y913">
        <v>45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800</v>
      </c>
      <c r="AF913">
        <v>4</v>
      </c>
      <c r="AG913">
        <v>1</v>
      </c>
      <c r="AH913">
        <v>0</v>
      </c>
      <c r="AI913">
        <v>0</v>
      </c>
      <c r="AJ913">
        <v>1</v>
      </c>
      <c r="AK913">
        <v>640</v>
      </c>
      <c r="AL913">
        <v>8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5.3299999999999992</v>
      </c>
      <c r="AX913">
        <v>5.8966666666666665</v>
      </c>
      <c r="AY913">
        <v>814.01800000000014</v>
      </c>
      <c r="BA913">
        <v>1226.5</v>
      </c>
      <c r="BB913">
        <v>1258</v>
      </c>
      <c r="BC913">
        <v>12</v>
      </c>
      <c r="BF913" t="s">
        <v>108</v>
      </c>
    </row>
    <row r="914" spans="1:58" x14ac:dyDescent="0.45">
      <c r="A914">
        <v>10913</v>
      </c>
      <c r="B914">
        <v>1</v>
      </c>
      <c r="C914">
        <v>84.62</v>
      </c>
      <c r="D914">
        <v>5.21</v>
      </c>
      <c r="E914">
        <v>0</v>
      </c>
      <c r="F914">
        <v>4.05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4.0599999999999996</v>
      </c>
      <c r="M914">
        <v>2.06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918</v>
      </c>
      <c r="Y914">
        <v>60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800</v>
      </c>
      <c r="AF914">
        <v>4</v>
      </c>
      <c r="AG914">
        <v>1</v>
      </c>
      <c r="AH914">
        <v>0</v>
      </c>
      <c r="AI914">
        <v>0</v>
      </c>
      <c r="AJ914">
        <v>1</v>
      </c>
      <c r="AK914">
        <v>620</v>
      </c>
      <c r="AL914">
        <v>8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5.3299999999999992</v>
      </c>
      <c r="AX914">
        <v>5.8966666666666665</v>
      </c>
      <c r="AY914">
        <v>814.01800000000014</v>
      </c>
      <c r="BA914">
        <v>1259.5</v>
      </c>
      <c r="BB914">
        <v>1296.5</v>
      </c>
      <c r="BC914">
        <v>10.5</v>
      </c>
      <c r="BF914" t="s">
        <v>108</v>
      </c>
    </row>
    <row r="915" spans="1:58" x14ac:dyDescent="0.45">
      <c r="A915">
        <v>10914</v>
      </c>
      <c r="B915">
        <v>1</v>
      </c>
      <c r="C915">
        <v>84.62</v>
      </c>
      <c r="D915">
        <v>5.21</v>
      </c>
      <c r="E915">
        <v>0</v>
      </c>
      <c r="F915">
        <v>4.05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4.0599999999999996</v>
      </c>
      <c r="M915">
        <v>2.06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918</v>
      </c>
      <c r="Y915">
        <v>60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800</v>
      </c>
      <c r="AF915">
        <v>4</v>
      </c>
      <c r="AG915">
        <v>1</v>
      </c>
      <c r="AH915">
        <v>0</v>
      </c>
      <c r="AI915">
        <v>0</v>
      </c>
      <c r="AJ915">
        <v>1</v>
      </c>
      <c r="AK915">
        <v>680</v>
      </c>
      <c r="AL915">
        <v>8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5.3299999999999992</v>
      </c>
      <c r="AX915">
        <v>5.8966666666666665</v>
      </c>
      <c r="AY915">
        <v>814.01800000000014</v>
      </c>
      <c r="BA915">
        <v>1151.5</v>
      </c>
      <c r="BB915">
        <v>1176</v>
      </c>
      <c r="BC915">
        <v>15</v>
      </c>
      <c r="BF915" t="s">
        <v>108</v>
      </c>
    </row>
    <row r="916" spans="1:58" x14ac:dyDescent="0.45">
      <c r="A916">
        <v>10915</v>
      </c>
      <c r="B916">
        <v>1</v>
      </c>
      <c r="C916">
        <v>91.5</v>
      </c>
      <c r="D916">
        <v>4</v>
      </c>
      <c r="E916">
        <v>2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1.5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Z916">
        <v>1</v>
      </c>
      <c r="AA916">
        <v>0</v>
      </c>
      <c r="AB916">
        <v>0</v>
      </c>
      <c r="AC916">
        <v>0</v>
      </c>
      <c r="AD916">
        <v>1</v>
      </c>
      <c r="AE916">
        <v>750</v>
      </c>
      <c r="AF916">
        <v>3</v>
      </c>
      <c r="AG916">
        <v>0</v>
      </c>
      <c r="AH916">
        <v>1</v>
      </c>
      <c r="AI916">
        <v>0</v>
      </c>
      <c r="AJ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1.7400000000000002</v>
      </c>
      <c r="AX916">
        <v>4</v>
      </c>
      <c r="AY916">
        <v>837.15</v>
      </c>
      <c r="BA916">
        <v>864</v>
      </c>
      <c r="BB916">
        <v>927</v>
      </c>
      <c r="BC916">
        <v>20</v>
      </c>
      <c r="BF916" t="s">
        <v>108</v>
      </c>
    </row>
    <row r="917" spans="1:58" x14ac:dyDescent="0.45">
      <c r="A917">
        <v>10916</v>
      </c>
      <c r="B917">
        <v>1</v>
      </c>
      <c r="C917">
        <v>91.5</v>
      </c>
      <c r="D917">
        <v>4</v>
      </c>
      <c r="E917">
        <v>2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1.5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Z917">
        <v>1</v>
      </c>
      <c r="AA917">
        <v>0</v>
      </c>
      <c r="AB917">
        <v>0</v>
      </c>
      <c r="AC917">
        <v>0</v>
      </c>
      <c r="AD917">
        <v>1</v>
      </c>
      <c r="AE917">
        <v>800</v>
      </c>
      <c r="AF917">
        <v>3</v>
      </c>
      <c r="AG917">
        <v>0</v>
      </c>
      <c r="AH917">
        <v>1</v>
      </c>
      <c r="AI917">
        <v>0</v>
      </c>
      <c r="AJ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1.7400000000000002</v>
      </c>
      <c r="AX917">
        <v>4</v>
      </c>
      <c r="AY917">
        <v>837.15</v>
      </c>
      <c r="BA917">
        <v>896</v>
      </c>
      <c r="BB917">
        <v>971</v>
      </c>
      <c r="BC917">
        <v>19</v>
      </c>
      <c r="BF917" t="s">
        <v>108</v>
      </c>
    </row>
    <row r="918" spans="1:58" x14ac:dyDescent="0.45">
      <c r="A918">
        <v>10917</v>
      </c>
      <c r="B918">
        <v>1</v>
      </c>
      <c r="C918">
        <v>91.5</v>
      </c>
      <c r="D918">
        <v>4</v>
      </c>
      <c r="E918">
        <v>2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1.5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Z918">
        <v>1</v>
      </c>
      <c r="AA918">
        <v>0</v>
      </c>
      <c r="AB918">
        <v>0</v>
      </c>
      <c r="AC918">
        <v>0</v>
      </c>
      <c r="AD918">
        <v>1</v>
      </c>
      <c r="AE918">
        <v>850</v>
      </c>
      <c r="AF918">
        <v>3</v>
      </c>
      <c r="AG918">
        <v>0</v>
      </c>
      <c r="AH918">
        <v>1</v>
      </c>
      <c r="AI918">
        <v>0</v>
      </c>
      <c r="AJ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1.7400000000000002</v>
      </c>
      <c r="AX918">
        <v>4</v>
      </c>
      <c r="AY918">
        <v>837.15</v>
      </c>
      <c r="BA918">
        <v>902</v>
      </c>
      <c r="BB918">
        <v>991</v>
      </c>
      <c r="BC918">
        <v>19.399999999999999</v>
      </c>
      <c r="BF918" t="s">
        <v>108</v>
      </c>
    </row>
    <row r="919" spans="1:58" x14ac:dyDescent="0.45">
      <c r="A919">
        <v>10918</v>
      </c>
      <c r="B919">
        <v>1</v>
      </c>
      <c r="C919">
        <v>91.5</v>
      </c>
      <c r="D919">
        <v>4</v>
      </c>
      <c r="E919">
        <v>2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1.5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Z919">
        <v>1</v>
      </c>
      <c r="AA919">
        <v>0</v>
      </c>
      <c r="AB919">
        <v>0</v>
      </c>
      <c r="AC919">
        <v>0</v>
      </c>
      <c r="AD919">
        <v>1</v>
      </c>
      <c r="AE919">
        <v>870</v>
      </c>
      <c r="AF919">
        <v>3</v>
      </c>
      <c r="AG919">
        <v>0</v>
      </c>
      <c r="AH919">
        <v>1</v>
      </c>
      <c r="AI919">
        <v>0</v>
      </c>
      <c r="AJ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1.7400000000000002</v>
      </c>
      <c r="AX919">
        <v>4</v>
      </c>
      <c r="AY919">
        <v>837.15</v>
      </c>
      <c r="BA919">
        <v>896</v>
      </c>
      <c r="BB919">
        <v>977</v>
      </c>
      <c r="BC919">
        <v>21</v>
      </c>
      <c r="BF919" t="s">
        <v>108</v>
      </c>
    </row>
    <row r="920" spans="1:58" x14ac:dyDescent="0.45">
      <c r="A920">
        <v>10919</v>
      </c>
      <c r="B920">
        <v>1</v>
      </c>
      <c r="C920">
        <v>91.5</v>
      </c>
      <c r="D920">
        <v>4</v>
      </c>
      <c r="E920">
        <v>2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1.5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Z920">
        <v>1</v>
      </c>
      <c r="AA920">
        <v>0</v>
      </c>
      <c r="AB920">
        <v>0</v>
      </c>
      <c r="AC920">
        <v>0</v>
      </c>
      <c r="AD920">
        <v>1</v>
      </c>
      <c r="AE920">
        <v>900</v>
      </c>
      <c r="AF920">
        <v>3</v>
      </c>
      <c r="AG920">
        <v>0</v>
      </c>
      <c r="AH920">
        <v>1</v>
      </c>
      <c r="AI920">
        <v>0</v>
      </c>
      <c r="AJ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1.7400000000000002</v>
      </c>
      <c r="AX920">
        <v>4</v>
      </c>
      <c r="AY920">
        <v>837.15</v>
      </c>
      <c r="BA920">
        <v>897</v>
      </c>
      <c r="BB920">
        <v>998</v>
      </c>
      <c r="BC920">
        <v>11.1</v>
      </c>
      <c r="BF920" t="s">
        <v>108</v>
      </c>
    </row>
    <row r="921" spans="1:58" x14ac:dyDescent="0.45">
      <c r="A921">
        <v>10920</v>
      </c>
      <c r="B921">
        <v>1</v>
      </c>
      <c r="C921">
        <v>91.5</v>
      </c>
      <c r="D921">
        <v>4</v>
      </c>
      <c r="E921">
        <v>2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1.5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Z921">
        <v>1</v>
      </c>
      <c r="AA921">
        <v>0</v>
      </c>
      <c r="AB921">
        <v>0</v>
      </c>
      <c r="AC921">
        <v>0</v>
      </c>
      <c r="AD921">
        <v>1</v>
      </c>
      <c r="AE921">
        <v>850</v>
      </c>
      <c r="AF921">
        <v>3</v>
      </c>
      <c r="AG921">
        <v>0</v>
      </c>
      <c r="AH921">
        <v>0</v>
      </c>
      <c r="AI921">
        <v>1</v>
      </c>
      <c r="AJ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1.7400000000000002</v>
      </c>
      <c r="AX921">
        <v>4</v>
      </c>
      <c r="AY921">
        <v>837.15</v>
      </c>
      <c r="BA921">
        <v>855</v>
      </c>
      <c r="BB921">
        <v>909</v>
      </c>
      <c r="BC921">
        <v>23</v>
      </c>
      <c r="BF921" t="s">
        <v>108</v>
      </c>
    </row>
    <row r="922" spans="1:58" x14ac:dyDescent="0.45">
      <c r="A922">
        <v>10921</v>
      </c>
      <c r="B922">
        <v>1</v>
      </c>
      <c r="C922">
        <v>91.5</v>
      </c>
      <c r="D922">
        <v>4</v>
      </c>
      <c r="E922">
        <v>2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1.5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Z922">
        <v>1</v>
      </c>
      <c r="AA922">
        <v>0</v>
      </c>
      <c r="AB922">
        <v>0</v>
      </c>
      <c r="AC922">
        <v>0</v>
      </c>
      <c r="AD922">
        <v>1</v>
      </c>
      <c r="AE922">
        <v>870</v>
      </c>
      <c r="AF922">
        <v>3</v>
      </c>
      <c r="AG922">
        <v>0</v>
      </c>
      <c r="AH922">
        <v>0</v>
      </c>
      <c r="AI922">
        <v>1</v>
      </c>
      <c r="AJ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1.7400000000000002</v>
      </c>
      <c r="AX922">
        <v>4</v>
      </c>
      <c r="AY922">
        <v>837.15</v>
      </c>
      <c r="BA922">
        <v>849</v>
      </c>
      <c r="BB922">
        <v>911</v>
      </c>
      <c r="BC922">
        <v>23</v>
      </c>
      <c r="BF922" t="s">
        <v>108</v>
      </c>
    </row>
    <row r="923" spans="1:58" x14ac:dyDescent="0.45">
      <c r="A923">
        <v>10922</v>
      </c>
      <c r="B923">
        <v>1</v>
      </c>
      <c r="C923">
        <v>91.5</v>
      </c>
      <c r="D923">
        <v>4</v>
      </c>
      <c r="E923">
        <v>2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1.5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Z923">
        <v>1</v>
      </c>
      <c r="AA923">
        <v>0</v>
      </c>
      <c r="AB923">
        <v>0</v>
      </c>
      <c r="AC923">
        <v>0</v>
      </c>
      <c r="AD923">
        <v>1</v>
      </c>
      <c r="AE923">
        <v>980</v>
      </c>
      <c r="AF923">
        <v>3</v>
      </c>
      <c r="AG923">
        <v>0</v>
      </c>
      <c r="AH923">
        <v>0</v>
      </c>
      <c r="AI923">
        <v>1</v>
      </c>
      <c r="AJ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1.7400000000000002</v>
      </c>
      <c r="AX923">
        <v>4</v>
      </c>
      <c r="AY923">
        <v>837.15</v>
      </c>
      <c r="BA923">
        <v>819</v>
      </c>
      <c r="BB923">
        <v>906</v>
      </c>
      <c r="BC923">
        <v>10.5</v>
      </c>
      <c r="BF923" t="s">
        <v>108</v>
      </c>
    </row>
    <row r="924" spans="1:58" x14ac:dyDescent="0.45">
      <c r="A924">
        <v>10923</v>
      </c>
      <c r="B924">
        <v>1</v>
      </c>
      <c r="C924">
        <v>92.5</v>
      </c>
      <c r="D924">
        <v>4</v>
      </c>
      <c r="E924">
        <v>2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0.5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Z924">
        <v>1</v>
      </c>
      <c r="AA924">
        <v>0</v>
      </c>
      <c r="AB924">
        <v>0</v>
      </c>
      <c r="AC924">
        <v>0</v>
      </c>
      <c r="AD924">
        <v>1</v>
      </c>
      <c r="AE924">
        <v>750</v>
      </c>
      <c r="AF924">
        <v>3</v>
      </c>
      <c r="AG924">
        <v>0</v>
      </c>
      <c r="AH924">
        <v>1</v>
      </c>
      <c r="AI924">
        <v>0</v>
      </c>
      <c r="AJ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0.74000000000000021</v>
      </c>
      <c r="AX924">
        <v>4</v>
      </c>
      <c r="AY924">
        <v>846.65</v>
      </c>
      <c r="BA924">
        <v>863.15599999999995</v>
      </c>
      <c r="BC924">
        <v>18.286000000000001</v>
      </c>
      <c r="BF924" t="s">
        <v>108</v>
      </c>
    </row>
    <row r="925" spans="1:58" x14ac:dyDescent="0.45">
      <c r="A925">
        <v>10924</v>
      </c>
      <c r="B925">
        <v>1</v>
      </c>
      <c r="C925">
        <v>92.5</v>
      </c>
      <c r="D925">
        <v>4</v>
      </c>
      <c r="E925">
        <v>2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0.5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Z925">
        <v>1</v>
      </c>
      <c r="AA925">
        <v>0</v>
      </c>
      <c r="AB925">
        <v>0</v>
      </c>
      <c r="AC925">
        <v>0</v>
      </c>
      <c r="AD925">
        <v>1</v>
      </c>
      <c r="AE925">
        <v>800</v>
      </c>
      <c r="AF925">
        <v>3</v>
      </c>
      <c r="AG925">
        <v>0</v>
      </c>
      <c r="AH925">
        <v>1</v>
      </c>
      <c r="AI925">
        <v>0</v>
      </c>
      <c r="AJ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0.74000000000000021</v>
      </c>
      <c r="AX925">
        <v>4</v>
      </c>
      <c r="AY925">
        <v>846.65</v>
      </c>
      <c r="BA925">
        <v>858.43299999999999</v>
      </c>
      <c r="BF925" t="s">
        <v>108</v>
      </c>
    </row>
    <row r="926" spans="1:58" x14ac:dyDescent="0.45">
      <c r="A926">
        <v>10925</v>
      </c>
      <c r="B926">
        <v>1</v>
      </c>
      <c r="C926">
        <v>92.5</v>
      </c>
      <c r="D926">
        <v>4</v>
      </c>
      <c r="E926">
        <v>2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0.5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Z926">
        <v>1</v>
      </c>
      <c r="AA926">
        <v>0</v>
      </c>
      <c r="AB926">
        <v>0</v>
      </c>
      <c r="AC926">
        <v>0</v>
      </c>
      <c r="AD926">
        <v>1</v>
      </c>
      <c r="AE926">
        <v>850</v>
      </c>
      <c r="AF926">
        <v>3</v>
      </c>
      <c r="AG926">
        <v>0</v>
      </c>
      <c r="AH926">
        <v>1</v>
      </c>
      <c r="AI926">
        <v>0</v>
      </c>
      <c r="AJ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0.74000000000000021</v>
      </c>
      <c r="AX926">
        <v>4</v>
      </c>
      <c r="AY926">
        <v>846.65</v>
      </c>
      <c r="BA926">
        <v>845.18600000000004</v>
      </c>
      <c r="BF926" t="s">
        <v>108</v>
      </c>
    </row>
    <row r="927" spans="1:58" x14ac:dyDescent="0.45">
      <c r="A927">
        <v>10926</v>
      </c>
      <c r="B927">
        <v>1</v>
      </c>
      <c r="C927">
        <v>92</v>
      </c>
      <c r="D927">
        <v>4</v>
      </c>
      <c r="E927">
        <v>2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Z927">
        <v>1</v>
      </c>
      <c r="AA927">
        <v>0</v>
      </c>
      <c r="AB927">
        <v>0</v>
      </c>
      <c r="AC927">
        <v>0</v>
      </c>
      <c r="AD927">
        <v>1</v>
      </c>
      <c r="AE927">
        <v>750</v>
      </c>
      <c r="AF927">
        <v>3</v>
      </c>
      <c r="AG927">
        <v>0</v>
      </c>
      <c r="AH927">
        <v>1</v>
      </c>
      <c r="AI927">
        <v>0</v>
      </c>
      <c r="AJ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1.2400000000000002</v>
      </c>
      <c r="AX927">
        <v>4</v>
      </c>
      <c r="AY927">
        <v>841.9</v>
      </c>
      <c r="BA927">
        <v>863.524</v>
      </c>
      <c r="BC927">
        <v>20.226099999999999</v>
      </c>
      <c r="BF927" t="s">
        <v>108</v>
      </c>
    </row>
    <row r="928" spans="1:58" x14ac:dyDescent="0.45">
      <c r="A928">
        <v>10927</v>
      </c>
      <c r="B928">
        <v>1</v>
      </c>
      <c r="C928">
        <v>92</v>
      </c>
      <c r="D928">
        <v>4</v>
      </c>
      <c r="E928">
        <v>2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Z928">
        <v>1</v>
      </c>
      <c r="AA928">
        <v>0</v>
      </c>
      <c r="AB928">
        <v>0</v>
      </c>
      <c r="AC928">
        <v>0</v>
      </c>
      <c r="AD928">
        <v>1</v>
      </c>
      <c r="AE928">
        <v>800</v>
      </c>
      <c r="AF928">
        <v>3</v>
      </c>
      <c r="AG928">
        <v>0</v>
      </c>
      <c r="AH928">
        <v>1</v>
      </c>
      <c r="AI928">
        <v>0</v>
      </c>
      <c r="AJ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1.2400000000000002</v>
      </c>
      <c r="AX928">
        <v>4</v>
      </c>
      <c r="AY928">
        <v>841.9</v>
      </c>
      <c r="BA928">
        <v>872.68399999999997</v>
      </c>
      <c r="BF928" t="s">
        <v>108</v>
      </c>
    </row>
    <row r="929" spans="1:58" x14ac:dyDescent="0.45">
      <c r="A929">
        <v>10928</v>
      </c>
      <c r="B929">
        <v>1</v>
      </c>
      <c r="C929">
        <v>92</v>
      </c>
      <c r="D929">
        <v>4</v>
      </c>
      <c r="E929">
        <v>2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Z929">
        <v>1</v>
      </c>
      <c r="AA929">
        <v>0</v>
      </c>
      <c r="AB929">
        <v>0</v>
      </c>
      <c r="AC929">
        <v>0</v>
      </c>
      <c r="AD929">
        <v>1</v>
      </c>
      <c r="AE929">
        <v>850</v>
      </c>
      <c r="AF929">
        <v>3</v>
      </c>
      <c r="AG929">
        <v>0</v>
      </c>
      <c r="AH929">
        <v>1</v>
      </c>
      <c r="AI929">
        <v>0</v>
      </c>
      <c r="AJ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1.2400000000000002</v>
      </c>
      <c r="AX929">
        <v>4</v>
      </c>
      <c r="AY929">
        <v>841.9</v>
      </c>
      <c r="BA929">
        <v>862.91300000000001</v>
      </c>
      <c r="BF929" t="s">
        <v>108</v>
      </c>
    </row>
    <row r="930" spans="1:58" x14ac:dyDescent="0.45">
      <c r="A930">
        <v>10929</v>
      </c>
      <c r="B930">
        <v>1</v>
      </c>
      <c r="C930">
        <v>84.5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10</v>
      </c>
      <c r="L930">
        <v>2</v>
      </c>
      <c r="M930">
        <v>1</v>
      </c>
      <c r="N930">
        <v>0</v>
      </c>
      <c r="O930">
        <v>2.5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J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5.3500000000000005</v>
      </c>
      <c r="AX930">
        <v>0.33333333333333331</v>
      </c>
      <c r="AY930">
        <v>867.2</v>
      </c>
      <c r="AZ930">
        <v>76</v>
      </c>
    </row>
    <row r="931" spans="1:58" x14ac:dyDescent="0.45">
      <c r="A931">
        <v>10930</v>
      </c>
      <c r="B931">
        <v>1</v>
      </c>
      <c r="C931">
        <v>82.5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10.5</v>
      </c>
      <c r="L931">
        <v>3</v>
      </c>
      <c r="M931">
        <v>1</v>
      </c>
      <c r="N931">
        <v>0</v>
      </c>
      <c r="O931">
        <v>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J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6.6000000000000005</v>
      </c>
      <c r="AX931">
        <v>0.33333333333333331</v>
      </c>
      <c r="AY931">
        <v>857.7</v>
      </c>
      <c r="AZ931">
        <v>73</v>
      </c>
    </row>
    <row r="932" spans="1:58" x14ac:dyDescent="0.45">
      <c r="A932">
        <v>10931</v>
      </c>
      <c r="B932">
        <v>1</v>
      </c>
      <c r="C932">
        <v>77.8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2.8</v>
      </c>
      <c r="K932">
        <v>13.8</v>
      </c>
      <c r="L932">
        <v>0</v>
      </c>
      <c r="M932">
        <v>2.8</v>
      </c>
      <c r="N932">
        <v>0</v>
      </c>
      <c r="O932">
        <v>2.8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J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4.4800000000000004</v>
      </c>
      <c r="AX932">
        <v>1.4</v>
      </c>
      <c r="AY932">
        <v>874.43999999999994</v>
      </c>
      <c r="AZ932">
        <v>47</v>
      </c>
    </row>
    <row r="933" spans="1:58" x14ac:dyDescent="0.45">
      <c r="A933">
        <v>10932</v>
      </c>
      <c r="B933">
        <v>1</v>
      </c>
      <c r="C933">
        <v>80.099999999999994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1.3</v>
      </c>
      <c r="K933">
        <v>14.4</v>
      </c>
      <c r="L933">
        <v>0</v>
      </c>
      <c r="M933">
        <v>3.9</v>
      </c>
      <c r="N933">
        <v>0</v>
      </c>
      <c r="O933">
        <v>0.3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J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4.0980000000000008</v>
      </c>
      <c r="AX933">
        <v>1.5166666666666666</v>
      </c>
      <c r="AY933">
        <v>889.41</v>
      </c>
      <c r="AZ933">
        <v>48.1</v>
      </c>
    </row>
    <row r="934" spans="1:58" x14ac:dyDescent="0.45">
      <c r="A934">
        <v>10933</v>
      </c>
      <c r="B934">
        <v>1</v>
      </c>
      <c r="C934">
        <v>77.8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2.8</v>
      </c>
      <c r="K934">
        <v>13.9</v>
      </c>
      <c r="L934">
        <v>0</v>
      </c>
      <c r="M934">
        <v>2.8</v>
      </c>
      <c r="N934">
        <v>0</v>
      </c>
      <c r="O934">
        <v>2.8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J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4.508</v>
      </c>
      <c r="AX934">
        <v>1.4</v>
      </c>
      <c r="AY934">
        <v>874.43999999999994</v>
      </c>
      <c r="AZ934">
        <v>47</v>
      </c>
    </row>
    <row r="935" spans="1:58" x14ac:dyDescent="0.45">
      <c r="A935">
        <v>10934</v>
      </c>
      <c r="B935">
        <v>1</v>
      </c>
      <c r="C935">
        <v>86.51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3.6</v>
      </c>
      <c r="K935">
        <v>0</v>
      </c>
      <c r="L935">
        <v>0</v>
      </c>
      <c r="M935">
        <v>2.8</v>
      </c>
      <c r="N935">
        <v>0</v>
      </c>
      <c r="O935">
        <v>0.72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Z935">
        <v>1</v>
      </c>
      <c r="AA935">
        <v>0</v>
      </c>
      <c r="AB935">
        <v>0</v>
      </c>
      <c r="AC935">
        <v>0</v>
      </c>
      <c r="AD935">
        <v>1</v>
      </c>
      <c r="AE935">
        <v>950</v>
      </c>
      <c r="AF935">
        <v>1</v>
      </c>
      <c r="AG935">
        <v>1</v>
      </c>
      <c r="AH935">
        <v>0</v>
      </c>
      <c r="AI935">
        <v>0</v>
      </c>
      <c r="AJ935">
        <v>1</v>
      </c>
      <c r="AK935">
        <v>650</v>
      </c>
      <c r="AL935">
        <v>6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-5.8415999999999997</v>
      </c>
      <c r="AX935">
        <v>7.5333333333333332</v>
      </c>
      <c r="AY935">
        <v>881.52</v>
      </c>
      <c r="BA935">
        <v>899</v>
      </c>
      <c r="BB935">
        <v>990</v>
      </c>
      <c r="BC935">
        <v>3.9</v>
      </c>
      <c r="BF935" t="s">
        <v>108</v>
      </c>
    </row>
    <row r="936" spans="1:58" x14ac:dyDescent="0.45">
      <c r="A936">
        <v>10935</v>
      </c>
      <c r="B936">
        <v>1</v>
      </c>
      <c r="C936">
        <v>86.86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3.6</v>
      </c>
      <c r="K936">
        <v>0.37</v>
      </c>
      <c r="L936">
        <v>0</v>
      </c>
      <c r="M936">
        <v>2.8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Z936">
        <v>1</v>
      </c>
      <c r="AA936">
        <v>0</v>
      </c>
      <c r="AB936">
        <v>0</v>
      </c>
      <c r="AC936">
        <v>0</v>
      </c>
      <c r="AD936">
        <v>1</v>
      </c>
      <c r="AE936">
        <v>950</v>
      </c>
      <c r="AF936">
        <v>1</v>
      </c>
      <c r="AG936">
        <v>1</v>
      </c>
      <c r="AH936">
        <v>0</v>
      </c>
      <c r="AI936">
        <v>0</v>
      </c>
      <c r="AJ936">
        <v>1</v>
      </c>
      <c r="AK936">
        <v>650</v>
      </c>
      <c r="AL936">
        <v>6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-5.8963999999999999</v>
      </c>
      <c r="AX936">
        <v>7.5333333333333332</v>
      </c>
      <c r="AY936">
        <v>881.52</v>
      </c>
      <c r="BA936">
        <v>898</v>
      </c>
      <c r="BB936">
        <v>990</v>
      </c>
      <c r="BC936">
        <v>4.0999999999999996</v>
      </c>
      <c r="BF936" t="s">
        <v>108</v>
      </c>
    </row>
    <row r="937" spans="1:58" x14ac:dyDescent="0.45">
      <c r="A937">
        <v>10936</v>
      </c>
      <c r="B937">
        <v>1</v>
      </c>
      <c r="C937">
        <v>67.33</v>
      </c>
      <c r="D937">
        <v>0</v>
      </c>
      <c r="E937">
        <v>0</v>
      </c>
      <c r="F937">
        <v>0</v>
      </c>
      <c r="G937">
        <v>0</v>
      </c>
      <c r="H937">
        <v>2.2599999999999998</v>
      </c>
      <c r="I937">
        <v>0</v>
      </c>
      <c r="J937">
        <v>4.8500000000000005</v>
      </c>
      <c r="K937">
        <v>23.810000000000002</v>
      </c>
      <c r="L937">
        <v>0</v>
      </c>
      <c r="M937">
        <v>0</v>
      </c>
      <c r="N937">
        <v>0</v>
      </c>
      <c r="O937">
        <v>1.7500000000000002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Z937">
        <v>0</v>
      </c>
      <c r="AA937">
        <v>1</v>
      </c>
      <c r="AB937">
        <v>0</v>
      </c>
      <c r="AC937">
        <v>0</v>
      </c>
      <c r="AD937">
        <v>1</v>
      </c>
      <c r="AE937">
        <f>AY937</f>
        <v>813.73099999999999</v>
      </c>
      <c r="AF937">
        <v>0</v>
      </c>
      <c r="AG937">
        <v>1</v>
      </c>
      <c r="AH937">
        <v>0</v>
      </c>
      <c r="AI937">
        <v>0</v>
      </c>
      <c r="AJ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13.6058</v>
      </c>
      <c r="AX937">
        <v>0.80833333333333346</v>
      </c>
      <c r="AY937">
        <v>813.73099999999999</v>
      </c>
      <c r="AZ937">
        <v>81</v>
      </c>
      <c r="BA937">
        <v>588</v>
      </c>
      <c r="BF937" t="s">
        <v>60</v>
      </c>
    </row>
    <row r="938" spans="1:58" x14ac:dyDescent="0.45">
      <c r="A938">
        <v>10937</v>
      </c>
      <c r="B938">
        <v>1</v>
      </c>
      <c r="C938">
        <v>19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21</v>
      </c>
      <c r="K938">
        <v>19</v>
      </c>
      <c r="L938">
        <v>20</v>
      </c>
      <c r="M938">
        <v>0</v>
      </c>
      <c r="N938">
        <v>0</v>
      </c>
      <c r="O938">
        <v>21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J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29.94</v>
      </c>
      <c r="AX938">
        <v>3.5</v>
      </c>
      <c r="AY938">
        <v>547.1</v>
      </c>
      <c r="AZ938">
        <v>153</v>
      </c>
      <c r="BA938">
        <v>1390</v>
      </c>
      <c r="BF938" t="s">
        <v>60</v>
      </c>
    </row>
    <row r="939" spans="1:58" x14ac:dyDescent="0.45">
      <c r="A939">
        <v>10938</v>
      </c>
      <c r="B939">
        <v>1</v>
      </c>
      <c r="C939">
        <v>70</v>
      </c>
      <c r="D939">
        <v>0</v>
      </c>
      <c r="E939">
        <v>3</v>
      </c>
      <c r="F939">
        <v>0</v>
      </c>
      <c r="G939">
        <v>0</v>
      </c>
      <c r="H939">
        <v>0</v>
      </c>
      <c r="I939">
        <v>0</v>
      </c>
      <c r="J939">
        <v>6</v>
      </c>
      <c r="K939">
        <v>9</v>
      </c>
      <c r="L939">
        <v>0</v>
      </c>
      <c r="M939">
        <v>0</v>
      </c>
      <c r="N939">
        <v>0</v>
      </c>
      <c r="O939">
        <v>12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Z939">
        <v>0</v>
      </c>
      <c r="AA939">
        <v>1</v>
      </c>
      <c r="AB939">
        <v>0</v>
      </c>
      <c r="AC939">
        <v>0</v>
      </c>
      <c r="AD939">
        <v>1</v>
      </c>
      <c r="AE939">
        <f>AY939</f>
        <v>805.2</v>
      </c>
      <c r="AF939">
        <v>0</v>
      </c>
      <c r="AG939">
        <v>1</v>
      </c>
      <c r="AH939">
        <v>0</v>
      </c>
      <c r="AI939">
        <v>0</v>
      </c>
      <c r="AJ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7.1700000000000017</v>
      </c>
      <c r="AX939">
        <v>1</v>
      </c>
      <c r="AY939">
        <v>805.2</v>
      </c>
      <c r="AZ939">
        <v>71.2</v>
      </c>
      <c r="BA939">
        <v>849</v>
      </c>
      <c r="BF939" t="s">
        <v>60</v>
      </c>
    </row>
    <row r="940" spans="1:58" x14ac:dyDescent="0.45">
      <c r="A940">
        <v>10939</v>
      </c>
      <c r="B940">
        <v>1</v>
      </c>
      <c r="C940">
        <v>80.62</v>
      </c>
      <c r="D940">
        <v>10.14</v>
      </c>
      <c r="E940">
        <v>4.45</v>
      </c>
      <c r="F940">
        <v>2.2399999999999998</v>
      </c>
      <c r="G940">
        <v>0</v>
      </c>
      <c r="H940">
        <v>0.08</v>
      </c>
      <c r="I940">
        <v>0</v>
      </c>
      <c r="J940">
        <v>0</v>
      </c>
      <c r="K940">
        <v>0</v>
      </c>
      <c r="L940">
        <v>2.4699999999999998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Z940">
        <v>0</v>
      </c>
      <c r="AA940">
        <v>1</v>
      </c>
      <c r="AB940">
        <v>0</v>
      </c>
      <c r="AC940">
        <v>0</v>
      </c>
      <c r="AD940">
        <v>1</v>
      </c>
      <c r="AE940">
        <f>AY940</f>
        <v>798.98299999999995</v>
      </c>
      <c r="AF940">
        <v>0</v>
      </c>
      <c r="AG940">
        <v>1</v>
      </c>
      <c r="AH940">
        <v>0</v>
      </c>
      <c r="AI940">
        <v>0</v>
      </c>
      <c r="AJ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-0.8725000000000005</v>
      </c>
      <c r="AX940">
        <v>10.14</v>
      </c>
      <c r="AY940">
        <v>798.98299999999995</v>
      </c>
      <c r="AZ940">
        <v>115</v>
      </c>
      <c r="BA940">
        <v>636</v>
      </c>
      <c r="BE940" t="s">
        <v>353</v>
      </c>
      <c r="BF940" t="s">
        <v>60</v>
      </c>
    </row>
    <row r="941" spans="1:58" x14ac:dyDescent="0.45">
      <c r="A941">
        <v>10940</v>
      </c>
      <c r="B941">
        <v>1</v>
      </c>
      <c r="C941">
        <v>80.5</v>
      </c>
      <c r="D941">
        <v>5</v>
      </c>
      <c r="E941">
        <v>0</v>
      </c>
      <c r="F941">
        <v>5.5</v>
      </c>
      <c r="G941">
        <v>0</v>
      </c>
      <c r="H941">
        <v>0</v>
      </c>
      <c r="I941">
        <v>0</v>
      </c>
      <c r="J941">
        <v>2</v>
      </c>
      <c r="K941">
        <v>3</v>
      </c>
      <c r="L941">
        <v>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J941">
        <v>1</v>
      </c>
      <c r="AK941">
        <v>600</v>
      </c>
      <c r="AL941">
        <v>6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8.64</v>
      </c>
      <c r="AX941">
        <v>5.333333333333333</v>
      </c>
      <c r="AY941">
        <v>774.15000000000009</v>
      </c>
      <c r="BB941">
        <v>1224.3</v>
      </c>
      <c r="BC941">
        <v>5.2</v>
      </c>
      <c r="BE941" t="s">
        <v>353</v>
      </c>
      <c r="BF941" t="s">
        <v>195</v>
      </c>
    </row>
    <row r="942" spans="1:58" x14ac:dyDescent="0.45">
      <c r="A942">
        <v>10941</v>
      </c>
      <c r="B942">
        <v>1</v>
      </c>
      <c r="C942">
        <v>80.5</v>
      </c>
      <c r="D942">
        <v>5</v>
      </c>
      <c r="E942">
        <v>0</v>
      </c>
      <c r="F942">
        <v>5.5</v>
      </c>
      <c r="G942">
        <v>0</v>
      </c>
      <c r="H942">
        <v>0</v>
      </c>
      <c r="I942">
        <v>0</v>
      </c>
      <c r="J942">
        <v>2</v>
      </c>
      <c r="K942">
        <v>3</v>
      </c>
      <c r="L942">
        <v>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Z942">
        <v>1</v>
      </c>
      <c r="AA942">
        <v>0</v>
      </c>
      <c r="AB942">
        <v>0</v>
      </c>
      <c r="AC942">
        <v>0</v>
      </c>
      <c r="AD942">
        <v>1</v>
      </c>
      <c r="AE942">
        <v>800</v>
      </c>
      <c r="AF942">
        <v>0.5</v>
      </c>
      <c r="AG942">
        <v>0</v>
      </c>
      <c r="AH942">
        <v>0</v>
      </c>
      <c r="AI942">
        <v>1</v>
      </c>
      <c r="AJ942">
        <v>1</v>
      </c>
      <c r="AK942">
        <v>600</v>
      </c>
      <c r="AL942">
        <v>6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8.64</v>
      </c>
      <c r="AX942">
        <v>5.333333333333333</v>
      </c>
      <c r="AY942">
        <v>774.15000000000009</v>
      </c>
      <c r="BB942">
        <v>1125.4000000000001</v>
      </c>
      <c r="BC942">
        <v>18.3</v>
      </c>
      <c r="BE942" t="s">
        <v>353</v>
      </c>
      <c r="BF942" t="s">
        <v>195</v>
      </c>
    </row>
    <row r="943" spans="1:58" x14ac:dyDescent="0.45">
      <c r="A943">
        <v>10942</v>
      </c>
      <c r="B943">
        <v>1</v>
      </c>
      <c r="C943">
        <v>80.5</v>
      </c>
      <c r="D943">
        <v>5</v>
      </c>
      <c r="E943">
        <v>0</v>
      </c>
      <c r="F943">
        <v>5.5</v>
      </c>
      <c r="G943">
        <v>0</v>
      </c>
      <c r="H943">
        <v>0</v>
      </c>
      <c r="I943">
        <v>0</v>
      </c>
      <c r="J943">
        <v>2</v>
      </c>
      <c r="K943">
        <v>3</v>
      </c>
      <c r="L943">
        <v>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Z943">
        <v>1</v>
      </c>
      <c r="AA943">
        <v>0</v>
      </c>
      <c r="AB943">
        <v>0</v>
      </c>
      <c r="AC943">
        <v>0</v>
      </c>
      <c r="AD943">
        <v>1</v>
      </c>
      <c r="AE943">
        <v>800</v>
      </c>
      <c r="AF943">
        <v>0.5</v>
      </c>
      <c r="AG943">
        <v>1</v>
      </c>
      <c r="AH943">
        <v>0</v>
      </c>
      <c r="AI943">
        <v>0</v>
      </c>
      <c r="AJ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8.64</v>
      </c>
      <c r="AX943">
        <v>5.333333333333333</v>
      </c>
      <c r="AY943">
        <v>774.15000000000009</v>
      </c>
      <c r="BB943">
        <v>886.9</v>
      </c>
      <c r="BC943">
        <v>19.2</v>
      </c>
      <c r="BE943" t="s">
        <v>353</v>
      </c>
      <c r="BF943" t="s">
        <v>195</v>
      </c>
    </row>
    <row r="944" spans="1:58" x14ac:dyDescent="0.45">
      <c r="A944">
        <v>10943</v>
      </c>
      <c r="B944">
        <v>1</v>
      </c>
      <c r="C944">
        <v>80.41</v>
      </c>
      <c r="D944">
        <v>3</v>
      </c>
      <c r="E944">
        <v>7.46</v>
      </c>
      <c r="F944">
        <v>3.13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20</v>
      </c>
      <c r="Y944">
        <v>80</v>
      </c>
      <c r="Z944">
        <v>0</v>
      </c>
      <c r="AA944">
        <v>1</v>
      </c>
      <c r="AB944">
        <v>0</v>
      </c>
      <c r="AC944">
        <v>0</v>
      </c>
      <c r="AD944">
        <v>1</v>
      </c>
      <c r="AE944">
        <v>765</v>
      </c>
      <c r="AF944">
        <v>0.33</v>
      </c>
      <c r="AG944">
        <v>0</v>
      </c>
      <c r="AH944">
        <v>1</v>
      </c>
      <c r="AI944">
        <v>0</v>
      </c>
      <c r="AJ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12.0062</v>
      </c>
      <c r="AX944">
        <v>3.1666666666666665</v>
      </c>
      <c r="AY944">
        <v>707.99899999999991</v>
      </c>
      <c r="BB944">
        <v>807</v>
      </c>
      <c r="BC944">
        <v>18.399999999999999</v>
      </c>
      <c r="BE944" t="s">
        <v>353</v>
      </c>
      <c r="BF944" t="s">
        <v>197</v>
      </c>
    </row>
    <row r="945" spans="1:58" x14ac:dyDescent="0.45">
      <c r="A945">
        <v>10944</v>
      </c>
      <c r="B945">
        <v>1</v>
      </c>
      <c r="C945">
        <v>80.41</v>
      </c>
      <c r="D945">
        <v>3</v>
      </c>
      <c r="E945">
        <v>7.46</v>
      </c>
      <c r="F945">
        <v>3.13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20</v>
      </c>
      <c r="Y945">
        <v>80</v>
      </c>
      <c r="Z945">
        <v>0</v>
      </c>
      <c r="AA945">
        <v>1</v>
      </c>
      <c r="AB945">
        <v>0</v>
      </c>
      <c r="AC945">
        <v>0</v>
      </c>
      <c r="AD945">
        <v>1</v>
      </c>
      <c r="AE945">
        <v>765</v>
      </c>
      <c r="AF945">
        <v>0.33</v>
      </c>
      <c r="AG945">
        <v>0</v>
      </c>
      <c r="AH945">
        <v>1</v>
      </c>
      <c r="AI945">
        <v>0</v>
      </c>
      <c r="AJ945">
        <v>1</v>
      </c>
      <c r="AK945">
        <v>500</v>
      </c>
      <c r="AL945">
        <v>6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12.0062</v>
      </c>
      <c r="AX945">
        <v>3.1666666666666665</v>
      </c>
      <c r="AY945">
        <v>707.99899999999991</v>
      </c>
      <c r="BB945">
        <v>1390.3</v>
      </c>
      <c r="BC945">
        <v>6.1</v>
      </c>
      <c r="BE945" t="s">
        <v>353</v>
      </c>
      <c r="BF945" t="s">
        <v>197</v>
      </c>
    </row>
    <row r="946" spans="1:58" x14ac:dyDescent="0.45">
      <c r="A946">
        <v>10945</v>
      </c>
      <c r="B946">
        <v>1</v>
      </c>
      <c r="C946">
        <v>80.41</v>
      </c>
      <c r="D946">
        <v>3</v>
      </c>
      <c r="E946">
        <v>7.46</v>
      </c>
      <c r="F946">
        <v>3.13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20</v>
      </c>
      <c r="Y946">
        <v>80</v>
      </c>
      <c r="Z946">
        <v>0</v>
      </c>
      <c r="AA946">
        <v>1</v>
      </c>
      <c r="AB946">
        <v>0</v>
      </c>
      <c r="AC946">
        <v>0</v>
      </c>
      <c r="AD946">
        <v>1</v>
      </c>
      <c r="AE946">
        <v>765</v>
      </c>
      <c r="AF946">
        <v>0.33</v>
      </c>
      <c r="AG946">
        <v>0</v>
      </c>
      <c r="AH946">
        <v>1</v>
      </c>
      <c r="AI946">
        <v>0</v>
      </c>
      <c r="AJ946">
        <v>1</v>
      </c>
      <c r="AK946">
        <v>500</v>
      </c>
      <c r="AL946">
        <v>8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12.0062</v>
      </c>
      <c r="AX946">
        <v>3.1666666666666665</v>
      </c>
      <c r="AY946">
        <v>707.99899999999991</v>
      </c>
      <c r="BB946">
        <v>1420.1</v>
      </c>
      <c r="BC946">
        <v>6.3</v>
      </c>
      <c r="BE946" t="s">
        <v>353</v>
      </c>
      <c r="BF946" t="s">
        <v>197</v>
      </c>
    </row>
    <row r="947" spans="1:58" x14ac:dyDescent="0.45">
      <c r="A947">
        <v>10946</v>
      </c>
      <c r="B947">
        <v>1</v>
      </c>
      <c r="C947">
        <v>80.41</v>
      </c>
      <c r="D947">
        <v>3</v>
      </c>
      <c r="E947">
        <v>7.46</v>
      </c>
      <c r="F947">
        <v>3.13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20</v>
      </c>
      <c r="Y947">
        <v>80</v>
      </c>
      <c r="Z947">
        <v>0</v>
      </c>
      <c r="AA947">
        <v>1</v>
      </c>
      <c r="AB947">
        <v>0</v>
      </c>
      <c r="AC947">
        <v>0</v>
      </c>
      <c r="AD947">
        <v>1</v>
      </c>
      <c r="AE947">
        <v>765</v>
      </c>
      <c r="AF947">
        <v>0.33</v>
      </c>
      <c r="AG947">
        <v>0</v>
      </c>
      <c r="AH947">
        <v>1</v>
      </c>
      <c r="AI947">
        <v>0</v>
      </c>
      <c r="AJ947">
        <v>1</v>
      </c>
      <c r="AK947">
        <v>500</v>
      </c>
      <c r="AL947">
        <v>10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12.0062</v>
      </c>
      <c r="AX947">
        <v>3.1666666666666665</v>
      </c>
      <c r="AY947">
        <v>707.99899999999991</v>
      </c>
      <c r="BB947">
        <v>1369.8</v>
      </c>
      <c r="BC947">
        <v>5.7</v>
      </c>
      <c r="BE947" t="s">
        <v>353</v>
      </c>
      <c r="BF947" t="s">
        <v>197</v>
      </c>
    </row>
    <row r="948" spans="1:58" x14ac:dyDescent="0.45">
      <c r="A948">
        <v>10947</v>
      </c>
      <c r="B948">
        <v>1</v>
      </c>
      <c r="C948">
        <v>80.41</v>
      </c>
      <c r="D948">
        <v>3</v>
      </c>
      <c r="E948">
        <v>7.46</v>
      </c>
      <c r="F948">
        <v>3.13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20</v>
      </c>
      <c r="Y948">
        <v>80</v>
      </c>
      <c r="Z948">
        <v>0</v>
      </c>
      <c r="AA948">
        <v>1</v>
      </c>
      <c r="AB948">
        <v>0</v>
      </c>
      <c r="AC948">
        <v>0</v>
      </c>
      <c r="AD948">
        <v>1</v>
      </c>
      <c r="AE948">
        <v>765</v>
      </c>
      <c r="AF948">
        <v>0.33</v>
      </c>
      <c r="AG948">
        <v>0</v>
      </c>
      <c r="AH948">
        <v>1</v>
      </c>
      <c r="AI948">
        <v>0</v>
      </c>
      <c r="AJ948">
        <v>1</v>
      </c>
      <c r="AK948">
        <v>500</v>
      </c>
      <c r="AL948">
        <v>12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12.0062</v>
      </c>
      <c r="AX948">
        <v>3.1666666666666665</v>
      </c>
      <c r="AY948">
        <v>707.99899999999991</v>
      </c>
      <c r="BB948">
        <v>1344.6</v>
      </c>
      <c r="BC948">
        <v>5</v>
      </c>
      <c r="BE948" t="s">
        <v>353</v>
      </c>
      <c r="BF948" t="s">
        <v>197</v>
      </c>
    </row>
    <row r="949" spans="1:58" x14ac:dyDescent="0.45">
      <c r="A949">
        <v>10948</v>
      </c>
      <c r="B949">
        <v>1</v>
      </c>
      <c r="C949">
        <v>80.41</v>
      </c>
      <c r="D949">
        <v>3</v>
      </c>
      <c r="E949">
        <v>7.46</v>
      </c>
      <c r="F949">
        <v>3.13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20</v>
      </c>
      <c r="Y949">
        <v>80</v>
      </c>
      <c r="Z949">
        <v>0</v>
      </c>
      <c r="AA949">
        <v>1</v>
      </c>
      <c r="AB949">
        <v>0</v>
      </c>
      <c r="AC949">
        <v>0</v>
      </c>
      <c r="AD949">
        <v>1</v>
      </c>
      <c r="AE949">
        <v>800</v>
      </c>
      <c r="AF949">
        <v>0.33</v>
      </c>
      <c r="AG949">
        <v>0</v>
      </c>
      <c r="AH949">
        <v>1</v>
      </c>
      <c r="AI949">
        <v>0</v>
      </c>
      <c r="AJ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12.0062</v>
      </c>
      <c r="AX949">
        <v>3.1666666666666665</v>
      </c>
      <c r="AY949">
        <v>707.99899999999991</v>
      </c>
      <c r="BB949">
        <v>773</v>
      </c>
      <c r="BC949">
        <v>17.3</v>
      </c>
      <c r="BE949" t="s">
        <v>353</v>
      </c>
      <c r="BF949" t="s">
        <v>197</v>
      </c>
    </row>
    <row r="950" spans="1:58" x14ac:dyDescent="0.45">
      <c r="A950">
        <v>10949</v>
      </c>
      <c r="B950">
        <v>0</v>
      </c>
      <c r="C950">
        <v>80.885999999999996</v>
      </c>
      <c r="D950">
        <v>5.0999999999999996</v>
      </c>
      <c r="E950">
        <v>4.97</v>
      </c>
      <c r="F950">
        <v>2.93</v>
      </c>
      <c r="G950">
        <v>0</v>
      </c>
      <c r="H950">
        <v>0</v>
      </c>
      <c r="I950">
        <v>0</v>
      </c>
      <c r="J950">
        <v>1.0900000000000001</v>
      </c>
      <c r="K950">
        <v>0</v>
      </c>
      <c r="L950">
        <v>4.9400000000000004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J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7.8579000000000008</v>
      </c>
      <c r="AX950">
        <v>5.2816666666666663</v>
      </c>
      <c r="AY950">
        <v>744.16000000000008</v>
      </c>
      <c r="BE950" t="s">
        <v>353</v>
      </c>
      <c r="BF950" t="s">
        <v>198</v>
      </c>
    </row>
    <row r="951" spans="1:58" x14ac:dyDescent="0.45">
      <c r="A951">
        <v>10950</v>
      </c>
      <c r="B951">
        <v>0</v>
      </c>
      <c r="C951">
        <v>80.885999999999996</v>
      </c>
      <c r="D951">
        <v>5.0999999999999996</v>
      </c>
      <c r="E951">
        <v>4.97</v>
      </c>
      <c r="F951">
        <v>2.93</v>
      </c>
      <c r="G951">
        <v>0</v>
      </c>
      <c r="H951">
        <v>0</v>
      </c>
      <c r="I951">
        <v>0</v>
      </c>
      <c r="J951">
        <v>1.0900000000000001</v>
      </c>
      <c r="K951">
        <v>0</v>
      </c>
      <c r="L951">
        <v>4.9400000000000004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Z951">
        <v>1</v>
      </c>
      <c r="AA951">
        <v>0</v>
      </c>
      <c r="AB951">
        <v>0</v>
      </c>
      <c r="AC951">
        <v>0</v>
      </c>
      <c r="AD951">
        <v>1</v>
      </c>
      <c r="AE951">
        <v>880</v>
      </c>
      <c r="AF951">
        <v>1.5</v>
      </c>
      <c r="AJ951">
        <v>1</v>
      </c>
      <c r="AK951">
        <v>600</v>
      </c>
      <c r="AL951">
        <v>8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7.8579000000000008</v>
      </c>
      <c r="AX951">
        <v>5.2816666666666663</v>
      </c>
      <c r="AY951">
        <v>744.16000000000008</v>
      </c>
      <c r="BE951" t="s">
        <v>353</v>
      </c>
      <c r="BF951" t="s">
        <v>198</v>
      </c>
    </row>
    <row r="952" spans="1:58" x14ac:dyDescent="0.45">
      <c r="A952">
        <v>10951</v>
      </c>
      <c r="B952">
        <v>0</v>
      </c>
      <c r="C952">
        <v>80.885999999999996</v>
      </c>
      <c r="D952">
        <v>5.0999999999999996</v>
      </c>
      <c r="E952">
        <v>4.97</v>
      </c>
      <c r="F952">
        <v>2.93</v>
      </c>
      <c r="G952">
        <v>0</v>
      </c>
      <c r="H952">
        <v>0</v>
      </c>
      <c r="I952">
        <v>0</v>
      </c>
      <c r="J952">
        <v>1.0900000000000001</v>
      </c>
      <c r="K952">
        <v>0</v>
      </c>
      <c r="L952">
        <v>4.9400000000000004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Z952">
        <v>1</v>
      </c>
      <c r="AA952">
        <v>0</v>
      </c>
      <c r="AB952">
        <v>0</v>
      </c>
      <c r="AC952">
        <v>0</v>
      </c>
      <c r="AD952">
        <v>1</v>
      </c>
      <c r="AE952">
        <v>790</v>
      </c>
      <c r="AF952">
        <v>1.5</v>
      </c>
      <c r="AG952">
        <v>0</v>
      </c>
      <c r="AH952">
        <v>1</v>
      </c>
      <c r="AI952">
        <v>0</v>
      </c>
      <c r="AJ952">
        <v>1</v>
      </c>
      <c r="AK952">
        <v>600</v>
      </c>
      <c r="AL952">
        <v>8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7.8579000000000008</v>
      </c>
      <c r="AX952">
        <v>5.2816666666666663</v>
      </c>
      <c r="AY952">
        <v>744.16000000000008</v>
      </c>
      <c r="BE952" t="s">
        <v>353</v>
      </c>
      <c r="BF952" t="s">
        <v>198</v>
      </c>
    </row>
    <row r="953" spans="1:58" x14ac:dyDescent="0.45">
      <c r="A953">
        <v>10952</v>
      </c>
      <c r="B953">
        <v>0</v>
      </c>
      <c r="C953">
        <v>80.885999999999996</v>
      </c>
      <c r="D953">
        <v>5.0999999999999996</v>
      </c>
      <c r="E953">
        <v>4.97</v>
      </c>
      <c r="F953">
        <v>2.93</v>
      </c>
      <c r="G953">
        <v>0</v>
      </c>
      <c r="H953">
        <v>0</v>
      </c>
      <c r="I953">
        <v>0</v>
      </c>
      <c r="J953">
        <v>1.0900000000000001</v>
      </c>
      <c r="K953">
        <v>0</v>
      </c>
      <c r="L953">
        <v>4.9400000000000004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Z953">
        <v>1</v>
      </c>
      <c r="AA953">
        <v>0</v>
      </c>
      <c r="AB953">
        <v>0</v>
      </c>
      <c r="AC953">
        <v>0</v>
      </c>
      <c r="AD953">
        <v>1</v>
      </c>
      <c r="AE953">
        <v>810</v>
      </c>
      <c r="AF953">
        <v>2</v>
      </c>
      <c r="AG953">
        <v>0</v>
      </c>
      <c r="AH953">
        <v>0</v>
      </c>
      <c r="AI953">
        <v>1</v>
      </c>
      <c r="AJ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7.8579000000000008</v>
      </c>
      <c r="AX953">
        <v>5.2816666666666663</v>
      </c>
      <c r="AY953">
        <v>744.16000000000008</v>
      </c>
      <c r="BE953" t="s">
        <v>353</v>
      </c>
      <c r="BF953" t="s">
        <v>198</v>
      </c>
    </row>
    <row r="954" spans="1:58" x14ac:dyDescent="0.45">
      <c r="A954">
        <v>10953</v>
      </c>
      <c r="B954">
        <v>0</v>
      </c>
      <c r="C954">
        <v>80.885999999999996</v>
      </c>
      <c r="D954">
        <v>5.0999999999999996</v>
      </c>
      <c r="E954">
        <v>4.97</v>
      </c>
      <c r="F954">
        <v>2.93</v>
      </c>
      <c r="G954">
        <v>0</v>
      </c>
      <c r="H954">
        <v>0</v>
      </c>
      <c r="I954">
        <v>0</v>
      </c>
      <c r="J954">
        <v>1.0900000000000001</v>
      </c>
      <c r="K954">
        <v>0</v>
      </c>
      <c r="L954">
        <v>4.9400000000000004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J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7.8579000000000008</v>
      </c>
      <c r="AX954">
        <v>5.2816666666666663</v>
      </c>
      <c r="AY954">
        <v>744.16000000000008</v>
      </c>
      <c r="BE954" t="s">
        <v>353</v>
      </c>
      <c r="BF954" t="s">
        <v>198</v>
      </c>
    </row>
    <row r="955" spans="1:58" x14ac:dyDescent="0.45">
      <c r="A955">
        <v>10954</v>
      </c>
      <c r="B955">
        <v>0</v>
      </c>
      <c r="C955">
        <v>80.885999999999996</v>
      </c>
      <c r="D955">
        <v>5.0999999999999996</v>
      </c>
      <c r="E955">
        <v>4.97</v>
      </c>
      <c r="F955">
        <v>2.93</v>
      </c>
      <c r="G955">
        <v>0</v>
      </c>
      <c r="H955">
        <v>0</v>
      </c>
      <c r="I955">
        <v>0</v>
      </c>
      <c r="J955">
        <v>1.0900000000000001</v>
      </c>
      <c r="K955">
        <v>0</v>
      </c>
      <c r="L955">
        <v>4.9400000000000004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Z955">
        <v>1</v>
      </c>
      <c r="AA955">
        <v>0</v>
      </c>
      <c r="AB955">
        <v>0</v>
      </c>
      <c r="AC955">
        <v>0</v>
      </c>
      <c r="AD955">
        <v>1</v>
      </c>
      <c r="AE955">
        <v>810</v>
      </c>
      <c r="AF955">
        <v>2</v>
      </c>
      <c r="AG955">
        <v>0</v>
      </c>
      <c r="AH955">
        <v>0</v>
      </c>
      <c r="AI955">
        <v>1</v>
      </c>
      <c r="AJ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7.8579000000000008</v>
      </c>
      <c r="AX955">
        <v>5.2816666666666663</v>
      </c>
      <c r="AY955">
        <v>744.16000000000008</v>
      </c>
      <c r="BE955" t="s">
        <v>353</v>
      </c>
      <c r="BF955" t="s">
        <v>198</v>
      </c>
    </row>
    <row r="956" spans="1:58" x14ac:dyDescent="0.45">
      <c r="A956">
        <v>10955</v>
      </c>
      <c r="B956">
        <v>1</v>
      </c>
      <c r="C956">
        <v>79.760000000000005</v>
      </c>
      <c r="D956">
        <v>5.39</v>
      </c>
      <c r="E956">
        <v>4.95</v>
      </c>
      <c r="F956">
        <v>3.9</v>
      </c>
      <c r="G956">
        <v>0</v>
      </c>
      <c r="H956">
        <v>0</v>
      </c>
      <c r="I956">
        <v>0</v>
      </c>
      <c r="J956">
        <v>1.0900000000000001</v>
      </c>
      <c r="K956">
        <v>0</v>
      </c>
      <c r="L956">
        <v>4.8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Z956">
        <v>1</v>
      </c>
      <c r="AA956">
        <v>0</v>
      </c>
      <c r="AB956">
        <v>0</v>
      </c>
      <c r="AC956">
        <v>0</v>
      </c>
      <c r="AD956">
        <v>1</v>
      </c>
      <c r="AE956">
        <v>800</v>
      </c>
      <c r="AF956">
        <v>2</v>
      </c>
      <c r="AG956">
        <v>0</v>
      </c>
      <c r="AH956">
        <v>1</v>
      </c>
      <c r="AI956">
        <v>0</v>
      </c>
      <c r="AJ956">
        <v>1</v>
      </c>
      <c r="AK956">
        <v>600</v>
      </c>
      <c r="AL956">
        <v>6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8.9664999999999999</v>
      </c>
      <c r="AX956">
        <v>5.5716666666666663</v>
      </c>
      <c r="AY956">
        <v>734.59799999999996</v>
      </c>
      <c r="BA956">
        <v>1230.75</v>
      </c>
      <c r="BB956">
        <v>1241.75</v>
      </c>
      <c r="BC956">
        <v>3.7719999999999998</v>
      </c>
      <c r="BE956" t="s">
        <v>353</v>
      </c>
      <c r="BF956" t="s">
        <v>108</v>
      </c>
    </row>
    <row r="957" spans="1:58" x14ac:dyDescent="0.45">
      <c r="A957">
        <v>10956</v>
      </c>
      <c r="B957">
        <v>1</v>
      </c>
      <c r="C957">
        <v>79.760000000000005</v>
      </c>
      <c r="D957">
        <v>5.39</v>
      </c>
      <c r="E957">
        <v>4.95</v>
      </c>
      <c r="F957">
        <v>3.9</v>
      </c>
      <c r="G957">
        <v>0</v>
      </c>
      <c r="H957">
        <v>0</v>
      </c>
      <c r="I957">
        <v>0</v>
      </c>
      <c r="J957">
        <v>1.0900000000000001</v>
      </c>
      <c r="K957">
        <v>0</v>
      </c>
      <c r="L957">
        <v>4.8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Z957">
        <v>1</v>
      </c>
      <c r="AA957">
        <v>0</v>
      </c>
      <c r="AB957">
        <v>0</v>
      </c>
      <c r="AC957">
        <v>0</v>
      </c>
      <c r="AD957">
        <v>1</v>
      </c>
      <c r="AE957">
        <v>800</v>
      </c>
      <c r="AF957">
        <v>2</v>
      </c>
      <c r="AG957">
        <v>0</v>
      </c>
      <c r="AH957">
        <v>1</v>
      </c>
      <c r="AI957">
        <v>0</v>
      </c>
      <c r="AJ957">
        <v>1</v>
      </c>
      <c r="AK957">
        <v>600</v>
      </c>
      <c r="AL957">
        <v>7</v>
      </c>
      <c r="AM957">
        <v>0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8.9664999999999999</v>
      </c>
      <c r="AX957">
        <v>5.5716666666666663</v>
      </c>
      <c r="AY957">
        <v>734.59799999999996</v>
      </c>
      <c r="BA957">
        <v>1234.29</v>
      </c>
      <c r="BB957">
        <v>1265.29</v>
      </c>
      <c r="BC957">
        <v>3.4079999999999999</v>
      </c>
      <c r="BF957" t="s">
        <v>108</v>
      </c>
    </row>
    <row r="958" spans="1:58" x14ac:dyDescent="0.45">
      <c r="A958">
        <v>10957</v>
      </c>
      <c r="B958">
        <v>1</v>
      </c>
      <c r="C958">
        <v>79.760000000000005</v>
      </c>
      <c r="D958">
        <v>5.39</v>
      </c>
      <c r="E958">
        <v>4.95</v>
      </c>
      <c r="F958">
        <v>3.9</v>
      </c>
      <c r="G958">
        <v>0</v>
      </c>
      <c r="H958">
        <v>0</v>
      </c>
      <c r="I958">
        <v>0</v>
      </c>
      <c r="J958">
        <v>1.0900000000000001</v>
      </c>
      <c r="K958">
        <v>0</v>
      </c>
      <c r="L958">
        <v>4.8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Z958">
        <v>1</v>
      </c>
      <c r="AA958">
        <v>0</v>
      </c>
      <c r="AB958">
        <v>0</v>
      </c>
      <c r="AC958">
        <v>0</v>
      </c>
      <c r="AD958">
        <v>1</v>
      </c>
      <c r="AE958">
        <v>800</v>
      </c>
      <c r="AF958">
        <v>2</v>
      </c>
      <c r="AG958">
        <v>0</v>
      </c>
      <c r="AH958">
        <v>1</v>
      </c>
      <c r="AI958">
        <v>0</v>
      </c>
      <c r="AJ958">
        <v>1</v>
      </c>
      <c r="AK958">
        <v>600</v>
      </c>
      <c r="AL958">
        <v>8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8.9664999999999999</v>
      </c>
      <c r="AX958">
        <v>5.5716666666666663</v>
      </c>
      <c r="AY958">
        <v>734.59799999999996</v>
      </c>
      <c r="BA958">
        <v>1255.3399999999999</v>
      </c>
      <c r="BB958">
        <v>1277.3399999999999</v>
      </c>
      <c r="BC958">
        <v>4.9790000000000001</v>
      </c>
      <c r="BE958" t="s">
        <v>354</v>
      </c>
      <c r="BF958" t="s">
        <v>108</v>
      </c>
    </row>
    <row r="959" spans="1:58" x14ac:dyDescent="0.45">
      <c r="A959">
        <v>10958</v>
      </c>
      <c r="B959">
        <v>1</v>
      </c>
      <c r="C959">
        <v>79.760000000000005</v>
      </c>
      <c r="D959">
        <v>5.39</v>
      </c>
      <c r="E959">
        <v>4.95</v>
      </c>
      <c r="F959">
        <v>3.9</v>
      </c>
      <c r="G959">
        <v>0</v>
      </c>
      <c r="H959">
        <v>0</v>
      </c>
      <c r="I959">
        <v>0</v>
      </c>
      <c r="J959">
        <v>1.0900000000000001</v>
      </c>
      <c r="K959">
        <v>0</v>
      </c>
      <c r="L959">
        <v>4.8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Z959">
        <v>1</v>
      </c>
      <c r="AA959">
        <v>0</v>
      </c>
      <c r="AB959">
        <v>0</v>
      </c>
      <c r="AC959">
        <v>0</v>
      </c>
      <c r="AD959">
        <v>1</v>
      </c>
      <c r="AE959">
        <v>800</v>
      </c>
      <c r="AF959">
        <v>2</v>
      </c>
      <c r="AG959">
        <v>0</v>
      </c>
      <c r="AH959">
        <v>1</v>
      </c>
      <c r="AI959">
        <v>0</v>
      </c>
      <c r="AJ959">
        <v>1</v>
      </c>
      <c r="AK959">
        <v>600</v>
      </c>
      <c r="AL959">
        <v>9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8.9664999999999999</v>
      </c>
      <c r="AX959">
        <v>5.5716666666666663</v>
      </c>
      <c r="AY959">
        <v>734.59799999999996</v>
      </c>
      <c r="BA959">
        <v>1238</v>
      </c>
      <c r="BB959">
        <v>1268</v>
      </c>
      <c r="BC959">
        <v>4.3109999999999999</v>
      </c>
      <c r="BE959" t="s">
        <v>354</v>
      </c>
      <c r="BF959" t="s">
        <v>108</v>
      </c>
    </row>
    <row r="960" spans="1:58" x14ac:dyDescent="0.45">
      <c r="A960">
        <v>10959</v>
      </c>
      <c r="B960">
        <v>1</v>
      </c>
      <c r="C960">
        <v>79.760000000000005</v>
      </c>
      <c r="D960">
        <v>5.39</v>
      </c>
      <c r="E960">
        <v>4.95</v>
      </c>
      <c r="F960">
        <v>3.9</v>
      </c>
      <c r="G960">
        <v>0</v>
      </c>
      <c r="H960">
        <v>0</v>
      </c>
      <c r="I960">
        <v>0</v>
      </c>
      <c r="J960">
        <v>1.0900000000000001</v>
      </c>
      <c r="K960">
        <v>0</v>
      </c>
      <c r="L960">
        <v>4.8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Z960">
        <v>1</v>
      </c>
      <c r="AA960">
        <v>0</v>
      </c>
      <c r="AB960">
        <v>0</v>
      </c>
      <c r="AC960">
        <v>0</v>
      </c>
      <c r="AD960">
        <v>1</v>
      </c>
      <c r="AE960">
        <v>800</v>
      </c>
      <c r="AF960">
        <v>2</v>
      </c>
      <c r="AG960">
        <v>0</v>
      </c>
      <c r="AH960">
        <v>1</v>
      </c>
      <c r="AI960">
        <v>0</v>
      </c>
      <c r="AJ960">
        <v>1</v>
      </c>
      <c r="AK960">
        <v>600</v>
      </c>
      <c r="AL960">
        <v>10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8.9664999999999999</v>
      </c>
      <c r="AX960">
        <v>5.5716666666666663</v>
      </c>
      <c r="AY960">
        <v>734.59799999999996</v>
      </c>
      <c r="BA960">
        <v>1219.6600000000001</v>
      </c>
      <c r="BB960">
        <v>1255.6600000000001</v>
      </c>
      <c r="BC960">
        <v>5.6360000000000001</v>
      </c>
      <c r="BE960" t="s">
        <v>354</v>
      </c>
      <c r="BF960" t="s">
        <v>108</v>
      </c>
    </row>
    <row r="961" spans="1:58" x14ac:dyDescent="0.45">
      <c r="A961">
        <v>10960</v>
      </c>
      <c r="B961">
        <v>1</v>
      </c>
      <c r="C961">
        <v>79.760000000000005</v>
      </c>
      <c r="D961">
        <v>5.39</v>
      </c>
      <c r="E961">
        <v>4.95</v>
      </c>
      <c r="F961">
        <v>3.9</v>
      </c>
      <c r="G961">
        <v>0</v>
      </c>
      <c r="H961">
        <v>0</v>
      </c>
      <c r="I961">
        <v>0</v>
      </c>
      <c r="J961">
        <v>1.0900000000000001</v>
      </c>
      <c r="K961">
        <v>0</v>
      </c>
      <c r="L961">
        <v>4.8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Z961">
        <v>1</v>
      </c>
      <c r="AA961">
        <v>0</v>
      </c>
      <c r="AB961">
        <v>0</v>
      </c>
      <c r="AC961">
        <v>0</v>
      </c>
      <c r="AD961">
        <v>1</v>
      </c>
      <c r="AE961">
        <v>800</v>
      </c>
      <c r="AF961">
        <v>2</v>
      </c>
      <c r="AG961">
        <v>0</v>
      </c>
      <c r="AH961">
        <v>1</v>
      </c>
      <c r="AI961">
        <v>0</v>
      </c>
      <c r="AJ961">
        <v>1</v>
      </c>
      <c r="AK961">
        <v>620</v>
      </c>
      <c r="AL961">
        <v>6</v>
      </c>
      <c r="AM961">
        <v>0</v>
      </c>
      <c r="AN961">
        <v>1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8.9664999999999999</v>
      </c>
      <c r="AX961">
        <v>5.5716666666666663</v>
      </c>
      <c r="AY961">
        <v>734.59799999999996</v>
      </c>
      <c r="BA961">
        <v>1144.8900000000001</v>
      </c>
      <c r="BB961">
        <v>1176.8900000000001</v>
      </c>
      <c r="BC961">
        <v>3.431</v>
      </c>
      <c r="BF961" t="s">
        <v>108</v>
      </c>
    </row>
    <row r="962" spans="1:58" x14ac:dyDescent="0.45">
      <c r="A962">
        <v>10961</v>
      </c>
      <c r="B962">
        <v>1</v>
      </c>
      <c r="C962">
        <v>79.760000000000005</v>
      </c>
      <c r="D962">
        <v>5.39</v>
      </c>
      <c r="E962">
        <v>4.95</v>
      </c>
      <c r="F962">
        <v>3.9</v>
      </c>
      <c r="G962">
        <v>0</v>
      </c>
      <c r="H962">
        <v>0</v>
      </c>
      <c r="I962">
        <v>0</v>
      </c>
      <c r="J962">
        <v>1.0900000000000001</v>
      </c>
      <c r="K962">
        <v>0</v>
      </c>
      <c r="L962">
        <v>4.8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Z962">
        <v>1</v>
      </c>
      <c r="AA962">
        <v>0</v>
      </c>
      <c r="AB962">
        <v>0</v>
      </c>
      <c r="AC962">
        <v>0</v>
      </c>
      <c r="AD962">
        <v>1</v>
      </c>
      <c r="AE962">
        <v>800</v>
      </c>
      <c r="AF962">
        <v>2</v>
      </c>
      <c r="AG962">
        <v>0</v>
      </c>
      <c r="AH962">
        <v>1</v>
      </c>
      <c r="AI962">
        <v>0</v>
      </c>
      <c r="AJ962">
        <v>1</v>
      </c>
      <c r="AK962">
        <v>620</v>
      </c>
      <c r="AL962">
        <v>7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8.9664999999999999</v>
      </c>
      <c r="AX962">
        <v>5.5716666666666663</v>
      </c>
      <c r="AY962">
        <v>734.59799999999996</v>
      </c>
      <c r="BA962">
        <v>1170.47</v>
      </c>
      <c r="BB962">
        <v>1196.47</v>
      </c>
      <c r="BC962">
        <v>4.1500000000000004</v>
      </c>
      <c r="BF962" t="s">
        <v>108</v>
      </c>
    </row>
    <row r="963" spans="1:58" x14ac:dyDescent="0.45">
      <c r="A963">
        <v>10962</v>
      </c>
      <c r="B963">
        <v>1</v>
      </c>
      <c r="C963">
        <v>79.760000000000005</v>
      </c>
      <c r="D963">
        <v>5.39</v>
      </c>
      <c r="E963">
        <v>4.95</v>
      </c>
      <c r="F963">
        <v>3.9</v>
      </c>
      <c r="G963">
        <v>0</v>
      </c>
      <c r="H963">
        <v>0</v>
      </c>
      <c r="I963">
        <v>0</v>
      </c>
      <c r="J963">
        <v>1.0900000000000001</v>
      </c>
      <c r="K963">
        <v>0</v>
      </c>
      <c r="L963">
        <v>4.8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Z963">
        <v>1</v>
      </c>
      <c r="AA963">
        <v>0</v>
      </c>
      <c r="AB963">
        <v>0</v>
      </c>
      <c r="AC963">
        <v>0</v>
      </c>
      <c r="AD963">
        <v>1</v>
      </c>
      <c r="AE963">
        <v>800</v>
      </c>
      <c r="AF963">
        <v>2</v>
      </c>
      <c r="AG963">
        <v>0</v>
      </c>
      <c r="AH963">
        <v>1</v>
      </c>
      <c r="AI963">
        <v>0</v>
      </c>
      <c r="AJ963">
        <v>1</v>
      </c>
      <c r="AK963">
        <v>620</v>
      </c>
      <c r="AL963">
        <v>8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8.9664999999999999</v>
      </c>
      <c r="AX963">
        <v>5.5716666666666663</v>
      </c>
      <c r="AY963">
        <v>734.59799999999996</v>
      </c>
      <c r="BA963">
        <v>1178.9000000000001</v>
      </c>
      <c r="BB963">
        <v>1216.9000000000001</v>
      </c>
      <c r="BC963">
        <v>7.7450000000000001</v>
      </c>
      <c r="BF963" t="s">
        <v>108</v>
      </c>
    </row>
    <row r="964" spans="1:58" x14ac:dyDescent="0.45">
      <c r="A964">
        <v>10963</v>
      </c>
      <c r="B964">
        <v>1</v>
      </c>
      <c r="C964">
        <v>79.760000000000005</v>
      </c>
      <c r="D964">
        <v>5.39</v>
      </c>
      <c r="E964">
        <v>4.95</v>
      </c>
      <c r="F964">
        <v>3.9</v>
      </c>
      <c r="G964">
        <v>0</v>
      </c>
      <c r="H964">
        <v>0</v>
      </c>
      <c r="I964">
        <v>0</v>
      </c>
      <c r="J964">
        <v>1.0900000000000001</v>
      </c>
      <c r="K964">
        <v>0</v>
      </c>
      <c r="L964">
        <v>4.8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Z964">
        <v>1</v>
      </c>
      <c r="AA964">
        <v>0</v>
      </c>
      <c r="AB964">
        <v>0</v>
      </c>
      <c r="AC964">
        <v>0</v>
      </c>
      <c r="AD964">
        <v>1</v>
      </c>
      <c r="AE964">
        <v>800</v>
      </c>
      <c r="AF964">
        <v>2</v>
      </c>
      <c r="AG964">
        <v>0</v>
      </c>
      <c r="AH964">
        <v>1</v>
      </c>
      <c r="AI964">
        <v>0</v>
      </c>
      <c r="AJ964">
        <v>1</v>
      </c>
      <c r="AK964">
        <v>620</v>
      </c>
      <c r="AL964">
        <v>9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8.9664999999999999</v>
      </c>
      <c r="AX964">
        <v>5.5716666666666663</v>
      </c>
      <c r="AY964">
        <v>734.59799999999996</v>
      </c>
      <c r="BA964">
        <v>1163.05</v>
      </c>
      <c r="BB964">
        <v>1193.05</v>
      </c>
      <c r="BC964">
        <v>8.8780000000000001</v>
      </c>
      <c r="BF964" t="s">
        <v>108</v>
      </c>
    </row>
    <row r="965" spans="1:58" x14ac:dyDescent="0.45">
      <c r="A965">
        <v>10964</v>
      </c>
      <c r="B965">
        <v>1</v>
      </c>
      <c r="C965">
        <v>79.760000000000005</v>
      </c>
      <c r="D965">
        <v>5.39</v>
      </c>
      <c r="E965">
        <v>4.95</v>
      </c>
      <c r="F965">
        <v>3.9</v>
      </c>
      <c r="G965">
        <v>0</v>
      </c>
      <c r="H965">
        <v>0</v>
      </c>
      <c r="I965">
        <v>0</v>
      </c>
      <c r="J965">
        <v>1.0900000000000001</v>
      </c>
      <c r="K965">
        <v>0</v>
      </c>
      <c r="L965">
        <v>4.8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Z965">
        <v>1</v>
      </c>
      <c r="AA965">
        <v>0</v>
      </c>
      <c r="AB965">
        <v>0</v>
      </c>
      <c r="AC965">
        <v>0</v>
      </c>
      <c r="AD965">
        <v>1</v>
      </c>
      <c r="AE965">
        <v>800</v>
      </c>
      <c r="AF965">
        <v>2</v>
      </c>
      <c r="AG965">
        <v>0</v>
      </c>
      <c r="AH965">
        <v>1</v>
      </c>
      <c r="AI965">
        <v>0</v>
      </c>
      <c r="AJ965">
        <v>1</v>
      </c>
      <c r="AK965">
        <v>620</v>
      </c>
      <c r="AL965">
        <v>10</v>
      </c>
      <c r="AM965">
        <v>0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8.9664999999999999</v>
      </c>
      <c r="AX965">
        <v>5.5716666666666663</v>
      </c>
      <c r="AY965">
        <v>734.59799999999996</v>
      </c>
      <c r="BA965">
        <v>1140.98</v>
      </c>
      <c r="BB965">
        <v>1176.98</v>
      </c>
      <c r="BC965">
        <v>7.2370000000000001</v>
      </c>
      <c r="BE965" t="s">
        <v>355</v>
      </c>
      <c r="BF965" t="s">
        <v>108</v>
      </c>
    </row>
    <row r="966" spans="1:58" x14ac:dyDescent="0.45">
      <c r="A966">
        <v>10965</v>
      </c>
      <c r="B966">
        <v>1</v>
      </c>
      <c r="C966">
        <v>79.760000000000005</v>
      </c>
      <c r="D966">
        <v>5.39</v>
      </c>
      <c r="E966">
        <v>4.95</v>
      </c>
      <c r="F966">
        <v>3.9</v>
      </c>
      <c r="G966">
        <v>0</v>
      </c>
      <c r="H966">
        <v>0</v>
      </c>
      <c r="I966">
        <v>0</v>
      </c>
      <c r="J966">
        <v>1.0900000000000001</v>
      </c>
      <c r="K966">
        <v>0</v>
      </c>
      <c r="L966">
        <v>4.8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Z966">
        <v>1</v>
      </c>
      <c r="AA966">
        <v>0</v>
      </c>
      <c r="AB966">
        <v>0</v>
      </c>
      <c r="AC966">
        <v>0</v>
      </c>
      <c r="AD966">
        <v>1</v>
      </c>
      <c r="AE966">
        <v>800</v>
      </c>
      <c r="AF966">
        <v>2</v>
      </c>
      <c r="AG966">
        <v>0</v>
      </c>
      <c r="AH966">
        <v>1</v>
      </c>
      <c r="AI966">
        <v>0</v>
      </c>
      <c r="AJ966">
        <v>1</v>
      </c>
      <c r="AK966">
        <v>640</v>
      </c>
      <c r="AL966">
        <v>6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8.9664999999999999</v>
      </c>
      <c r="AX966">
        <v>5.5716666666666663</v>
      </c>
      <c r="AY966">
        <v>734.59799999999996</v>
      </c>
      <c r="BA966">
        <v>1120.8900000000001</v>
      </c>
      <c r="BB966">
        <v>1169.8900000000001</v>
      </c>
      <c r="BC966">
        <v>4.2640000000000002</v>
      </c>
      <c r="BE966" t="s">
        <v>355</v>
      </c>
      <c r="BF966" t="s">
        <v>108</v>
      </c>
    </row>
    <row r="967" spans="1:58" x14ac:dyDescent="0.45">
      <c r="A967">
        <v>10966</v>
      </c>
      <c r="B967">
        <v>1</v>
      </c>
      <c r="C967">
        <v>79.760000000000005</v>
      </c>
      <c r="D967">
        <v>5.39</v>
      </c>
      <c r="E967">
        <v>4.95</v>
      </c>
      <c r="F967">
        <v>3.9</v>
      </c>
      <c r="G967">
        <v>0</v>
      </c>
      <c r="H967">
        <v>0</v>
      </c>
      <c r="I967">
        <v>0</v>
      </c>
      <c r="J967">
        <v>1.0900000000000001</v>
      </c>
      <c r="K967">
        <v>0</v>
      </c>
      <c r="L967">
        <v>4.8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Z967">
        <v>1</v>
      </c>
      <c r="AA967">
        <v>0</v>
      </c>
      <c r="AB967">
        <v>0</v>
      </c>
      <c r="AC967">
        <v>0</v>
      </c>
      <c r="AD967">
        <v>1</v>
      </c>
      <c r="AE967">
        <v>800</v>
      </c>
      <c r="AF967">
        <v>2</v>
      </c>
      <c r="AG967">
        <v>0</v>
      </c>
      <c r="AH967">
        <v>1</v>
      </c>
      <c r="AI967">
        <v>0</v>
      </c>
      <c r="AJ967">
        <v>1</v>
      </c>
      <c r="AK967">
        <v>640</v>
      </c>
      <c r="AL967">
        <v>7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8.9664999999999999</v>
      </c>
      <c r="AX967">
        <v>5.5716666666666663</v>
      </c>
      <c r="AY967">
        <v>734.59799999999996</v>
      </c>
      <c r="BA967">
        <v>1138</v>
      </c>
      <c r="BB967">
        <v>1168</v>
      </c>
      <c r="BC967">
        <v>7.4560000000000004</v>
      </c>
      <c r="BE967" t="s">
        <v>355</v>
      </c>
      <c r="BF967" t="s">
        <v>108</v>
      </c>
    </row>
    <row r="968" spans="1:58" x14ac:dyDescent="0.45">
      <c r="A968">
        <v>10967</v>
      </c>
      <c r="B968">
        <v>1</v>
      </c>
      <c r="C968">
        <v>79.760000000000005</v>
      </c>
      <c r="D968">
        <v>5.39</v>
      </c>
      <c r="E968">
        <v>4.95</v>
      </c>
      <c r="F968">
        <v>3.9</v>
      </c>
      <c r="G968">
        <v>0</v>
      </c>
      <c r="H968">
        <v>0</v>
      </c>
      <c r="I968">
        <v>0</v>
      </c>
      <c r="J968">
        <v>1.0900000000000001</v>
      </c>
      <c r="K968">
        <v>0</v>
      </c>
      <c r="L968">
        <v>4.8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>
        <v>800</v>
      </c>
      <c r="AF968">
        <v>2</v>
      </c>
      <c r="AG968">
        <v>0</v>
      </c>
      <c r="AH968">
        <v>1</v>
      </c>
      <c r="AI968">
        <v>0</v>
      </c>
      <c r="AJ968">
        <v>1</v>
      </c>
      <c r="AK968">
        <v>640</v>
      </c>
      <c r="AL968">
        <v>8</v>
      </c>
      <c r="AM968">
        <v>0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8.9664999999999999</v>
      </c>
      <c r="AX968">
        <v>5.5716666666666663</v>
      </c>
      <c r="AY968">
        <v>734.59799999999996</v>
      </c>
      <c r="BA968">
        <v>1150.1500000000001</v>
      </c>
      <c r="BB968">
        <v>1185.1500000000001</v>
      </c>
      <c r="BC968">
        <v>6.5209999999999999</v>
      </c>
      <c r="BE968" t="s">
        <v>355</v>
      </c>
      <c r="BF968" t="s">
        <v>108</v>
      </c>
    </row>
    <row r="969" spans="1:58" x14ac:dyDescent="0.45">
      <c r="A969">
        <v>10968</v>
      </c>
      <c r="B969">
        <v>1</v>
      </c>
      <c r="C969">
        <v>79.760000000000005</v>
      </c>
      <c r="D969">
        <v>5.39</v>
      </c>
      <c r="E969">
        <v>4.95</v>
      </c>
      <c r="F969">
        <v>3.9</v>
      </c>
      <c r="G969">
        <v>0</v>
      </c>
      <c r="H969">
        <v>0</v>
      </c>
      <c r="I969">
        <v>0</v>
      </c>
      <c r="J969">
        <v>1.0900000000000001</v>
      </c>
      <c r="K969">
        <v>0</v>
      </c>
      <c r="L969">
        <v>4.8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Z969">
        <v>1</v>
      </c>
      <c r="AA969">
        <v>0</v>
      </c>
      <c r="AB969">
        <v>0</v>
      </c>
      <c r="AC969">
        <v>0</v>
      </c>
      <c r="AD969">
        <v>1</v>
      </c>
      <c r="AE969">
        <v>800</v>
      </c>
      <c r="AF969">
        <v>2</v>
      </c>
      <c r="AG969">
        <v>0</v>
      </c>
      <c r="AH969">
        <v>1</v>
      </c>
      <c r="AI969">
        <v>0</v>
      </c>
      <c r="AJ969">
        <v>1</v>
      </c>
      <c r="AK969">
        <v>640</v>
      </c>
      <c r="AL969">
        <v>9</v>
      </c>
      <c r="AM969">
        <v>0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8.9664999999999999</v>
      </c>
      <c r="AX969">
        <v>5.5716666666666663</v>
      </c>
      <c r="AY969">
        <v>734.59799999999996</v>
      </c>
      <c r="BA969">
        <v>1142.9100000000001</v>
      </c>
      <c r="BB969">
        <v>1173.9100000000001</v>
      </c>
      <c r="BC969">
        <v>6.9349999999999996</v>
      </c>
      <c r="BE969" t="s">
        <v>355</v>
      </c>
      <c r="BF969" t="s">
        <v>108</v>
      </c>
    </row>
    <row r="970" spans="1:58" x14ac:dyDescent="0.45">
      <c r="A970">
        <v>10969</v>
      </c>
      <c r="B970">
        <v>1</v>
      </c>
      <c r="C970">
        <v>79.760000000000005</v>
      </c>
      <c r="D970">
        <v>5.39</v>
      </c>
      <c r="E970">
        <v>4.95</v>
      </c>
      <c r="F970">
        <v>3.9</v>
      </c>
      <c r="G970">
        <v>0</v>
      </c>
      <c r="H970">
        <v>0</v>
      </c>
      <c r="I970">
        <v>0</v>
      </c>
      <c r="J970">
        <v>1.0900000000000001</v>
      </c>
      <c r="K970">
        <v>0</v>
      </c>
      <c r="L970">
        <v>4.8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Z970">
        <v>1</v>
      </c>
      <c r="AA970">
        <v>0</v>
      </c>
      <c r="AB970">
        <v>0</v>
      </c>
      <c r="AC970">
        <v>0</v>
      </c>
      <c r="AD970">
        <v>1</v>
      </c>
      <c r="AE970">
        <v>800</v>
      </c>
      <c r="AF970">
        <v>2</v>
      </c>
      <c r="AG970">
        <v>0</v>
      </c>
      <c r="AH970">
        <v>1</v>
      </c>
      <c r="AI970">
        <v>0</v>
      </c>
      <c r="AJ970">
        <v>1</v>
      </c>
      <c r="AK970">
        <v>640</v>
      </c>
      <c r="AL970">
        <v>10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8.9664999999999999</v>
      </c>
      <c r="AX970">
        <v>5.5716666666666663</v>
      </c>
      <c r="AY970">
        <v>734.59799999999996</v>
      </c>
      <c r="BA970">
        <v>1129.5899999999999</v>
      </c>
      <c r="BB970">
        <v>1165.5899999999999</v>
      </c>
      <c r="BC970">
        <v>5.1959999999999997</v>
      </c>
      <c r="BE970" t="s">
        <v>355</v>
      </c>
      <c r="BF970" t="s">
        <v>108</v>
      </c>
    </row>
    <row r="971" spans="1:58" x14ac:dyDescent="0.45">
      <c r="A971">
        <v>10970</v>
      </c>
      <c r="B971">
        <v>1</v>
      </c>
      <c r="C971">
        <v>79.760000000000005</v>
      </c>
      <c r="D971">
        <v>5.39</v>
      </c>
      <c r="E971">
        <v>4.95</v>
      </c>
      <c r="F971">
        <v>3.9</v>
      </c>
      <c r="G971">
        <v>0</v>
      </c>
      <c r="H971">
        <v>0</v>
      </c>
      <c r="I971">
        <v>0</v>
      </c>
      <c r="J971">
        <v>1.0900000000000001</v>
      </c>
      <c r="K971">
        <v>0</v>
      </c>
      <c r="L971">
        <v>4.8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Z971">
        <v>1</v>
      </c>
      <c r="AA971">
        <v>0</v>
      </c>
      <c r="AB971">
        <v>0</v>
      </c>
      <c r="AC971">
        <v>0</v>
      </c>
      <c r="AD971">
        <v>1</v>
      </c>
      <c r="AE971">
        <v>860</v>
      </c>
      <c r="AF971">
        <v>1.5</v>
      </c>
      <c r="AG971">
        <v>0</v>
      </c>
      <c r="AH971">
        <v>1</v>
      </c>
      <c r="AI971">
        <v>0</v>
      </c>
      <c r="AJ971">
        <v>1</v>
      </c>
      <c r="AK971">
        <v>600</v>
      </c>
      <c r="AL971">
        <v>9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8.9664999999999999</v>
      </c>
      <c r="AX971">
        <v>5.5716666666666663</v>
      </c>
      <c r="AY971">
        <v>734.59799999999996</v>
      </c>
      <c r="BA971">
        <v>1158.93</v>
      </c>
      <c r="BB971">
        <v>1196.83</v>
      </c>
      <c r="BF971" t="s">
        <v>108</v>
      </c>
    </row>
    <row r="972" spans="1:58" x14ac:dyDescent="0.45">
      <c r="A972">
        <v>10971</v>
      </c>
      <c r="B972">
        <v>1</v>
      </c>
      <c r="C972">
        <v>79.760000000000005</v>
      </c>
      <c r="D972">
        <v>5.39</v>
      </c>
      <c r="E972">
        <v>4.95</v>
      </c>
      <c r="F972">
        <v>3.9</v>
      </c>
      <c r="G972">
        <v>0</v>
      </c>
      <c r="H972">
        <v>0</v>
      </c>
      <c r="I972">
        <v>0</v>
      </c>
      <c r="J972">
        <v>1.0900000000000001</v>
      </c>
      <c r="K972">
        <v>0</v>
      </c>
      <c r="L972">
        <v>4.8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880</v>
      </c>
      <c r="AF972">
        <v>1.5</v>
      </c>
      <c r="AG972">
        <v>0</v>
      </c>
      <c r="AH972">
        <v>1</v>
      </c>
      <c r="AI972">
        <v>0</v>
      </c>
      <c r="AJ972">
        <v>1</v>
      </c>
      <c r="AK972">
        <v>620</v>
      </c>
      <c r="AL972">
        <v>9</v>
      </c>
      <c r="AM972">
        <v>0</v>
      </c>
      <c r="AN972">
        <v>1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8.9664999999999999</v>
      </c>
      <c r="AX972">
        <v>5.5716666666666663</v>
      </c>
      <c r="AY972">
        <v>734.59799999999996</v>
      </c>
      <c r="BA972">
        <v>1133.51</v>
      </c>
      <c r="BB972">
        <v>1180.6600000000001</v>
      </c>
      <c r="BF972" t="s">
        <v>108</v>
      </c>
    </row>
    <row r="973" spans="1:58" x14ac:dyDescent="0.45">
      <c r="A973">
        <v>10972</v>
      </c>
      <c r="B973">
        <v>1</v>
      </c>
      <c r="C973">
        <v>79.760000000000005</v>
      </c>
      <c r="D973">
        <v>5.39</v>
      </c>
      <c r="E973">
        <v>4.95</v>
      </c>
      <c r="F973">
        <v>3.9</v>
      </c>
      <c r="G973">
        <v>0</v>
      </c>
      <c r="H973">
        <v>0</v>
      </c>
      <c r="I973">
        <v>0</v>
      </c>
      <c r="J973">
        <v>1.0900000000000001</v>
      </c>
      <c r="K973">
        <v>0</v>
      </c>
      <c r="L973">
        <v>4.8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Z973">
        <v>1</v>
      </c>
      <c r="AA973">
        <v>0</v>
      </c>
      <c r="AB973">
        <v>0</v>
      </c>
      <c r="AC973">
        <v>0</v>
      </c>
      <c r="AD973">
        <v>1</v>
      </c>
      <c r="AE973">
        <v>900</v>
      </c>
      <c r="AF973">
        <v>1.5</v>
      </c>
      <c r="AG973">
        <v>0</v>
      </c>
      <c r="AH973">
        <v>1</v>
      </c>
      <c r="AI973">
        <v>0</v>
      </c>
      <c r="AJ973">
        <v>1</v>
      </c>
      <c r="AK973">
        <v>580</v>
      </c>
      <c r="AL973">
        <v>9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8.9664999999999999</v>
      </c>
      <c r="AX973">
        <v>5.5716666666666663</v>
      </c>
      <c r="AY973">
        <v>734.59799999999996</v>
      </c>
      <c r="BA973">
        <v>1263.77</v>
      </c>
      <c r="BB973">
        <v>1316.93</v>
      </c>
      <c r="BF973" t="s">
        <v>108</v>
      </c>
    </row>
    <row r="974" spans="1:58" x14ac:dyDescent="0.45">
      <c r="A974">
        <v>10973</v>
      </c>
      <c r="B974">
        <v>1</v>
      </c>
      <c r="C974">
        <v>79.760000000000005</v>
      </c>
      <c r="D974">
        <v>5.39</v>
      </c>
      <c r="E974">
        <v>4.95</v>
      </c>
      <c r="F974">
        <v>3.9</v>
      </c>
      <c r="G974">
        <v>0</v>
      </c>
      <c r="H974">
        <v>0</v>
      </c>
      <c r="I974">
        <v>0</v>
      </c>
      <c r="J974">
        <v>1.0900000000000001</v>
      </c>
      <c r="K974">
        <v>0</v>
      </c>
      <c r="L974">
        <v>4.8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Z974">
        <v>1</v>
      </c>
      <c r="AA974">
        <v>0</v>
      </c>
      <c r="AB974">
        <v>0</v>
      </c>
      <c r="AC974">
        <v>0</v>
      </c>
      <c r="AD974">
        <v>1</v>
      </c>
      <c r="AE974">
        <v>900</v>
      </c>
      <c r="AF974">
        <v>1.5</v>
      </c>
      <c r="AG974">
        <v>0</v>
      </c>
      <c r="AH974">
        <v>1</v>
      </c>
      <c r="AI974">
        <v>0</v>
      </c>
      <c r="AJ974">
        <v>1</v>
      </c>
      <c r="AK974">
        <v>600</v>
      </c>
      <c r="AL974">
        <v>9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8.9664999999999999</v>
      </c>
      <c r="AX974">
        <v>5.5716666666666663</v>
      </c>
      <c r="AY974">
        <v>734.59799999999996</v>
      </c>
      <c r="BA974">
        <v>1239.08</v>
      </c>
      <c r="BB974">
        <v>1268.04</v>
      </c>
      <c r="BF974" t="s">
        <v>108</v>
      </c>
    </row>
    <row r="975" spans="1:58" x14ac:dyDescent="0.45">
      <c r="A975">
        <v>10974</v>
      </c>
      <c r="B975">
        <v>1</v>
      </c>
      <c r="C975">
        <v>79.760000000000005</v>
      </c>
      <c r="D975">
        <v>5.39</v>
      </c>
      <c r="E975">
        <v>4.95</v>
      </c>
      <c r="F975">
        <v>3.9</v>
      </c>
      <c r="G975">
        <v>0</v>
      </c>
      <c r="H975">
        <v>0</v>
      </c>
      <c r="I975">
        <v>0</v>
      </c>
      <c r="J975">
        <v>1.0900000000000001</v>
      </c>
      <c r="K975">
        <v>0</v>
      </c>
      <c r="L975">
        <v>4.8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Z975">
        <v>1</v>
      </c>
      <c r="AA975">
        <v>0</v>
      </c>
      <c r="AB975">
        <v>0</v>
      </c>
      <c r="AC975">
        <v>0</v>
      </c>
      <c r="AD975">
        <v>1</v>
      </c>
      <c r="AE975">
        <v>900</v>
      </c>
      <c r="AF975">
        <v>1.5</v>
      </c>
      <c r="AG975">
        <v>0</v>
      </c>
      <c r="AH975">
        <v>1</v>
      </c>
      <c r="AI975">
        <v>0</v>
      </c>
      <c r="AJ975">
        <v>1</v>
      </c>
      <c r="AK975">
        <v>620</v>
      </c>
      <c r="AL975">
        <v>6</v>
      </c>
      <c r="AM975">
        <v>0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8.9664999999999999</v>
      </c>
      <c r="AX975">
        <v>5.5716666666666663</v>
      </c>
      <c r="AY975">
        <v>734.59799999999996</v>
      </c>
      <c r="BA975">
        <v>1105.5</v>
      </c>
      <c r="BB975">
        <v>1153.17</v>
      </c>
      <c r="BF975" t="s">
        <v>108</v>
      </c>
    </row>
    <row r="976" spans="1:58" x14ac:dyDescent="0.45">
      <c r="A976">
        <v>10975</v>
      </c>
      <c r="B976">
        <v>1</v>
      </c>
      <c r="C976">
        <v>79.760000000000005</v>
      </c>
      <c r="D976">
        <v>5.39</v>
      </c>
      <c r="E976">
        <v>4.95</v>
      </c>
      <c r="F976">
        <v>3.9</v>
      </c>
      <c r="G976">
        <v>0</v>
      </c>
      <c r="H976">
        <v>0</v>
      </c>
      <c r="I976">
        <v>0</v>
      </c>
      <c r="J976">
        <v>1.0900000000000001</v>
      </c>
      <c r="K976">
        <v>0</v>
      </c>
      <c r="L976">
        <v>4.8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Z976">
        <v>1</v>
      </c>
      <c r="AA976">
        <v>0</v>
      </c>
      <c r="AB976">
        <v>0</v>
      </c>
      <c r="AC976">
        <v>0</v>
      </c>
      <c r="AD976">
        <v>1</v>
      </c>
      <c r="AE976">
        <v>900</v>
      </c>
      <c r="AF976">
        <v>1.5</v>
      </c>
      <c r="AG976">
        <v>0</v>
      </c>
      <c r="AH976">
        <v>1</v>
      </c>
      <c r="AI976">
        <v>0</v>
      </c>
      <c r="AJ976">
        <v>1</v>
      </c>
      <c r="AK976">
        <v>620</v>
      </c>
      <c r="AL976">
        <v>7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8.9664999999999999</v>
      </c>
      <c r="AX976">
        <v>5.5716666666666663</v>
      </c>
      <c r="AY976">
        <v>734.59799999999996</v>
      </c>
      <c r="BA976">
        <v>1155.2</v>
      </c>
      <c r="BB976">
        <v>1193.55</v>
      </c>
      <c r="BF976" t="s">
        <v>108</v>
      </c>
    </row>
    <row r="977" spans="1:58" x14ac:dyDescent="0.45">
      <c r="A977">
        <v>10976</v>
      </c>
      <c r="B977">
        <v>1</v>
      </c>
      <c r="C977">
        <v>79.760000000000005</v>
      </c>
      <c r="D977">
        <v>5.39</v>
      </c>
      <c r="E977">
        <v>4.95</v>
      </c>
      <c r="F977">
        <v>3.9</v>
      </c>
      <c r="G977">
        <v>0</v>
      </c>
      <c r="H977">
        <v>0</v>
      </c>
      <c r="I977">
        <v>0</v>
      </c>
      <c r="J977">
        <v>1.0900000000000001</v>
      </c>
      <c r="K977">
        <v>0</v>
      </c>
      <c r="L977">
        <v>4.8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900</v>
      </c>
      <c r="AF977">
        <v>1.5</v>
      </c>
      <c r="AG977">
        <v>0</v>
      </c>
      <c r="AH977">
        <v>1</v>
      </c>
      <c r="AI977">
        <v>0</v>
      </c>
      <c r="AJ977">
        <v>1</v>
      </c>
      <c r="AK977">
        <v>620</v>
      </c>
      <c r="AL977">
        <v>8</v>
      </c>
      <c r="AM977">
        <v>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8.9664999999999999</v>
      </c>
      <c r="AX977">
        <v>5.5716666666666663</v>
      </c>
      <c r="AY977">
        <v>734.59799999999996</v>
      </c>
      <c r="BA977">
        <v>1209.2</v>
      </c>
      <c r="BB977">
        <v>1246.83</v>
      </c>
      <c r="BF977" t="s">
        <v>108</v>
      </c>
    </row>
    <row r="978" spans="1:58" x14ac:dyDescent="0.45">
      <c r="A978">
        <v>10977</v>
      </c>
      <c r="B978">
        <v>1</v>
      </c>
      <c r="C978">
        <v>79.760000000000005</v>
      </c>
      <c r="D978">
        <v>5.39</v>
      </c>
      <c r="E978">
        <v>4.95</v>
      </c>
      <c r="F978">
        <v>3.9</v>
      </c>
      <c r="G978">
        <v>0</v>
      </c>
      <c r="H978">
        <v>0</v>
      </c>
      <c r="I978">
        <v>0</v>
      </c>
      <c r="J978">
        <v>1.0900000000000001</v>
      </c>
      <c r="K978">
        <v>0</v>
      </c>
      <c r="L978">
        <v>4.8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Z978">
        <v>1</v>
      </c>
      <c r="AA978">
        <v>0</v>
      </c>
      <c r="AB978">
        <v>0</v>
      </c>
      <c r="AC978">
        <v>0</v>
      </c>
      <c r="AD978">
        <v>1</v>
      </c>
      <c r="AE978">
        <v>900</v>
      </c>
      <c r="AF978">
        <v>1.5</v>
      </c>
      <c r="AG978">
        <v>0</v>
      </c>
      <c r="AH978">
        <v>1</v>
      </c>
      <c r="AI978">
        <v>0</v>
      </c>
      <c r="AJ978">
        <v>1</v>
      </c>
      <c r="AK978">
        <v>620</v>
      </c>
      <c r="AL978">
        <v>9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8.9664999999999999</v>
      </c>
      <c r="AX978">
        <v>5.5716666666666663</v>
      </c>
      <c r="AY978">
        <v>734.59799999999996</v>
      </c>
      <c r="BA978">
        <v>1182.56</v>
      </c>
      <c r="BB978">
        <v>1234.52</v>
      </c>
      <c r="BF978" t="s">
        <v>108</v>
      </c>
    </row>
    <row r="979" spans="1:58" x14ac:dyDescent="0.45">
      <c r="A979">
        <v>10978</v>
      </c>
      <c r="B979">
        <v>1</v>
      </c>
      <c r="C979">
        <v>79.760000000000005</v>
      </c>
      <c r="D979">
        <v>5.39</v>
      </c>
      <c r="E979">
        <v>4.95</v>
      </c>
      <c r="F979">
        <v>3.9</v>
      </c>
      <c r="G979">
        <v>0</v>
      </c>
      <c r="H979">
        <v>0</v>
      </c>
      <c r="I979">
        <v>0</v>
      </c>
      <c r="J979">
        <v>1.0900000000000001</v>
      </c>
      <c r="K979">
        <v>0</v>
      </c>
      <c r="L979">
        <v>4.8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Z979">
        <v>1</v>
      </c>
      <c r="AA979">
        <v>0</v>
      </c>
      <c r="AB979">
        <v>0</v>
      </c>
      <c r="AC979">
        <v>0</v>
      </c>
      <c r="AD979">
        <v>1</v>
      </c>
      <c r="AE979">
        <v>900</v>
      </c>
      <c r="AF979">
        <v>1.5</v>
      </c>
      <c r="AG979">
        <v>0</v>
      </c>
      <c r="AH979">
        <v>1</v>
      </c>
      <c r="AI979">
        <v>0</v>
      </c>
      <c r="AJ979">
        <v>1</v>
      </c>
      <c r="AK979">
        <v>620</v>
      </c>
      <c r="AL979">
        <v>10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8.9664999999999999</v>
      </c>
      <c r="AX979">
        <v>5.5716666666666663</v>
      </c>
      <c r="AY979">
        <v>734.59799999999996</v>
      </c>
      <c r="BA979">
        <v>1133.33</v>
      </c>
      <c r="BB979">
        <v>1179.21</v>
      </c>
      <c r="BF979" t="s">
        <v>108</v>
      </c>
    </row>
    <row r="980" spans="1:58" x14ac:dyDescent="0.45">
      <c r="A980">
        <v>10979</v>
      </c>
      <c r="B980">
        <v>1</v>
      </c>
      <c r="C980">
        <v>79.760000000000005</v>
      </c>
      <c r="D980">
        <v>5.39</v>
      </c>
      <c r="E980">
        <v>4.95</v>
      </c>
      <c r="F980">
        <v>3.9</v>
      </c>
      <c r="G980">
        <v>0</v>
      </c>
      <c r="H980">
        <v>0</v>
      </c>
      <c r="I980">
        <v>0</v>
      </c>
      <c r="J980">
        <v>1.0900000000000001</v>
      </c>
      <c r="K980">
        <v>0</v>
      </c>
      <c r="L980">
        <v>4.8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Z980">
        <v>1</v>
      </c>
      <c r="AA980">
        <v>0</v>
      </c>
      <c r="AB980">
        <v>0</v>
      </c>
      <c r="AC980">
        <v>0</v>
      </c>
      <c r="AD980">
        <v>1</v>
      </c>
      <c r="AE980">
        <v>900</v>
      </c>
      <c r="AF980">
        <v>1.5</v>
      </c>
      <c r="AG980">
        <v>0</v>
      </c>
      <c r="AH980">
        <v>1</v>
      </c>
      <c r="AI980">
        <v>0</v>
      </c>
      <c r="AJ980">
        <v>1</v>
      </c>
      <c r="AK980">
        <v>640</v>
      </c>
      <c r="AL980">
        <v>9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8.9664999999999999</v>
      </c>
      <c r="AX980">
        <v>5.5716666666666663</v>
      </c>
      <c r="AY980">
        <v>734.59799999999996</v>
      </c>
      <c r="BA980">
        <v>1173.0999999999999</v>
      </c>
      <c r="BB980">
        <v>1208.23</v>
      </c>
      <c r="BF980" t="s">
        <v>108</v>
      </c>
    </row>
    <row r="981" spans="1:58" x14ac:dyDescent="0.45">
      <c r="A981">
        <v>10980</v>
      </c>
      <c r="B981">
        <v>1</v>
      </c>
      <c r="C981">
        <v>91.28</v>
      </c>
      <c r="D981">
        <v>4.95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0.78500000000000003</v>
      </c>
      <c r="M981">
        <v>0.98499999999999999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J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-3.4950000000000001</v>
      </c>
      <c r="AX981">
        <v>5.4450000000000003</v>
      </c>
      <c r="AY981">
        <v>870.37450000000001</v>
      </c>
      <c r="BA981">
        <v>788.3</v>
      </c>
      <c r="BB981">
        <v>882.3</v>
      </c>
      <c r="BC981">
        <v>12.8</v>
      </c>
      <c r="BF981" t="s">
        <v>200</v>
      </c>
    </row>
    <row r="982" spans="1:58" x14ac:dyDescent="0.45">
      <c r="A982">
        <v>10981</v>
      </c>
      <c r="B982">
        <v>1</v>
      </c>
      <c r="C982">
        <v>91.28</v>
      </c>
      <c r="D982">
        <v>4.95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0.78500000000000003</v>
      </c>
      <c r="M982">
        <v>0.98499999999999999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900</v>
      </c>
      <c r="AF982">
        <v>1</v>
      </c>
      <c r="AG982">
        <v>0</v>
      </c>
      <c r="AH982">
        <v>1</v>
      </c>
      <c r="AI982">
        <v>0</v>
      </c>
      <c r="AJ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-3.4950000000000001</v>
      </c>
      <c r="AX982">
        <v>5.4450000000000003</v>
      </c>
      <c r="AY982">
        <v>870.37450000000001</v>
      </c>
      <c r="BA982">
        <v>740</v>
      </c>
      <c r="BB982">
        <v>853.6</v>
      </c>
      <c r="BC982">
        <v>11.2</v>
      </c>
      <c r="BF982" t="s">
        <v>200</v>
      </c>
    </row>
    <row r="983" spans="1:58" x14ac:dyDescent="0.45">
      <c r="A983">
        <v>10982</v>
      </c>
      <c r="B983">
        <v>1</v>
      </c>
      <c r="C983">
        <v>91.28</v>
      </c>
      <c r="D983">
        <v>4.95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0.78500000000000003</v>
      </c>
      <c r="M983">
        <v>0.98499999999999999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Z983">
        <v>1</v>
      </c>
      <c r="AA983">
        <v>0</v>
      </c>
      <c r="AB983">
        <v>0</v>
      </c>
      <c r="AC983">
        <v>0</v>
      </c>
      <c r="AD983">
        <v>1</v>
      </c>
      <c r="AE983">
        <v>950</v>
      </c>
      <c r="AF983">
        <v>1</v>
      </c>
      <c r="AG983">
        <v>0</v>
      </c>
      <c r="AH983">
        <v>1</v>
      </c>
      <c r="AI983">
        <v>0</v>
      </c>
      <c r="AJ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-3.4950000000000001</v>
      </c>
      <c r="AX983">
        <v>5.4450000000000003</v>
      </c>
      <c r="AY983">
        <v>870.37450000000001</v>
      </c>
      <c r="BA983">
        <v>711.7</v>
      </c>
      <c r="BB983">
        <v>836</v>
      </c>
      <c r="BC983">
        <v>14.1</v>
      </c>
      <c r="BF983" t="s">
        <v>200</v>
      </c>
    </row>
    <row r="984" spans="1:58" x14ac:dyDescent="0.45">
      <c r="A984">
        <v>10983</v>
      </c>
      <c r="B984">
        <v>1</v>
      </c>
      <c r="C984">
        <v>87.6798</v>
      </c>
      <c r="D984">
        <v>6.04</v>
      </c>
      <c r="E984">
        <v>0</v>
      </c>
      <c r="F984">
        <v>0</v>
      </c>
      <c r="G984">
        <v>0</v>
      </c>
      <c r="H984">
        <v>0.1</v>
      </c>
      <c r="I984">
        <v>0</v>
      </c>
      <c r="J984">
        <v>2.0499999999999998</v>
      </c>
      <c r="K984">
        <v>3.05</v>
      </c>
      <c r="L984">
        <v>1.04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Z984">
        <v>0</v>
      </c>
      <c r="AA984">
        <v>1</v>
      </c>
      <c r="AB984">
        <v>0</v>
      </c>
      <c r="AC984">
        <v>0</v>
      </c>
      <c r="AD984">
        <v>1</v>
      </c>
      <c r="AE984">
        <v>970</v>
      </c>
      <c r="AF984">
        <v>2</v>
      </c>
      <c r="AG984">
        <v>0</v>
      </c>
      <c r="AH984">
        <v>0</v>
      </c>
      <c r="AI984">
        <v>1</v>
      </c>
      <c r="AJ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-3.8559999999999999</v>
      </c>
      <c r="AX984">
        <v>6.3816666666666668</v>
      </c>
      <c r="AY984">
        <v>869.11900000000003</v>
      </c>
      <c r="BA984">
        <v>731</v>
      </c>
      <c r="BB984">
        <v>793</v>
      </c>
      <c r="BC984">
        <v>14.5</v>
      </c>
      <c r="BF984" t="s">
        <v>201</v>
      </c>
    </row>
    <row r="985" spans="1:58" x14ac:dyDescent="0.45">
      <c r="A985">
        <v>10984</v>
      </c>
      <c r="B985">
        <v>1</v>
      </c>
      <c r="C985">
        <v>87.6798</v>
      </c>
      <c r="D985">
        <v>6.04</v>
      </c>
      <c r="E985">
        <v>0</v>
      </c>
      <c r="F985">
        <v>0</v>
      </c>
      <c r="G985">
        <v>0</v>
      </c>
      <c r="H985">
        <v>0.1</v>
      </c>
      <c r="I985">
        <v>0</v>
      </c>
      <c r="J985">
        <v>2.0499999999999998</v>
      </c>
      <c r="K985">
        <v>3.05</v>
      </c>
      <c r="L985">
        <v>1.04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Z985">
        <v>0</v>
      </c>
      <c r="AA985">
        <v>1</v>
      </c>
      <c r="AB985">
        <v>0</v>
      </c>
      <c r="AC985">
        <v>0</v>
      </c>
      <c r="AD985">
        <v>1</v>
      </c>
      <c r="AE985">
        <v>970</v>
      </c>
      <c r="AF985">
        <v>2</v>
      </c>
      <c r="AG985">
        <v>0</v>
      </c>
      <c r="AH985">
        <v>1</v>
      </c>
      <c r="AI985">
        <v>0</v>
      </c>
      <c r="AJ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-3.8559999999999999</v>
      </c>
      <c r="AX985">
        <v>6.3816666666666668</v>
      </c>
      <c r="AY985">
        <v>869.11900000000003</v>
      </c>
      <c r="BA985">
        <v>763</v>
      </c>
      <c r="BB985">
        <v>880</v>
      </c>
      <c r="BC985">
        <v>12.6</v>
      </c>
      <c r="BF985" t="s">
        <v>201</v>
      </c>
    </row>
    <row r="986" spans="1:58" x14ac:dyDescent="0.45">
      <c r="A986">
        <v>10985</v>
      </c>
      <c r="B986">
        <v>1</v>
      </c>
      <c r="C986">
        <v>87.6798</v>
      </c>
      <c r="D986">
        <v>6.04</v>
      </c>
      <c r="E986">
        <v>0</v>
      </c>
      <c r="F986">
        <v>0</v>
      </c>
      <c r="G986">
        <v>0</v>
      </c>
      <c r="H986">
        <v>0.1</v>
      </c>
      <c r="I986">
        <v>0</v>
      </c>
      <c r="J986">
        <v>2.0499999999999998</v>
      </c>
      <c r="K986">
        <v>3.05</v>
      </c>
      <c r="L986">
        <v>1.04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Z986">
        <v>0</v>
      </c>
      <c r="AA986">
        <v>1</v>
      </c>
      <c r="AB986">
        <v>0</v>
      </c>
      <c r="AC986">
        <v>0</v>
      </c>
      <c r="AD986">
        <v>1</v>
      </c>
      <c r="AE986">
        <v>970</v>
      </c>
      <c r="AF986">
        <v>2</v>
      </c>
      <c r="AG986">
        <v>1</v>
      </c>
      <c r="AH986">
        <v>0</v>
      </c>
      <c r="AI986">
        <v>0</v>
      </c>
      <c r="AJ986">
        <v>1</v>
      </c>
      <c r="AK986">
        <v>600</v>
      </c>
      <c r="AL986">
        <v>5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-3.8559999999999999</v>
      </c>
      <c r="AX986">
        <v>6.3816666666666668</v>
      </c>
      <c r="AY986">
        <v>869.11900000000003</v>
      </c>
      <c r="BA986">
        <v>918</v>
      </c>
      <c r="BB986">
        <v>984</v>
      </c>
      <c r="BC986">
        <v>10.1</v>
      </c>
      <c r="BF986" t="s">
        <v>201</v>
      </c>
    </row>
    <row r="987" spans="1:58" x14ac:dyDescent="0.45">
      <c r="A987">
        <v>10986</v>
      </c>
      <c r="B987">
        <v>1</v>
      </c>
      <c r="C987">
        <v>80.722999999999999</v>
      </c>
      <c r="D987">
        <v>5.0599999999999996</v>
      </c>
      <c r="E987">
        <v>0</v>
      </c>
      <c r="F987">
        <v>3.62</v>
      </c>
      <c r="G987">
        <v>0</v>
      </c>
      <c r="H987">
        <v>0.47699999999999998</v>
      </c>
      <c r="I987">
        <v>0</v>
      </c>
      <c r="J987">
        <v>0</v>
      </c>
      <c r="K987">
        <v>2.9</v>
      </c>
      <c r="L987">
        <v>7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Z987">
        <v>1</v>
      </c>
      <c r="AA987">
        <v>0</v>
      </c>
      <c r="AB987">
        <v>0</v>
      </c>
      <c r="AC987">
        <v>0</v>
      </c>
      <c r="AD987">
        <v>1</v>
      </c>
      <c r="AE987">
        <v>910</v>
      </c>
      <c r="AF987">
        <v>0.5</v>
      </c>
      <c r="AG987">
        <v>1</v>
      </c>
      <c r="AH987">
        <v>0</v>
      </c>
      <c r="AI987">
        <v>0</v>
      </c>
      <c r="AJ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9.9273000000000025</v>
      </c>
      <c r="AX987">
        <v>5.0599999999999996</v>
      </c>
      <c r="AY987">
        <v>774.9781999999999</v>
      </c>
      <c r="BA987">
        <v>877</v>
      </c>
      <c r="BB987">
        <v>880</v>
      </c>
      <c r="BC987">
        <v>13.6</v>
      </c>
      <c r="BF987" t="s">
        <v>108</v>
      </c>
    </row>
    <row r="988" spans="1:58" x14ac:dyDescent="0.45">
      <c r="A988">
        <v>10987</v>
      </c>
      <c r="B988">
        <v>1</v>
      </c>
      <c r="C988">
        <v>80.722999999999999</v>
      </c>
      <c r="D988">
        <v>5.0599999999999996</v>
      </c>
      <c r="E988">
        <v>0</v>
      </c>
      <c r="F988">
        <v>3.62</v>
      </c>
      <c r="G988">
        <v>0</v>
      </c>
      <c r="H988">
        <v>0.47699999999999998</v>
      </c>
      <c r="I988">
        <v>0</v>
      </c>
      <c r="J988">
        <v>0</v>
      </c>
      <c r="K988">
        <v>2.9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Z988">
        <v>1</v>
      </c>
      <c r="AA988">
        <v>0</v>
      </c>
      <c r="AB988">
        <v>0</v>
      </c>
      <c r="AC988">
        <v>0</v>
      </c>
      <c r="AD988">
        <v>1</v>
      </c>
      <c r="AE988">
        <v>850</v>
      </c>
      <c r="AF988">
        <v>0.5</v>
      </c>
      <c r="AG988">
        <v>1</v>
      </c>
      <c r="AH988">
        <v>0</v>
      </c>
      <c r="AI988">
        <v>0</v>
      </c>
      <c r="AJ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9.9273000000000025</v>
      </c>
      <c r="AX988">
        <v>5.0599999999999996</v>
      </c>
      <c r="AY988">
        <v>774.9781999999999</v>
      </c>
      <c r="BA988">
        <v>895</v>
      </c>
      <c r="BB988">
        <v>931</v>
      </c>
      <c r="BC988">
        <v>8.1999999999999993</v>
      </c>
      <c r="BF988" t="s">
        <v>108</v>
      </c>
    </row>
    <row r="989" spans="1:58" x14ac:dyDescent="0.45">
      <c r="A989">
        <v>10988</v>
      </c>
      <c r="B989">
        <v>1</v>
      </c>
      <c r="C989">
        <v>80.722999999999999</v>
      </c>
      <c r="D989">
        <v>5.0599999999999996</v>
      </c>
      <c r="E989">
        <v>0</v>
      </c>
      <c r="F989">
        <v>3.62</v>
      </c>
      <c r="G989">
        <v>0</v>
      </c>
      <c r="H989">
        <v>0.47699999999999998</v>
      </c>
      <c r="I989">
        <v>0</v>
      </c>
      <c r="J989">
        <v>0</v>
      </c>
      <c r="K989">
        <v>2.9</v>
      </c>
      <c r="L989">
        <v>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Z989">
        <v>1</v>
      </c>
      <c r="AA989">
        <v>0</v>
      </c>
      <c r="AB989">
        <v>0</v>
      </c>
      <c r="AC989">
        <v>0</v>
      </c>
      <c r="AD989">
        <v>1</v>
      </c>
      <c r="AE989">
        <v>910</v>
      </c>
      <c r="AF989">
        <v>0.5</v>
      </c>
      <c r="AG989">
        <v>1</v>
      </c>
      <c r="AH989">
        <v>0</v>
      </c>
      <c r="AI989">
        <v>0</v>
      </c>
      <c r="AJ989">
        <v>1</v>
      </c>
      <c r="AK989">
        <v>560</v>
      </c>
      <c r="AL989">
        <v>6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9.9273000000000025</v>
      </c>
      <c r="AX989">
        <v>5.0599999999999996</v>
      </c>
      <c r="AY989">
        <v>774.9781999999999</v>
      </c>
      <c r="BA989">
        <v>1180</v>
      </c>
      <c r="BB989">
        <v>1417</v>
      </c>
      <c r="BC989">
        <v>1.7</v>
      </c>
      <c r="BF989" t="s">
        <v>108</v>
      </c>
    </row>
    <row r="990" spans="1:58" x14ac:dyDescent="0.45">
      <c r="A990">
        <v>10989</v>
      </c>
      <c r="B990">
        <v>1</v>
      </c>
      <c r="C990">
        <v>80.722999999999999</v>
      </c>
      <c r="D990">
        <v>5.0599999999999996</v>
      </c>
      <c r="E990">
        <v>0</v>
      </c>
      <c r="F990">
        <v>3.62</v>
      </c>
      <c r="G990">
        <v>0</v>
      </c>
      <c r="H990">
        <v>0.47699999999999998</v>
      </c>
      <c r="I990">
        <v>0</v>
      </c>
      <c r="J990">
        <v>0</v>
      </c>
      <c r="K990">
        <v>2.9</v>
      </c>
      <c r="L990">
        <v>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850</v>
      </c>
      <c r="AF990">
        <v>0.5</v>
      </c>
      <c r="AG990">
        <v>1</v>
      </c>
      <c r="AH990">
        <v>0</v>
      </c>
      <c r="AI990">
        <v>0</v>
      </c>
      <c r="AJ990">
        <v>1</v>
      </c>
      <c r="AK990">
        <v>560</v>
      </c>
      <c r="AL990">
        <v>6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9.9273000000000025</v>
      </c>
      <c r="AX990">
        <v>5.0599999999999996</v>
      </c>
      <c r="AY990">
        <v>774.9781999999999</v>
      </c>
      <c r="BA990">
        <v>1105</v>
      </c>
      <c r="BB990">
        <v>1366</v>
      </c>
      <c r="BC990">
        <v>4.5</v>
      </c>
      <c r="BF990" t="s">
        <v>108</v>
      </c>
    </row>
    <row r="991" spans="1:58" x14ac:dyDescent="0.45">
      <c r="A991">
        <v>10990</v>
      </c>
      <c r="B991">
        <v>1</v>
      </c>
      <c r="C991">
        <v>79.95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7</v>
      </c>
      <c r="K991">
        <v>1</v>
      </c>
      <c r="L991">
        <v>0.8</v>
      </c>
      <c r="M991">
        <v>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J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-4.92</v>
      </c>
      <c r="AX991">
        <v>8.5</v>
      </c>
      <c r="AY991">
        <v>855.5</v>
      </c>
      <c r="BA991">
        <v>1066</v>
      </c>
      <c r="BB991">
        <v>1130</v>
      </c>
      <c r="BC991">
        <v>1.8</v>
      </c>
      <c r="BF991" t="s">
        <v>108</v>
      </c>
    </row>
    <row r="992" spans="1:58" x14ac:dyDescent="0.45">
      <c r="A992">
        <v>10991</v>
      </c>
      <c r="B992">
        <v>1</v>
      </c>
      <c r="C992">
        <v>77.95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9</v>
      </c>
      <c r="K992">
        <v>1</v>
      </c>
      <c r="L992">
        <v>0.8</v>
      </c>
      <c r="M992">
        <v>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J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-4.92</v>
      </c>
      <c r="AX992">
        <v>8.8333333333333339</v>
      </c>
      <c r="AY992">
        <v>841.69999999999993</v>
      </c>
      <c r="BA992">
        <v>985</v>
      </c>
      <c r="BB992">
        <v>1068</v>
      </c>
      <c r="BC992">
        <v>1.1399999999999999</v>
      </c>
      <c r="BF992" t="s">
        <v>108</v>
      </c>
    </row>
    <row r="993" spans="1:58" x14ac:dyDescent="0.45">
      <c r="A993">
        <v>10992</v>
      </c>
      <c r="B993">
        <v>1</v>
      </c>
      <c r="C993">
        <v>75.95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11</v>
      </c>
      <c r="K993">
        <v>1</v>
      </c>
      <c r="L993">
        <v>0.8</v>
      </c>
      <c r="M993">
        <v>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J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-4.92</v>
      </c>
      <c r="AX993">
        <v>9.1666666666666661</v>
      </c>
      <c r="AY993">
        <v>827.9</v>
      </c>
      <c r="BA993">
        <v>963</v>
      </c>
      <c r="BB993">
        <v>1050</v>
      </c>
      <c r="BC993">
        <v>1.7</v>
      </c>
      <c r="BF993" t="s">
        <v>108</v>
      </c>
    </row>
    <row r="994" spans="1:58" x14ac:dyDescent="0.45">
      <c r="A994">
        <v>10993</v>
      </c>
      <c r="B994">
        <v>1</v>
      </c>
      <c r="C994">
        <v>81.3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6.3</v>
      </c>
      <c r="K994">
        <v>3.1</v>
      </c>
      <c r="L994">
        <v>3.1</v>
      </c>
      <c r="M994">
        <v>3.1</v>
      </c>
      <c r="N994">
        <v>0</v>
      </c>
      <c r="O994">
        <v>3.1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J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4.6500000000000004</v>
      </c>
      <c r="AX994">
        <v>2.0833333333333335</v>
      </c>
      <c r="AY994">
        <v>822.09999999999991</v>
      </c>
      <c r="AZ994">
        <v>49</v>
      </c>
    </row>
    <row r="995" spans="1:58" x14ac:dyDescent="0.45">
      <c r="A995">
        <v>10994</v>
      </c>
      <c r="B995">
        <v>1</v>
      </c>
      <c r="C995">
        <v>79.400000000000006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2.9</v>
      </c>
      <c r="K995">
        <v>8.8000000000000007</v>
      </c>
      <c r="L995">
        <v>1.8</v>
      </c>
      <c r="M995">
        <v>4.2</v>
      </c>
      <c r="N995">
        <v>0</v>
      </c>
      <c r="O995">
        <v>2.9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J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4.9020000000000001</v>
      </c>
      <c r="AX995">
        <v>1.8833333333333335</v>
      </c>
      <c r="AY995">
        <v>862.53</v>
      </c>
      <c r="AZ995">
        <v>46</v>
      </c>
    </row>
    <row r="996" spans="1:58" x14ac:dyDescent="0.45">
      <c r="A996">
        <v>10995</v>
      </c>
      <c r="B996">
        <v>1</v>
      </c>
      <c r="C996">
        <v>78.2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2.5</v>
      </c>
      <c r="K996">
        <v>16.399999999999999</v>
      </c>
      <c r="L996">
        <v>0.6</v>
      </c>
      <c r="M996">
        <v>2</v>
      </c>
      <c r="N996">
        <v>0</v>
      </c>
      <c r="O996">
        <v>0.3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J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5.2579999999999991</v>
      </c>
      <c r="AX996">
        <v>1.0833333333333333</v>
      </c>
      <c r="AY996">
        <v>867.44999999999993</v>
      </c>
      <c r="AZ996">
        <v>47.3</v>
      </c>
    </row>
    <row r="997" spans="1:58" x14ac:dyDescent="0.45">
      <c r="A997">
        <v>10996</v>
      </c>
      <c r="B997">
        <v>1</v>
      </c>
      <c r="C997">
        <v>81.3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6.3</v>
      </c>
      <c r="K997">
        <v>3.1</v>
      </c>
      <c r="L997">
        <v>3.1</v>
      </c>
      <c r="M997">
        <v>3.1</v>
      </c>
      <c r="N997">
        <v>0</v>
      </c>
      <c r="O997">
        <v>3.1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J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4.6500000000000004</v>
      </c>
      <c r="AX997">
        <v>2.0833333333333335</v>
      </c>
      <c r="AY997">
        <v>822.09999999999991</v>
      </c>
      <c r="AZ997">
        <v>49</v>
      </c>
    </row>
    <row r="998" spans="1:58" x14ac:dyDescent="0.45">
      <c r="A998">
        <v>10997</v>
      </c>
      <c r="B998">
        <v>1</v>
      </c>
      <c r="C998">
        <v>79.400000000000006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2.9</v>
      </c>
      <c r="K998">
        <v>8.8000000000000007</v>
      </c>
      <c r="L998">
        <v>1.8</v>
      </c>
      <c r="M998">
        <v>4.0999999999999996</v>
      </c>
      <c r="N998">
        <v>0</v>
      </c>
      <c r="O998">
        <v>2.9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J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4.9020000000000001</v>
      </c>
      <c r="AX998">
        <v>1.8499999999999999</v>
      </c>
      <c r="AY998">
        <v>862.11</v>
      </c>
      <c r="AZ998">
        <v>46</v>
      </c>
    </row>
    <row r="999" spans="1:58" x14ac:dyDescent="0.45">
      <c r="A999">
        <v>10998</v>
      </c>
      <c r="B999">
        <v>1</v>
      </c>
      <c r="C999">
        <v>86.69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3.6</v>
      </c>
      <c r="K999">
        <v>0.18</v>
      </c>
      <c r="L999">
        <v>0</v>
      </c>
      <c r="M999">
        <v>2.8</v>
      </c>
      <c r="N999">
        <v>0</v>
      </c>
      <c r="O999">
        <v>0.36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Z999">
        <v>1</v>
      </c>
      <c r="AA999">
        <v>0</v>
      </c>
      <c r="AB999">
        <v>0</v>
      </c>
      <c r="AC999">
        <v>0</v>
      </c>
      <c r="AD999">
        <v>1</v>
      </c>
      <c r="AE999">
        <v>950</v>
      </c>
      <c r="AF999">
        <v>1</v>
      </c>
      <c r="AG999">
        <v>1</v>
      </c>
      <c r="AH999">
        <v>0</v>
      </c>
      <c r="AI999">
        <v>0</v>
      </c>
      <c r="AJ999">
        <v>1</v>
      </c>
      <c r="AK999">
        <v>650</v>
      </c>
      <c r="AL999">
        <v>6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-5.8704000000000001</v>
      </c>
      <c r="AX999">
        <v>7.5333333333333332</v>
      </c>
      <c r="AY999">
        <v>881.52</v>
      </c>
      <c r="BA999">
        <v>970</v>
      </c>
      <c r="BB999">
        <v>1032</v>
      </c>
      <c r="BC999">
        <v>2.7</v>
      </c>
      <c r="BF999" t="s">
        <v>108</v>
      </c>
    </row>
    <row r="1000" spans="1:58" x14ac:dyDescent="0.45">
      <c r="A1000">
        <v>10999</v>
      </c>
      <c r="B1000">
        <v>1</v>
      </c>
      <c r="C1000">
        <v>82.97</v>
      </c>
      <c r="D1000">
        <v>6.42</v>
      </c>
      <c r="E1000">
        <v>0</v>
      </c>
      <c r="F1000">
        <v>1.26</v>
      </c>
      <c r="G1000">
        <v>0</v>
      </c>
      <c r="H1000">
        <v>0</v>
      </c>
      <c r="I1000">
        <v>0</v>
      </c>
      <c r="J1000">
        <v>2.25</v>
      </c>
      <c r="K1000">
        <v>1.93</v>
      </c>
      <c r="L1000">
        <v>3.05</v>
      </c>
      <c r="M1000">
        <v>2.12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J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-0.8136000000000001</v>
      </c>
      <c r="AX1000">
        <v>7.5016666666666669</v>
      </c>
      <c r="AY1000">
        <v>844.64</v>
      </c>
      <c r="BA1000">
        <v>908</v>
      </c>
      <c r="BB1000">
        <v>1043</v>
      </c>
      <c r="BC1000">
        <v>9.4</v>
      </c>
      <c r="BF1000" t="s">
        <v>204</v>
      </c>
    </row>
    <row r="1001" spans="1:58" x14ac:dyDescent="0.45">
      <c r="A1001">
        <v>11000</v>
      </c>
      <c r="B1001">
        <v>1</v>
      </c>
      <c r="C1001">
        <v>82.97</v>
      </c>
      <c r="D1001">
        <v>6.42</v>
      </c>
      <c r="E1001">
        <v>0</v>
      </c>
      <c r="F1001">
        <v>1.26</v>
      </c>
      <c r="G1001">
        <v>0</v>
      </c>
      <c r="H1001">
        <v>0</v>
      </c>
      <c r="I1001">
        <v>0</v>
      </c>
      <c r="J1001">
        <v>2.25</v>
      </c>
      <c r="K1001">
        <v>1.93</v>
      </c>
      <c r="L1001">
        <v>3.05</v>
      </c>
      <c r="M1001">
        <v>2.12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Z1001">
        <v>1</v>
      </c>
      <c r="AA1001">
        <v>0</v>
      </c>
      <c r="AB1001">
        <v>0</v>
      </c>
      <c r="AC1001">
        <v>0</v>
      </c>
      <c r="AD1001">
        <v>1</v>
      </c>
      <c r="AE1001">
        <v>900</v>
      </c>
      <c r="AF1001">
        <v>2</v>
      </c>
      <c r="AG1001">
        <v>0</v>
      </c>
      <c r="AH1001">
        <v>1</v>
      </c>
      <c r="AI1001">
        <v>0</v>
      </c>
      <c r="AJ1001">
        <v>1</v>
      </c>
      <c r="AK1001">
        <v>590</v>
      </c>
      <c r="AL1001">
        <v>4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-0.8136000000000001</v>
      </c>
      <c r="AX1001">
        <v>7.5016666666666669</v>
      </c>
      <c r="AY1001">
        <v>844.64</v>
      </c>
      <c r="BA1001">
        <v>1063</v>
      </c>
      <c r="BB1001">
        <v>1181</v>
      </c>
      <c r="BC1001">
        <v>6.6</v>
      </c>
      <c r="BF1001" t="s">
        <v>204</v>
      </c>
    </row>
    <row r="1002" spans="1:58" x14ac:dyDescent="0.45">
      <c r="A1002">
        <v>11001</v>
      </c>
      <c r="B1002">
        <v>1</v>
      </c>
      <c r="C1002">
        <v>82.97</v>
      </c>
      <c r="D1002">
        <v>6.42</v>
      </c>
      <c r="E1002">
        <v>0</v>
      </c>
      <c r="F1002">
        <v>1.26</v>
      </c>
      <c r="G1002">
        <v>0</v>
      </c>
      <c r="H1002">
        <v>0</v>
      </c>
      <c r="I1002">
        <v>0</v>
      </c>
      <c r="J1002">
        <v>2.25</v>
      </c>
      <c r="K1002">
        <v>1.93</v>
      </c>
      <c r="L1002">
        <v>3.05</v>
      </c>
      <c r="M1002">
        <v>2.12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  <c r="AE1002">
        <v>915</v>
      </c>
      <c r="AF1002">
        <v>2</v>
      </c>
      <c r="AG1002">
        <v>0</v>
      </c>
      <c r="AH1002">
        <v>1</v>
      </c>
      <c r="AI1002">
        <v>0</v>
      </c>
      <c r="AJ1002">
        <v>1</v>
      </c>
      <c r="AK1002">
        <v>590</v>
      </c>
      <c r="AL1002">
        <v>4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-0.8136000000000001</v>
      </c>
      <c r="AX1002">
        <v>7.5016666666666669</v>
      </c>
      <c r="AY1002">
        <v>844.64</v>
      </c>
      <c r="BA1002">
        <v>1086</v>
      </c>
      <c r="BB1002">
        <v>1213</v>
      </c>
      <c r="BC1002">
        <v>5.6</v>
      </c>
      <c r="BF1002" t="s">
        <v>204</v>
      </c>
    </row>
    <row r="1003" spans="1:58" x14ac:dyDescent="0.45">
      <c r="A1003">
        <v>11002</v>
      </c>
      <c r="B1003">
        <v>1</v>
      </c>
      <c r="C1003">
        <v>82.97</v>
      </c>
      <c r="D1003">
        <v>6.42</v>
      </c>
      <c r="E1003">
        <v>0</v>
      </c>
      <c r="F1003">
        <v>1.26</v>
      </c>
      <c r="G1003">
        <v>0</v>
      </c>
      <c r="H1003">
        <v>0</v>
      </c>
      <c r="I1003">
        <v>0</v>
      </c>
      <c r="J1003">
        <v>2.25</v>
      </c>
      <c r="K1003">
        <v>1.93</v>
      </c>
      <c r="L1003">
        <v>3.05</v>
      </c>
      <c r="M1003">
        <v>2.12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Z1003">
        <v>1</v>
      </c>
      <c r="AA1003">
        <v>0</v>
      </c>
      <c r="AB1003">
        <v>0</v>
      </c>
      <c r="AC1003">
        <v>0</v>
      </c>
      <c r="AD1003">
        <v>1</v>
      </c>
      <c r="AE1003">
        <v>930</v>
      </c>
      <c r="AF1003">
        <v>2</v>
      </c>
      <c r="AG1003">
        <v>0</v>
      </c>
      <c r="AH1003">
        <v>1</v>
      </c>
      <c r="AI1003">
        <v>0</v>
      </c>
      <c r="AJ1003">
        <v>1</v>
      </c>
      <c r="AK1003">
        <v>590</v>
      </c>
      <c r="AL1003">
        <v>4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-0.8136000000000001</v>
      </c>
      <c r="AX1003">
        <v>7.5016666666666669</v>
      </c>
      <c r="AY1003">
        <v>844.64</v>
      </c>
      <c r="BA1003">
        <v>1101</v>
      </c>
      <c r="BB1003">
        <v>1244</v>
      </c>
      <c r="BC1003">
        <v>4.3</v>
      </c>
      <c r="BF1003" t="s">
        <v>204</v>
      </c>
    </row>
    <row r="1004" spans="1:58" x14ac:dyDescent="0.45">
      <c r="A1004">
        <v>11003</v>
      </c>
      <c r="B1004">
        <v>1</v>
      </c>
      <c r="C1004">
        <v>82.97</v>
      </c>
      <c r="D1004">
        <v>6.42</v>
      </c>
      <c r="E1004">
        <v>0</v>
      </c>
      <c r="F1004">
        <v>1.26</v>
      </c>
      <c r="G1004">
        <v>0</v>
      </c>
      <c r="H1004">
        <v>0</v>
      </c>
      <c r="I1004">
        <v>0</v>
      </c>
      <c r="J1004">
        <v>2.25</v>
      </c>
      <c r="K1004">
        <v>1.93</v>
      </c>
      <c r="L1004">
        <v>3.05</v>
      </c>
      <c r="M1004">
        <v>2.12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Z1004">
        <v>1</v>
      </c>
      <c r="AA1004">
        <v>0</v>
      </c>
      <c r="AB1004">
        <v>0</v>
      </c>
      <c r="AC1004">
        <v>0</v>
      </c>
      <c r="AD1004">
        <v>1</v>
      </c>
      <c r="AE1004">
        <v>945</v>
      </c>
      <c r="AF1004">
        <v>2</v>
      </c>
      <c r="AG1004">
        <v>0</v>
      </c>
      <c r="AH1004">
        <v>1</v>
      </c>
      <c r="AI1004">
        <v>0</v>
      </c>
      <c r="AJ1004">
        <v>1</v>
      </c>
      <c r="AK1004">
        <v>590</v>
      </c>
      <c r="AL1004">
        <v>4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-0.8136000000000001</v>
      </c>
      <c r="AX1004">
        <v>7.5016666666666669</v>
      </c>
      <c r="AY1004">
        <v>844.64</v>
      </c>
      <c r="BA1004">
        <v>1140</v>
      </c>
      <c r="BB1004">
        <v>1266</v>
      </c>
      <c r="BC1004">
        <v>5.5</v>
      </c>
      <c r="BF1004" t="s">
        <v>204</v>
      </c>
    </row>
    <row r="1005" spans="1:58" x14ac:dyDescent="0.45">
      <c r="A1005">
        <v>11004</v>
      </c>
      <c r="B1005">
        <v>1</v>
      </c>
      <c r="C1005">
        <v>82.97</v>
      </c>
      <c r="D1005">
        <v>6.42</v>
      </c>
      <c r="E1005">
        <v>0</v>
      </c>
      <c r="F1005">
        <v>1.26</v>
      </c>
      <c r="G1005">
        <v>0</v>
      </c>
      <c r="H1005">
        <v>0</v>
      </c>
      <c r="I1005">
        <v>0</v>
      </c>
      <c r="J1005">
        <v>2.25</v>
      </c>
      <c r="K1005">
        <v>1.93</v>
      </c>
      <c r="L1005">
        <v>3.05</v>
      </c>
      <c r="M1005">
        <v>2.12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Z1005">
        <v>1</v>
      </c>
      <c r="AA1005">
        <v>0</v>
      </c>
      <c r="AB1005">
        <v>0</v>
      </c>
      <c r="AC1005">
        <v>0</v>
      </c>
      <c r="AD1005">
        <v>1</v>
      </c>
      <c r="AE1005">
        <v>930</v>
      </c>
      <c r="AF1005">
        <v>2</v>
      </c>
      <c r="AG1005">
        <v>0</v>
      </c>
      <c r="AH1005">
        <v>1</v>
      </c>
      <c r="AI1005">
        <v>0</v>
      </c>
      <c r="AJ1005">
        <v>1</v>
      </c>
      <c r="AK1005">
        <v>590</v>
      </c>
      <c r="AL1005">
        <v>2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-0.8136000000000001</v>
      </c>
      <c r="AX1005">
        <v>7.5016666666666669</v>
      </c>
      <c r="AY1005">
        <v>844.64</v>
      </c>
      <c r="BA1005">
        <v>1107.5999999999999</v>
      </c>
      <c r="BB1005">
        <v>1237.8</v>
      </c>
      <c r="BC1005">
        <v>3.74</v>
      </c>
      <c r="BF1005" t="s">
        <v>204</v>
      </c>
    </row>
    <row r="1006" spans="1:58" x14ac:dyDescent="0.45">
      <c r="A1006">
        <v>11005</v>
      </c>
      <c r="B1006">
        <v>1</v>
      </c>
      <c r="C1006">
        <v>82.97</v>
      </c>
      <c r="D1006">
        <v>6.42</v>
      </c>
      <c r="E1006">
        <v>0</v>
      </c>
      <c r="F1006">
        <v>1.26</v>
      </c>
      <c r="G1006">
        <v>0</v>
      </c>
      <c r="H1006">
        <v>0</v>
      </c>
      <c r="I1006">
        <v>0</v>
      </c>
      <c r="J1006">
        <v>2.25</v>
      </c>
      <c r="K1006">
        <v>1.93</v>
      </c>
      <c r="L1006">
        <v>3.05</v>
      </c>
      <c r="M1006">
        <v>2.12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Z1006">
        <v>1</v>
      </c>
      <c r="AA1006">
        <v>0</v>
      </c>
      <c r="AB1006">
        <v>0</v>
      </c>
      <c r="AC1006">
        <v>0</v>
      </c>
      <c r="AD1006">
        <v>1</v>
      </c>
      <c r="AE1006">
        <v>930</v>
      </c>
      <c r="AF1006">
        <v>2</v>
      </c>
      <c r="AG1006">
        <v>0</v>
      </c>
      <c r="AH1006">
        <v>1</v>
      </c>
      <c r="AI1006">
        <v>0</v>
      </c>
      <c r="AJ1006">
        <v>1</v>
      </c>
      <c r="AK1006">
        <v>590</v>
      </c>
      <c r="AL1006">
        <v>4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-0.8136000000000001</v>
      </c>
      <c r="AX1006">
        <v>7.5016666666666669</v>
      </c>
      <c r="AY1006">
        <v>844.64</v>
      </c>
      <c r="BA1006">
        <v>1094.4000000000001</v>
      </c>
      <c r="BB1006">
        <v>1237</v>
      </c>
      <c r="BC1006">
        <v>4.3</v>
      </c>
      <c r="BF1006" t="s">
        <v>204</v>
      </c>
    </row>
    <row r="1007" spans="1:58" x14ac:dyDescent="0.45">
      <c r="A1007">
        <v>11006</v>
      </c>
      <c r="B1007">
        <v>1</v>
      </c>
      <c r="C1007">
        <v>82.97</v>
      </c>
      <c r="D1007">
        <v>6.42</v>
      </c>
      <c r="E1007">
        <v>0</v>
      </c>
      <c r="F1007">
        <v>1.26</v>
      </c>
      <c r="G1007">
        <v>0</v>
      </c>
      <c r="H1007">
        <v>0</v>
      </c>
      <c r="I1007">
        <v>0</v>
      </c>
      <c r="J1007">
        <v>2.25</v>
      </c>
      <c r="K1007">
        <v>1.93</v>
      </c>
      <c r="L1007">
        <v>3.05</v>
      </c>
      <c r="M1007">
        <v>2.12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Z1007">
        <v>1</v>
      </c>
      <c r="AA1007">
        <v>0</v>
      </c>
      <c r="AB1007">
        <v>0</v>
      </c>
      <c r="AC1007">
        <v>0</v>
      </c>
      <c r="AD1007">
        <v>1</v>
      </c>
      <c r="AE1007">
        <v>930</v>
      </c>
      <c r="AF1007">
        <v>2</v>
      </c>
      <c r="AG1007">
        <v>0</v>
      </c>
      <c r="AH1007">
        <v>1</v>
      </c>
      <c r="AI1007">
        <v>0</v>
      </c>
      <c r="AJ1007">
        <v>1</v>
      </c>
      <c r="AK1007">
        <v>590</v>
      </c>
      <c r="AL1007">
        <v>6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-0.8136000000000001</v>
      </c>
      <c r="AX1007">
        <v>7.5016666666666669</v>
      </c>
      <c r="AY1007">
        <v>844.64</v>
      </c>
      <c r="BA1007">
        <v>1123</v>
      </c>
      <c r="BB1007">
        <v>1248.5999999999999</v>
      </c>
      <c r="BC1007">
        <v>5.55</v>
      </c>
      <c r="BF1007" t="s">
        <v>204</v>
      </c>
    </row>
    <row r="1008" spans="1:58" x14ac:dyDescent="0.45">
      <c r="A1008">
        <v>11007</v>
      </c>
      <c r="B1008">
        <v>1</v>
      </c>
      <c r="C1008">
        <v>82.97</v>
      </c>
      <c r="D1008">
        <v>6.42</v>
      </c>
      <c r="E1008">
        <v>0</v>
      </c>
      <c r="F1008">
        <v>1.26</v>
      </c>
      <c r="G1008">
        <v>0</v>
      </c>
      <c r="H1008">
        <v>0</v>
      </c>
      <c r="I1008">
        <v>0</v>
      </c>
      <c r="J1008">
        <v>2.25</v>
      </c>
      <c r="K1008">
        <v>1.93</v>
      </c>
      <c r="L1008">
        <v>3.05</v>
      </c>
      <c r="M1008">
        <v>2.12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Z1008">
        <v>1</v>
      </c>
      <c r="AA1008">
        <v>0</v>
      </c>
      <c r="AB1008">
        <v>0</v>
      </c>
      <c r="AC1008">
        <v>0</v>
      </c>
      <c r="AD1008">
        <v>1</v>
      </c>
      <c r="AE1008">
        <v>930</v>
      </c>
      <c r="AF1008">
        <v>2</v>
      </c>
      <c r="AG1008">
        <v>0</v>
      </c>
      <c r="AH1008">
        <v>1</v>
      </c>
      <c r="AI1008">
        <v>0</v>
      </c>
      <c r="AJ1008">
        <v>1</v>
      </c>
      <c r="AK1008">
        <v>590</v>
      </c>
      <c r="AL1008">
        <v>8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-0.8136000000000001</v>
      </c>
      <c r="AX1008">
        <v>7.5016666666666669</v>
      </c>
      <c r="AY1008">
        <v>844.64</v>
      </c>
      <c r="BA1008">
        <v>1119.2</v>
      </c>
      <c r="BB1008">
        <v>1226</v>
      </c>
      <c r="BC1008">
        <v>4.13</v>
      </c>
      <c r="BF1008" t="s">
        <v>204</v>
      </c>
    </row>
    <row r="1009" spans="1:58" x14ac:dyDescent="0.45">
      <c r="A1009">
        <v>11008</v>
      </c>
      <c r="B1009">
        <v>1</v>
      </c>
      <c r="C1009">
        <v>82.97</v>
      </c>
      <c r="D1009">
        <v>6.42</v>
      </c>
      <c r="E1009">
        <v>0</v>
      </c>
      <c r="F1009">
        <v>1.26</v>
      </c>
      <c r="G1009">
        <v>0</v>
      </c>
      <c r="H1009">
        <v>0</v>
      </c>
      <c r="I1009">
        <v>0</v>
      </c>
      <c r="J1009">
        <v>2.25</v>
      </c>
      <c r="K1009">
        <v>1.93</v>
      </c>
      <c r="L1009">
        <v>3.05</v>
      </c>
      <c r="M1009">
        <v>2.12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Z1009">
        <v>1</v>
      </c>
      <c r="AA1009">
        <v>0</v>
      </c>
      <c r="AB1009">
        <v>0</v>
      </c>
      <c r="AC1009">
        <v>0</v>
      </c>
      <c r="AD1009">
        <v>1</v>
      </c>
      <c r="AE1009">
        <v>930</v>
      </c>
      <c r="AF1009">
        <v>2</v>
      </c>
      <c r="AG1009">
        <v>0</v>
      </c>
      <c r="AH1009">
        <v>1</v>
      </c>
      <c r="AI1009">
        <v>0</v>
      </c>
      <c r="AJ1009">
        <v>1</v>
      </c>
      <c r="AK1009">
        <v>500</v>
      </c>
      <c r="AL1009">
        <v>4</v>
      </c>
      <c r="AM1009">
        <v>0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-0.8136000000000001</v>
      </c>
      <c r="AX1009">
        <v>7.5016666666666669</v>
      </c>
      <c r="AY1009">
        <v>844.64</v>
      </c>
      <c r="BA1009">
        <v>1108</v>
      </c>
      <c r="BB1009">
        <v>1255</v>
      </c>
      <c r="BC1009">
        <v>2.5</v>
      </c>
      <c r="BF1009" t="s">
        <v>204</v>
      </c>
    </row>
    <row r="1010" spans="1:58" x14ac:dyDescent="0.45">
      <c r="A1010">
        <v>11009</v>
      </c>
      <c r="B1010">
        <v>1</v>
      </c>
      <c r="C1010">
        <v>82.97</v>
      </c>
      <c r="D1010">
        <v>6.42</v>
      </c>
      <c r="E1010">
        <v>0</v>
      </c>
      <c r="F1010">
        <v>1.26</v>
      </c>
      <c r="G1010">
        <v>0</v>
      </c>
      <c r="H1010">
        <v>0</v>
      </c>
      <c r="I1010">
        <v>0</v>
      </c>
      <c r="J1010">
        <v>2.25</v>
      </c>
      <c r="K1010">
        <v>1.93</v>
      </c>
      <c r="L1010">
        <v>3.05</v>
      </c>
      <c r="M1010">
        <v>2.12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Z1010">
        <v>1</v>
      </c>
      <c r="AA1010">
        <v>0</v>
      </c>
      <c r="AB1010">
        <v>0</v>
      </c>
      <c r="AC1010">
        <v>0</v>
      </c>
      <c r="AD1010">
        <v>1</v>
      </c>
      <c r="AE1010">
        <v>930</v>
      </c>
      <c r="AF1010">
        <v>2</v>
      </c>
      <c r="AG1010">
        <v>0</v>
      </c>
      <c r="AH1010">
        <v>1</v>
      </c>
      <c r="AI1010">
        <v>0</v>
      </c>
      <c r="AJ1010">
        <v>1</v>
      </c>
      <c r="AK1010">
        <v>530</v>
      </c>
      <c r="AL1010">
        <v>4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-0.8136000000000001</v>
      </c>
      <c r="AX1010">
        <v>7.5016666666666669</v>
      </c>
      <c r="AY1010">
        <v>844.64</v>
      </c>
      <c r="BA1010">
        <v>1109</v>
      </c>
      <c r="BB1010">
        <v>1261</v>
      </c>
      <c r="BC1010">
        <v>5.35</v>
      </c>
      <c r="BF1010" t="s">
        <v>204</v>
      </c>
    </row>
    <row r="1011" spans="1:58" x14ac:dyDescent="0.45">
      <c r="A1011">
        <v>11010</v>
      </c>
      <c r="B1011">
        <v>1</v>
      </c>
      <c r="C1011">
        <v>82.97</v>
      </c>
      <c r="D1011">
        <v>6.42</v>
      </c>
      <c r="E1011">
        <v>0</v>
      </c>
      <c r="F1011">
        <v>1.26</v>
      </c>
      <c r="G1011">
        <v>0</v>
      </c>
      <c r="H1011">
        <v>0</v>
      </c>
      <c r="I1011">
        <v>0</v>
      </c>
      <c r="J1011">
        <v>2.25</v>
      </c>
      <c r="K1011">
        <v>1.93</v>
      </c>
      <c r="L1011">
        <v>3.05</v>
      </c>
      <c r="M1011">
        <v>2.12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Z1011">
        <v>1</v>
      </c>
      <c r="AA1011">
        <v>0</v>
      </c>
      <c r="AB1011">
        <v>0</v>
      </c>
      <c r="AC1011">
        <v>0</v>
      </c>
      <c r="AD1011">
        <v>1</v>
      </c>
      <c r="AE1011">
        <v>930</v>
      </c>
      <c r="AF1011">
        <v>2</v>
      </c>
      <c r="AG1011">
        <v>0</v>
      </c>
      <c r="AH1011">
        <v>1</v>
      </c>
      <c r="AI1011">
        <v>0</v>
      </c>
      <c r="AJ1011">
        <v>1</v>
      </c>
      <c r="AK1011">
        <v>560</v>
      </c>
      <c r="AL1011">
        <v>4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-0.8136000000000001</v>
      </c>
      <c r="AX1011">
        <v>7.5016666666666669</v>
      </c>
      <c r="AY1011">
        <v>844.64</v>
      </c>
      <c r="BA1011">
        <v>1124</v>
      </c>
      <c r="BB1011">
        <v>1265</v>
      </c>
      <c r="BC1011">
        <v>2.94</v>
      </c>
      <c r="BF1011" t="s">
        <v>204</v>
      </c>
    </row>
    <row r="1012" spans="1:58" x14ac:dyDescent="0.45">
      <c r="A1012">
        <v>11011</v>
      </c>
      <c r="B1012">
        <v>1</v>
      </c>
      <c r="C1012">
        <v>82.97</v>
      </c>
      <c r="D1012">
        <v>6.42</v>
      </c>
      <c r="E1012">
        <v>0</v>
      </c>
      <c r="F1012">
        <v>1.26</v>
      </c>
      <c r="G1012">
        <v>0</v>
      </c>
      <c r="H1012">
        <v>0</v>
      </c>
      <c r="I1012">
        <v>0</v>
      </c>
      <c r="J1012">
        <v>2.25</v>
      </c>
      <c r="K1012">
        <v>1.93</v>
      </c>
      <c r="L1012">
        <v>3.05</v>
      </c>
      <c r="M1012">
        <v>2.12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  <c r="AE1012">
        <v>930</v>
      </c>
      <c r="AF1012">
        <v>2</v>
      </c>
      <c r="AG1012">
        <v>0</v>
      </c>
      <c r="AH1012">
        <v>1</v>
      </c>
      <c r="AI1012">
        <v>0</v>
      </c>
      <c r="AJ1012">
        <v>1</v>
      </c>
      <c r="AK1012">
        <v>590</v>
      </c>
      <c r="AL1012">
        <v>4</v>
      </c>
      <c r="AM1012">
        <v>0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-0.8136000000000001</v>
      </c>
      <c r="AX1012">
        <v>7.5016666666666669</v>
      </c>
      <c r="AY1012">
        <v>844.64</v>
      </c>
      <c r="BA1012">
        <v>1095</v>
      </c>
      <c r="BB1012">
        <v>1238</v>
      </c>
      <c r="BC1012">
        <v>4.3600000000000003</v>
      </c>
      <c r="BF1012" t="s">
        <v>204</v>
      </c>
    </row>
    <row r="1013" spans="1:58" x14ac:dyDescent="0.45">
      <c r="A1013">
        <v>11012</v>
      </c>
      <c r="B1013">
        <v>1</v>
      </c>
      <c r="C1013">
        <v>83.4</v>
      </c>
      <c r="D1013">
        <v>6</v>
      </c>
      <c r="E1013">
        <v>0</v>
      </c>
      <c r="F1013">
        <v>1.5</v>
      </c>
      <c r="G1013">
        <v>0</v>
      </c>
      <c r="H1013">
        <v>0</v>
      </c>
      <c r="I1013">
        <v>0</v>
      </c>
      <c r="J1013">
        <v>2</v>
      </c>
      <c r="K1013">
        <v>2</v>
      </c>
      <c r="L1013">
        <v>3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Z1013">
        <v>1</v>
      </c>
      <c r="AA1013">
        <v>0</v>
      </c>
      <c r="AB1013">
        <v>0</v>
      </c>
      <c r="AC1013">
        <v>0</v>
      </c>
      <c r="AD1013">
        <v>1</v>
      </c>
      <c r="AE1013">
        <v>850</v>
      </c>
      <c r="AF1013">
        <v>1</v>
      </c>
      <c r="AG1013">
        <v>0</v>
      </c>
      <c r="AH1013">
        <v>1</v>
      </c>
      <c r="AI1013">
        <v>0</v>
      </c>
      <c r="AJ1013">
        <v>1</v>
      </c>
      <c r="AK1013">
        <v>600</v>
      </c>
      <c r="AL1013">
        <v>4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-3.9999999999999147E-2</v>
      </c>
      <c r="AX1013">
        <v>7</v>
      </c>
      <c r="AY1013">
        <v>842.55000000000007</v>
      </c>
      <c r="BA1013">
        <v>1136</v>
      </c>
      <c r="BB1013">
        <v>1213</v>
      </c>
      <c r="BC1013">
        <v>10</v>
      </c>
      <c r="BF1013" t="s">
        <v>205</v>
      </c>
    </row>
    <row r="1014" spans="1:58" x14ac:dyDescent="0.45">
      <c r="A1014">
        <v>11013</v>
      </c>
      <c r="B1014">
        <v>1</v>
      </c>
      <c r="C1014">
        <v>83.4</v>
      </c>
      <c r="D1014">
        <v>6</v>
      </c>
      <c r="E1014">
        <v>0</v>
      </c>
      <c r="F1014">
        <v>1.5</v>
      </c>
      <c r="G1014">
        <v>0</v>
      </c>
      <c r="H1014">
        <v>0</v>
      </c>
      <c r="I1014">
        <v>0</v>
      </c>
      <c r="J1014">
        <v>2</v>
      </c>
      <c r="K1014">
        <v>2</v>
      </c>
      <c r="L1014">
        <v>3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Z1014">
        <v>1</v>
      </c>
      <c r="AA1014">
        <v>0</v>
      </c>
      <c r="AB1014">
        <v>0</v>
      </c>
      <c r="AC1014">
        <v>0</v>
      </c>
      <c r="AD1014">
        <v>1</v>
      </c>
      <c r="AE1014">
        <v>900</v>
      </c>
      <c r="AF1014">
        <v>1</v>
      </c>
      <c r="AG1014">
        <v>0</v>
      </c>
      <c r="AH1014">
        <v>1</v>
      </c>
      <c r="AI1014">
        <v>0</v>
      </c>
      <c r="AJ1014">
        <v>1</v>
      </c>
      <c r="AK1014">
        <v>600</v>
      </c>
      <c r="AL1014">
        <v>4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-3.9999999999999147E-2</v>
      </c>
      <c r="AX1014">
        <v>7</v>
      </c>
      <c r="AY1014">
        <v>842.55000000000007</v>
      </c>
      <c r="BA1014">
        <v>1248</v>
      </c>
      <c r="BB1014">
        <v>1340</v>
      </c>
      <c r="BC1014">
        <v>9</v>
      </c>
      <c r="BF1014" t="s">
        <v>205</v>
      </c>
    </row>
    <row r="1015" spans="1:58" x14ac:dyDescent="0.45">
      <c r="A1015">
        <v>11014</v>
      </c>
      <c r="B1015">
        <v>1</v>
      </c>
      <c r="C1015">
        <v>83.4</v>
      </c>
      <c r="D1015">
        <v>6</v>
      </c>
      <c r="E1015">
        <v>0</v>
      </c>
      <c r="F1015">
        <v>1.5</v>
      </c>
      <c r="G1015">
        <v>0</v>
      </c>
      <c r="H1015">
        <v>0</v>
      </c>
      <c r="I1015">
        <v>0</v>
      </c>
      <c r="J1015">
        <v>2</v>
      </c>
      <c r="K1015">
        <v>2</v>
      </c>
      <c r="L1015">
        <v>3</v>
      </c>
      <c r="M1015">
        <v>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Z1015">
        <v>1</v>
      </c>
      <c r="AA1015">
        <v>0</v>
      </c>
      <c r="AB1015">
        <v>0</v>
      </c>
      <c r="AC1015">
        <v>0</v>
      </c>
      <c r="AD1015">
        <v>1</v>
      </c>
      <c r="AE1015">
        <v>920</v>
      </c>
      <c r="AF1015">
        <v>1</v>
      </c>
      <c r="AG1015">
        <v>0</v>
      </c>
      <c r="AH1015">
        <v>1</v>
      </c>
      <c r="AI1015">
        <v>0</v>
      </c>
      <c r="AJ1015">
        <v>1</v>
      </c>
      <c r="AK1015">
        <v>600</v>
      </c>
      <c r="AL1015">
        <v>4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-3.9999999999999147E-2</v>
      </c>
      <c r="AX1015">
        <v>7</v>
      </c>
      <c r="AY1015">
        <v>842.55000000000007</v>
      </c>
      <c r="BA1015">
        <v>1175</v>
      </c>
      <c r="BB1015">
        <v>1259</v>
      </c>
      <c r="BC1015">
        <v>8</v>
      </c>
      <c r="BF1015" t="s">
        <v>205</v>
      </c>
    </row>
    <row r="1016" spans="1:58" x14ac:dyDescent="0.45">
      <c r="A1016">
        <v>11015</v>
      </c>
      <c r="B1016">
        <v>1</v>
      </c>
      <c r="C1016">
        <v>83.4</v>
      </c>
      <c r="D1016">
        <v>6</v>
      </c>
      <c r="E1016">
        <v>0</v>
      </c>
      <c r="F1016">
        <v>1.5</v>
      </c>
      <c r="G1016">
        <v>0</v>
      </c>
      <c r="H1016">
        <v>0</v>
      </c>
      <c r="I1016">
        <v>0</v>
      </c>
      <c r="J1016">
        <v>2</v>
      </c>
      <c r="K1016">
        <v>2</v>
      </c>
      <c r="L1016">
        <v>3</v>
      </c>
      <c r="M1016">
        <v>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Z1016">
        <v>1</v>
      </c>
      <c r="AA1016">
        <v>0</v>
      </c>
      <c r="AB1016">
        <v>0</v>
      </c>
      <c r="AC1016">
        <v>0</v>
      </c>
      <c r="AD1016">
        <v>1</v>
      </c>
      <c r="AE1016">
        <v>920</v>
      </c>
      <c r="AF1016">
        <v>1</v>
      </c>
      <c r="AJ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-3.9999999999999147E-2</v>
      </c>
      <c r="AX1016">
        <v>7</v>
      </c>
      <c r="AY1016">
        <v>842.55000000000007</v>
      </c>
      <c r="BA1016">
        <v>943</v>
      </c>
      <c r="BB1016">
        <v>1018</v>
      </c>
      <c r="BC1016">
        <v>20</v>
      </c>
      <c r="BF1016" t="s">
        <v>205</v>
      </c>
    </row>
    <row r="1017" spans="1:58" x14ac:dyDescent="0.45">
      <c r="A1017">
        <v>11016</v>
      </c>
      <c r="B1017">
        <v>1</v>
      </c>
      <c r="C1017">
        <v>83.4</v>
      </c>
      <c r="D1017">
        <v>6</v>
      </c>
      <c r="E1017">
        <v>0</v>
      </c>
      <c r="F1017">
        <v>1.5</v>
      </c>
      <c r="G1017">
        <v>0</v>
      </c>
      <c r="H1017">
        <v>0</v>
      </c>
      <c r="I1017">
        <v>0</v>
      </c>
      <c r="J1017">
        <v>2</v>
      </c>
      <c r="K1017">
        <v>2</v>
      </c>
      <c r="L1017">
        <v>3</v>
      </c>
      <c r="M1017">
        <v>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Z1017">
        <v>1</v>
      </c>
      <c r="AA1017">
        <v>0</v>
      </c>
      <c r="AB1017">
        <v>0</v>
      </c>
      <c r="AC1017">
        <v>0</v>
      </c>
      <c r="AD1017">
        <v>1</v>
      </c>
      <c r="AE1017">
        <v>970</v>
      </c>
      <c r="AF1017">
        <v>1</v>
      </c>
      <c r="AG1017">
        <v>0</v>
      </c>
      <c r="AH1017">
        <v>1</v>
      </c>
      <c r="AI1017">
        <v>0</v>
      </c>
      <c r="AJ1017">
        <v>1</v>
      </c>
      <c r="AK1017">
        <v>600</v>
      </c>
      <c r="AL1017">
        <v>4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-3.9999999999999147E-2</v>
      </c>
      <c r="AX1017">
        <v>7</v>
      </c>
      <c r="AY1017">
        <v>842.55000000000007</v>
      </c>
      <c r="BA1017">
        <v>1299</v>
      </c>
      <c r="BB1017">
        <v>1318</v>
      </c>
      <c r="BC1017">
        <v>1</v>
      </c>
      <c r="BF1017" t="s">
        <v>205</v>
      </c>
    </row>
    <row r="1018" spans="1:58" x14ac:dyDescent="0.45">
      <c r="A1018">
        <v>11017</v>
      </c>
      <c r="B1018">
        <v>1</v>
      </c>
      <c r="C1018">
        <v>83.4</v>
      </c>
      <c r="D1018">
        <v>6</v>
      </c>
      <c r="E1018">
        <v>0</v>
      </c>
      <c r="F1018">
        <v>1.5</v>
      </c>
      <c r="G1018">
        <v>0</v>
      </c>
      <c r="H1018">
        <v>0</v>
      </c>
      <c r="I1018">
        <v>0</v>
      </c>
      <c r="J1018">
        <v>2</v>
      </c>
      <c r="K1018">
        <v>2</v>
      </c>
      <c r="L1018">
        <v>3</v>
      </c>
      <c r="M1018">
        <v>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Z1018">
        <v>1</v>
      </c>
      <c r="AA1018">
        <v>0</v>
      </c>
      <c r="AB1018">
        <v>0</v>
      </c>
      <c r="AC1018">
        <v>0</v>
      </c>
      <c r="AD1018">
        <v>1</v>
      </c>
      <c r="AE1018">
        <v>970</v>
      </c>
      <c r="AF1018">
        <v>1</v>
      </c>
      <c r="AJ1018">
        <v>1</v>
      </c>
      <c r="AK1018">
        <v>600</v>
      </c>
      <c r="AL1018">
        <v>4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-3.9999999999999147E-2</v>
      </c>
      <c r="AX1018">
        <v>7</v>
      </c>
      <c r="AY1018">
        <v>842.55000000000007</v>
      </c>
      <c r="BA1018">
        <v>938</v>
      </c>
      <c r="BB1018">
        <v>1064</v>
      </c>
      <c r="BC1018">
        <v>9</v>
      </c>
      <c r="BE1018" t="s">
        <v>356</v>
      </c>
      <c r="BF1018" t="s">
        <v>205</v>
      </c>
    </row>
    <row r="1019" spans="1:58" x14ac:dyDescent="0.45">
      <c r="A1019">
        <v>11018</v>
      </c>
      <c r="B1019">
        <v>1</v>
      </c>
      <c r="C1019">
        <v>83.4</v>
      </c>
      <c r="D1019">
        <v>6</v>
      </c>
      <c r="E1019">
        <v>0</v>
      </c>
      <c r="F1019">
        <v>1.5</v>
      </c>
      <c r="G1019">
        <v>0</v>
      </c>
      <c r="H1019">
        <v>0</v>
      </c>
      <c r="I1019">
        <v>0</v>
      </c>
      <c r="J1019">
        <v>2</v>
      </c>
      <c r="K1019">
        <v>2</v>
      </c>
      <c r="L1019">
        <v>3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Z1019">
        <v>1</v>
      </c>
      <c r="AA1019">
        <v>0</v>
      </c>
      <c r="AB1019">
        <v>0</v>
      </c>
      <c r="AC1019">
        <v>0</v>
      </c>
      <c r="AD1019">
        <v>1</v>
      </c>
      <c r="AE1019">
        <v>970</v>
      </c>
      <c r="AF1019">
        <v>1</v>
      </c>
      <c r="AJ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-3.9999999999999147E-2</v>
      </c>
      <c r="AX1019">
        <v>7</v>
      </c>
      <c r="AY1019">
        <v>842.55000000000007</v>
      </c>
      <c r="BA1019">
        <v>950</v>
      </c>
      <c r="BB1019">
        <v>1059</v>
      </c>
      <c r="BC1019">
        <v>10</v>
      </c>
      <c r="BE1019" t="s">
        <v>356</v>
      </c>
      <c r="BF1019" t="s">
        <v>205</v>
      </c>
    </row>
    <row r="1020" spans="1:58" x14ac:dyDescent="0.45">
      <c r="A1020">
        <v>11019</v>
      </c>
      <c r="B1020">
        <v>1</v>
      </c>
      <c r="C1020">
        <v>82.817999999999998</v>
      </c>
      <c r="D1020">
        <v>6.28</v>
      </c>
      <c r="E1020">
        <v>0</v>
      </c>
      <c r="F1020">
        <v>1.61</v>
      </c>
      <c r="G1020">
        <v>0</v>
      </c>
      <c r="H1020">
        <v>0</v>
      </c>
      <c r="I1020">
        <v>0</v>
      </c>
      <c r="J1020">
        <v>2.1800000000000002</v>
      </c>
      <c r="K1020">
        <v>1.89</v>
      </c>
      <c r="L1020">
        <v>3.06</v>
      </c>
      <c r="M1020">
        <v>2.04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Z1020">
        <v>1</v>
      </c>
      <c r="AA1020">
        <v>0</v>
      </c>
      <c r="AB1020">
        <v>0</v>
      </c>
      <c r="AC1020">
        <v>0</v>
      </c>
      <c r="AD1020">
        <v>1</v>
      </c>
      <c r="AE1020">
        <v>800</v>
      </c>
      <c r="AF1020">
        <v>1</v>
      </c>
      <c r="AG1020">
        <v>0</v>
      </c>
      <c r="AH1020">
        <v>1</v>
      </c>
      <c r="AI1020">
        <v>0</v>
      </c>
      <c r="AJ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-0.11479999999999979</v>
      </c>
      <c r="AX1020">
        <v>7.3233333333333333</v>
      </c>
      <c r="AY1020">
        <v>840.1629999999999</v>
      </c>
      <c r="BA1020">
        <v>1010</v>
      </c>
      <c r="BB1020">
        <v>1184</v>
      </c>
      <c r="BC1020">
        <v>19</v>
      </c>
      <c r="BE1020" t="s">
        <v>356</v>
      </c>
      <c r="BF1020" t="s">
        <v>108</v>
      </c>
    </row>
    <row r="1021" spans="1:58" x14ac:dyDescent="0.45">
      <c r="A1021">
        <v>11020</v>
      </c>
      <c r="B1021">
        <v>1</v>
      </c>
      <c r="C1021">
        <v>82.817999999999998</v>
      </c>
      <c r="D1021">
        <v>6.28</v>
      </c>
      <c r="E1021">
        <v>0</v>
      </c>
      <c r="F1021">
        <v>1.61</v>
      </c>
      <c r="G1021">
        <v>0</v>
      </c>
      <c r="H1021">
        <v>0</v>
      </c>
      <c r="I1021">
        <v>0</v>
      </c>
      <c r="J1021">
        <v>2.1800000000000002</v>
      </c>
      <c r="K1021">
        <v>1.89</v>
      </c>
      <c r="L1021">
        <v>3.06</v>
      </c>
      <c r="M1021">
        <v>2.04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Z1021">
        <v>1</v>
      </c>
      <c r="AA1021">
        <v>0</v>
      </c>
      <c r="AB1021">
        <v>0</v>
      </c>
      <c r="AC1021">
        <v>0</v>
      </c>
      <c r="AD1021">
        <v>1</v>
      </c>
      <c r="AE1021">
        <v>800</v>
      </c>
      <c r="AF1021">
        <v>3</v>
      </c>
      <c r="AG1021">
        <v>0</v>
      </c>
      <c r="AH1021">
        <v>1</v>
      </c>
      <c r="AI1021">
        <v>0</v>
      </c>
      <c r="AJ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-0.11479999999999979</v>
      </c>
      <c r="AX1021">
        <v>7.3233333333333333</v>
      </c>
      <c r="AY1021">
        <v>840.1629999999999</v>
      </c>
      <c r="BA1021">
        <v>1002</v>
      </c>
      <c r="BB1021">
        <v>1177</v>
      </c>
      <c r="BC1021">
        <v>19.3</v>
      </c>
      <c r="BE1021" t="s">
        <v>356</v>
      </c>
      <c r="BF1021" t="s">
        <v>108</v>
      </c>
    </row>
    <row r="1022" spans="1:58" x14ac:dyDescent="0.45">
      <c r="A1022">
        <v>11021</v>
      </c>
      <c r="B1022">
        <v>1</v>
      </c>
      <c r="C1022">
        <v>82.817999999999998</v>
      </c>
      <c r="D1022">
        <v>6.28</v>
      </c>
      <c r="E1022">
        <v>0</v>
      </c>
      <c r="F1022">
        <v>1.61</v>
      </c>
      <c r="G1022">
        <v>0</v>
      </c>
      <c r="H1022">
        <v>0</v>
      </c>
      <c r="I1022">
        <v>0</v>
      </c>
      <c r="J1022">
        <v>2.1800000000000002</v>
      </c>
      <c r="K1022">
        <v>1.89</v>
      </c>
      <c r="L1022">
        <v>3.06</v>
      </c>
      <c r="M1022">
        <v>2.04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Z1022">
        <v>1</v>
      </c>
      <c r="AA1022">
        <v>0</v>
      </c>
      <c r="AB1022">
        <v>0</v>
      </c>
      <c r="AC1022">
        <v>0</v>
      </c>
      <c r="AD1022">
        <v>1</v>
      </c>
      <c r="AE1022">
        <v>800</v>
      </c>
      <c r="AF1022">
        <v>6</v>
      </c>
      <c r="AG1022">
        <v>0</v>
      </c>
      <c r="AH1022">
        <v>1</v>
      </c>
      <c r="AI1022">
        <v>0</v>
      </c>
      <c r="AJ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-0.11479999999999979</v>
      </c>
      <c r="AX1022">
        <v>7.3233333333333333</v>
      </c>
      <c r="AY1022">
        <v>840.1629999999999</v>
      </c>
      <c r="BA1022">
        <v>990</v>
      </c>
      <c r="BB1022">
        <v>1156</v>
      </c>
      <c r="BC1022">
        <v>20.100000000000001</v>
      </c>
      <c r="BE1022" t="s">
        <v>356</v>
      </c>
      <c r="BF1022" t="s">
        <v>108</v>
      </c>
    </row>
    <row r="1023" spans="1:58" x14ac:dyDescent="0.45">
      <c r="A1023">
        <v>11022</v>
      </c>
      <c r="B1023">
        <v>1</v>
      </c>
      <c r="C1023">
        <v>82.817999999999998</v>
      </c>
      <c r="D1023">
        <v>6.28</v>
      </c>
      <c r="E1023">
        <v>0</v>
      </c>
      <c r="F1023">
        <v>1.61</v>
      </c>
      <c r="G1023">
        <v>0</v>
      </c>
      <c r="H1023">
        <v>0</v>
      </c>
      <c r="I1023">
        <v>0</v>
      </c>
      <c r="J1023">
        <v>2.1800000000000002</v>
      </c>
      <c r="K1023">
        <v>1.89</v>
      </c>
      <c r="L1023">
        <v>3.06</v>
      </c>
      <c r="M1023">
        <v>2.04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Z1023">
        <v>1</v>
      </c>
      <c r="AA1023">
        <v>0</v>
      </c>
      <c r="AB1023">
        <v>0</v>
      </c>
      <c r="AC1023">
        <v>0</v>
      </c>
      <c r="AD1023">
        <v>1</v>
      </c>
      <c r="AE1023">
        <v>880</v>
      </c>
      <c r="AF1023">
        <v>1</v>
      </c>
      <c r="AG1023">
        <v>0</v>
      </c>
      <c r="AH1023">
        <v>1</v>
      </c>
      <c r="AI1023">
        <v>0</v>
      </c>
      <c r="AJ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-0.11479999999999979</v>
      </c>
      <c r="AX1023">
        <v>7.3233333333333333</v>
      </c>
      <c r="AY1023">
        <v>840.1629999999999</v>
      </c>
      <c r="BA1023">
        <v>695</v>
      </c>
      <c r="BB1023">
        <v>1340</v>
      </c>
      <c r="BC1023">
        <v>20.3</v>
      </c>
      <c r="BE1023" t="s">
        <v>356</v>
      </c>
      <c r="BF1023" t="s">
        <v>108</v>
      </c>
    </row>
    <row r="1024" spans="1:58" x14ac:dyDescent="0.45">
      <c r="A1024">
        <v>11023</v>
      </c>
      <c r="B1024">
        <v>1</v>
      </c>
      <c r="C1024">
        <v>82.817999999999998</v>
      </c>
      <c r="D1024">
        <v>6.28</v>
      </c>
      <c r="E1024">
        <v>0</v>
      </c>
      <c r="F1024">
        <v>1.61</v>
      </c>
      <c r="G1024">
        <v>0</v>
      </c>
      <c r="H1024">
        <v>0</v>
      </c>
      <c r="I1024">
        <v>0</v>
      </c>
      <c r="J1024">
        <v>2.1800000000000002</v>
      </c>
      <c r="K1024">
        <v>1.89</v>
      </c>
      <c r="L1024">
        <v>3.06</v>
      </c>
      <c r="M1024">
        <v>2.04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Z1024">
        <v>1</v>
      </c>
      <c r="AA1024">
        <v>0</v>
      </c>
      <c r="AB1024">
        <v>0</v>
      </c>
      <c r="AC1024">
        <v>0</v>
      </c>
      <c r="AD1024">
        <v>1</v>
      </c>
      <c r="AE1024">
        <v>880</v>
      </c>
      <c r="AF1024">
        <v>3</v>
      </c>
      <c r="AG1024">
        <v>0</v>
      </c>
      <c r="AH1024">
        <v>1</v>
      </c>
      <c r="AI1024">
        <v>0</v>
      </c>
      <c r="AJ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-0.11479999999999979</v>
      </c>
      <c r="AX1024">
        <v>7.3233333333333333</v>
      </c>
      <c r="AY1024">
        <v>840.1629999999999</v>
      </c>
      <c r="BA1024">
        <v>674</v>
      </c>
      <c r="BB1024">
        <v>1333</v>
      </c>
      <c r="BC1024">
        <v>20.399999999999999</v>
      </c>
      <c r="BF1024" t="s">
        <v>108</v>
      </c>
    </row>
    <row r="1025" spans="1:58" x14ac:dyDescent="0.45">
      <c r="A1025">
        <v>11024</v>
      </c>
      <c r="B1025">
        <v>1</v>
      </c>
      <c r="C1025">
        <v>82.817999999999998</v>
      </c>
      <c r="D1025">
        <v>6.28</v>
      </c>
      <c r="E1025">
        <v>0</v>
      </c>
      <c r="F1025">
        <v>1.61</v>
      </c>
      <c r="G1025">
        <v>0</v>
      </c>
      <c r="H1025">
        <v>0</v>
      </c>
      <c r="I1025">
        <v>0</v>
      </c>
      <c r="J1025">
        <v>2.1800000000000002</v>
      </c>
      <c r="K1025">
        <v>1.89</v>
      </c>
      <c r="L1025">
        <v>3.06</v>
      </c>
      <c r="M1025">
        <v>2.04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Z1025">
        <v>1</v>
      </c>
      <c r="AA1025">
        <v>0</v>
      </c>
      <c r="AB1025">
        <v>0</v>
      </c>
      <c r="AC1025">
        <v>0</v>
      </c>
      <c r="AD1025">
        <v>1</v>
      </c>
      <c r="AE1025">
        <v>880</v>
      </c>
      <c r="AF1025">
        <v>6</v>
      </c>
      <c r="AG1025">
        <v>0</v>
      </c>
      <c r="AH1025">
        <v>1</v>
      </c>
      <c r="AI1025">
        <v>0</v>
      </c>
      <c r="AJ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-0.11479999999999979</v>
      </c>
      <c r="AX1025">
        <v>7.3233333333333333</v>
      </c>
      <c r="AY1025">
        <v>840.1629999999999</v>
      </c>
      <c r="BA1025">
        <v>656</v>
      </c>
      <c r="BB1025">
        <v>1317</v>
      </c>
      <c r="BC1025">
        <v>20.7</v>
      </c>
      <c r="BF1025" t="s">
        <v>108</v>
      </c>
    </row>
    <row r="1026" spans="1:58" x14ac:dyDescent="0.45">
      <c r="A1026">
        <v>11025</v>
      </c>
      <c r="B1026">
        <v>1</v>
      </c>
      <c r="C1026">
        <v>82.817999999999998</v>
      </c>
      <c r="D1026">
        <v>6.28</v>
      </c>
      <c r="E1026">
        <v>0</v>
      </c>
      <c r="F1026">
        <v>1.61</v>
      </c>
      <c r="G1026">
        <v>0</v>
      </c>
      <c r="H1026">
        <v>0</v>
      </c>
      <c r="I1026">
        <v>0</v>
      </c>
      <c r="J1026">
        <v>2.1800000000000002</v>
      </c>
      <c r="K1026">
        <v>1.89</v>
      </c>
      <c r="L1026">
        <v>3.06</v>
      </c>
      <c r="M1026">
        <v>2.04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Z1026">
        <v>1</v>
      </c>
      <c r="AA1026">
        <v>0</v>
      </c>
      <c r="AB1026">
        <v>0</v>
      </c>
      <c r="AC1026">
        <v>0</v>
      </c>
      <c r="AD1026">
        <v>1</v>
      </c>
      <c r="AE1026">
        <v>920</v>
      </c>
      <c r="AF1026">
        <v>1</v>
      </c>
      <c r="AG1026">
        <v>0</v>
      </c>
      <c r="AH1026">
        <v>1</v>
      </c>
      <c r="AI1026">
        <v>0</v>
      </c>
      <c r="AJ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-0.11479999999999979</v>
      </c>
      <c r="AX1026">
        <v>7.3233333333333333</v>
      </c>
      <c r="AY1026">
        <v>840.1629999999999</v>
      </c>
      <c r="BA1026">
        <v>1126</v>
      </c>
      <c r="BB1026">
        <v>1582</v>
      </c>
      <c r="BC1026">
        <v>10.1</v>
      </c>
      <c r="BF1026" t="s">
        <v>108</v>
      </c>
    </row>
    <row r="1027" spans="1:58" x14ac:dyDescent="0.45">
      <c r="A1027">
        <v>11026</v>
      </c>
      <c r="B1027">
        <v>1</v>
      </c>
      <c r="C1027">
        <v>82.817999999999998</v>
      </c>
      <c r="D1027">
        <v>6.28</v>
      </c>
      <c r="E1027">
        <v>0</v>
      </c>
      <c r="F1027">
        <v>1.61</v>
      </c>
      <c r="G1027">
        <v>0</v>
      </c>
      <c r="H1027">
        <v>0</v>
      </c>
      <c r="I1027">
        <v>0</v>
      </c>
      <c r="J1027">
        <v>2.1800000000000002</v>
      </c>
      <c r="K1027">
        <v>1.89</v>
      </c>
      <c r="L1027">
        <v>3.06</v>
      </c>
      <c r="M1027">
        <v>2.04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Z1027">
        <v>1</v>
      </c>
      <c r="AA1027">
        <v>0</v>
      </c>
      <c r="AB1027">
        <v>0</v>
      </c>
      <c r="AC1027">
        <v>0</v>
      </c>
      <c r="AD1027">
        <v>1</v>
      </c>
      <c r="AE1027">
        <v>920</v>
      </c>
      <c r="AF1027">
        <v>3</v>
      </c>
      <c r="AG1027">
        <v>0</v>
      </c>
      <c r="AH1027">
        <v>1</v>
      </c>
      <c r="AI1027">
        <v>0</v>
      </c>
      <c r="AJ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-0.11479999999999979</v>
      </c>
      <c r="AX1027">
        <v>7.3233333333333333</v>
      </c>
      <c r="AY1027">
        <v>840.1629999999999</v>
      </c>
      <c r="BA1027">
        <v>1040</v>
      </c>
      <c r="BB1027">
        <v>1565</v>
      </c>
      <c r="BC1027">
        <v>10.7</v>
      </c>
      <c r="BF1027" t="s">
        <v>108</v>
      </c>
    </row>
    <row r="1028" spans="1:58" x14ac:dyDescent="0.45">
      <c r="A1028">
        <v>11027</v>
      </c>
      <c r="B1028">
        <v>1</v>
      </c>
      <c r="C1028">
        <v>82.817999999999998</v>
      </c>
      <c r="D1028">
        <v>6.28</v>
      </c>
      <c r="E1028">
        <v>0</v>
      </c>
      <c r="F1028">
        <v>1.61</v>
      </c>
      <c r="G1028">
        <v>0</v>
      </c>
      <c r="H1028">
        <v>0</v>
      </c>
      <c r="I1028">
        <v>0</v>
      </c>
      <c r="J1028">
        <v>2.1800000000000002</v>
      </c>
      <c r="K1028">
        <v>1.89</v>
      </c>
      <c r="L1028">
        <v>3.06</v>
      </c>
      <c r="M1028">
        <v>2.04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Z1028">
        <v>1</v>
      </c>
      <c r="AA1028">
        <v>0</v>
      </c>
      <c r="AB1028">
        <v>0</v>
      </c>
      <c r="AC1028">
        <v>0</v>
      </c>
      <c r="AD1028">
        <v>1</v>
      </c>
      <c r="AE1028">
        <v>920</v>
      </c>
      <c r="AF1028">
        <v>6</v>
      </c>
      <c r="AG1028">
        <v>0</v>
      </c>
      <c r="AH1028">
        <v>1</v>
      </c>
      <c r="AI1028">
        <v>0</v>
      </c>
      <c r="AJ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-0.11479999999999979</v>
      </c>
      <c r="AX1028">
        <v>7.3233333333333333</v>
      </c>
      <c r="AY1028">
        <v>840.1629999999999</v>
      </c>
      <c r="BA1028">
        <v>1051</v>
      </c>
      <c r="BB1028">
        <v>1605</v>
      </c>
      <c r="BC1028">
        <v>10.7</v>
      </c>
      <c r="BF1028" t="s">
        <v>108</v>
      </c>
    </row>
    <row r="1029" spans="1:58" x14ac:dyDescent="0.45">
      <c r="A1029">
        <v>11028</v>
      </c>
      <c r="B1029">
        <v>1</v>
      </c>
      <c r="C1029">
        <v>83.5</v>
      </c>
      <c r="D1029">
        <v>6.17</v>
      </c>
      <c r="E1029">
        <v>0</v>
      </c>
      <c r="F1029">
        <v>1.41</v>
      </c>
      <c r="G1029">
        <v>0</v>
      </c>
      <c r="H1029">
        <v>0</v>
      </c>
      <c r="I1029">
        <v>0</v>
      </c>
      <c r="J1029">
        <v>1.93</v>
      </c>
      <c r="K1029">
        <v>2.0099999999999998</v>
      </c>
      <c r="L1029">
        <v>3.01</v>
      </c>
      <c r="M1029">
        <v>1.97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J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-0.34120000000000061</v>
      </c>
      <c r="AX1029">
        <v>7.1483333333333325</v>
      </c>
      <c r="AY1029">
        <v>844.25799999999992</v>
      </c>
      <c r="BA1029">
        <v>1136</v>
      </c>
      <c r="BB1029">
        <v>1183</v>
      </c>
      <c r="BC1029">
        <v>7.5</v>
      </c>
      <c r="BF1029" t="s">
        <v>206</v>
      </c>
    </row>
    <row r="1030" spans="1:58" x14ac:dyDescent="0.45">
      <c r="A1030">
        <v>11029</v>
      </c>
      <c r="B1030">
        <v>1</v>
      </c>
      <c r="C1030">
        <v>83.5</v>
      </c>
      <c r="D1030">
        <v>6.17</v>
      </c>
      <c r="E1030">
        <v>0</v>
      </c>
      <c r="F1030">
        <v>1.41</v>
      </c>
      <c r="G1030">
        <v>0</v>
      </c>
      <c r="H1030">
        <v>0</v>
      </c>
      <c r="I1030">
        <v>0</v>
      </c>
      <c r="J1030">
        <v>1.93</v>
      </c>
      <c r="K1030">
        <v>2.0099999999999998</v>
      </c>
      <c r="L1030">
        <v>3.01</v>
      </c>
      <c r="M1030">
        <v>1.97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Z1030">
        <v>1</v>
      </c>
      <c r="AA1030">
        <v>0</v>
      </c>
      <c r="AB1030">
        <v>0</v>
      </c>
      <c r="AC1030">
        <v>0</v>
      </c>
      <c r="AD1030">
        <v>1</v>
      </c>
      <c r="AE1030">
        <v>880</v>
      </c>
      <c r="AF1030">
        <v>1</v>
      </c>
      <c r="AG1030">
        <v>0</v>
      </c>
      <c r="AH1030">
        <v>1</v>
      </c>
      <c r="AI1030">
        <v>0</v>
      </c>
      <c r="AJ1030">
        <v>1</v>
      </c>
      <c r="AK1030">
        <v>590</v>
      </c>
      <c r="AL1030">
        <v>2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-0.34120000000000061</v>
      </c>
      <c r="AX1030">
        <v>7.1483333333333325</v>
      </c>
      <c r="AY1030">
        <v>844.25799999999992</v>
      </c>
      <c r="BB1030">
        <v>1145</v>
      </c>
      <c r="BC1030">
        <v>12.5</v>
      </c>
      <c r="BF1030" t="s">
        <v>206</v>
      </c>
    </row>
    <row r="1031" spans="1:58" x14ac:dyDescent="0.45">
      <c r="A1031">
        <v>11030</v>
      </c>
      <c r="B1031">
        <v>1</v>
      </c>
      <c r="C1031">
        <v>80.63</v>
      </c>
      <c r="D1031">
        <v>5.21</v>
      </c>
      <c r="E1031">
        <v>4.91</v>
      </c>
      <c r="F1031">
        <v>2.76</v>
      </c>
      <c r="G1031">
        <v>0</v>
      </c>
      <c r="H1031">
        <v>0.39</v>
      </c>
      <c r="I1031">
        <v>0</v>
      </c>
      <c r="J1031">
        <v>1.1000000000000001</v>
      </c>
      <c r="K1031">
        <v>0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Z1031">
        <v>1</v>
      </c>
      <c r="AA1031">
        <v>0</v>
      </c>
      <c r="AB1031">
        <v>0</v>
      </c>
      <c r="AC1031">
        <v>0</v>
      </c>
      <c r="AD1031">
        <v>1</v>
      </c>
      <c r="AE1031">
        <v>840</v>
      </c>
      <c r="AF1031">
        <v>1.5</v>
      </c>
      <c r="AG1031">
        <v>0</v>
      </c>
      <c r="AH1031">
        <v>0</v>
      </c>
      <c r="AI1031">
        <v>1</v>
      </c>
      <c r="AJ1031">
        <v>1</v>
      </c>
      <c r="AK1031">
        <v>580</v>
      </c>
      <c r="AL1031">
        <v>8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8.6266999999999996</v>
      </c>
      <c r="AX1031">
        <v>5.3933333333333335</v>
      </c>
      <c r="AY1031">
        <v>740.51100000000008</v>
      </c>
      <c r="BB1031">
        <v>1154</v>
      </c>
      <c r="BC1031">
        <v>16.899999999999999</v>
      </c>
      <c r="BF1031" t="s">
        <v>207</v>
      </c>
    </row>
    <row r="1032" spans="1:58" x14ac:dyDescent="0.45">
      <c r="A1032">
        <v>11031</v>
      </c>
      <c r="B1032">
        <v>1</v>
      </c>
      <c r="C1032">
        <v>80.63</v>
      </c>
      <c r="D1032">
        <v>5.21</v>
      </c>
      <c r="E1032">
        <v>4.91</v>
      </c>
      <c r="F1032">
        <v>2.76</v>
      </c>
      <c r="G1032">
        <v>0</v>
      </c>
      <c r="H1032">
        <v>0.39</v>
      </c>
      <c r="I1032">
        <v>0</v>
      </c>
      <c r="J1032">
        <v>1.1000000000000001</v>
      </c>
      <c r="K1032">
        <v>0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Z1032">
        <v>1</v>
      </c>
      <c r="AA1032">
        <v>0</v>
      </c>
      <c r="AB1032">
        <v>0</v>
      </c>
      <c r="AC1032">
        <v>0</v>
      </c>
      <c r="AD1032">
        <v>1</v>
      </c>
      <c r="AE1032">
        <v>860</v>
      </c>
      <c r="AF1032">
        <v>1.5</v>
      </c>
      <c r="AG1032">
        <v>0</v>
      </c>
      <c r="AH1032">
        <v>0</v>
      </c>
      <c r="AI1032">
        <v>1</v>
      </c>
      <c r="AJ1032">
        <v>1</v>
      </c>
      <c r="AK1032">
        <v>580</v>
      </c>
      <c r="AL1032">
        <v>8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8.6266999999999996</v>
      </c>
      <c r="AX1032">
        <v>5.3933333333333335</v>
      </c>
      <c r="AY1032">
        <v>740.51100000000008</v>
      </c>
      <c r="BB1032">
        <v>1158</v>
      </c>
      <c r="BC1032">
        <v>17.3</v>
      </c>
      <c r="BF1032" t="s">
        <v>207</v>
      </c>
    </row>
    <row r="1033" spans="1:58" x14ac:dyDescent="0.45">
      <c r="A1033">
        <v>11032</v>
      </c>
      <c r="B1033">
        <v>1</v>
      </c>
      <c r="C1033">
        <v>80.63</v>
      </c>
      <c r="D1033">
        <v>5.21</v>
      </c>
      <c r="E1033">
        <v>4.91</v>
      </c>
      <c r="F1033">
        <v>2.76</v>
      </c>
      <c r="G1033">
        <v>0</v>
      </c>
      <c r="H1033">
        <v>0.39</v>
      </c>
      <c r="I1033">
        <v>0</v>
      </c>
      <c r="J1033">
        <v>1.1000000000000001</v>
      </c>
      <c r="K1033">
        <v>0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Z1033">
        <v>1</v>
      </c>
      <c r="AA1033">
        <v>0</v>
      </c>
      <c r="AB1033">
        <v>0</v>
      </c>
      <c r="AC1033">
        <v>0</v>
      </c>
      <c r="AD1033">
        <v>1</v>
      </c>
      <c r="AE1033">
        <v>870</v>
      </c>
      <c r="AF1033">
        <v>1.5</v>
      </c>
      <c r="AG1033">
        <v>0</v>
      </c>
      <c r="AH1033">
        <v>0</v>
      </c>
      <c r="AI1033">
        <v>1</v>
      </c>
      <c r="AJ1033">
        <v>1</v>
      </c>
      <c r="AK1033">
        <v>580</v>
      </c>
      <c r="AL1033">
        <v>8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8.6266999999999996</v>
      </c>
      <c r="AX1033">
        <v>5.3933333333333335</v>
      </c>
      <c r="AY1033">
        <v>740.51100000000008</v>
      </c>
      <c r="BB1033">
        <v>1156</v>
      </c>
      <c r="BC1033">
        <v>15.7</v>
      </c>
      <c r="BF1033" t="s">
        <v>207</v>
      </c>
    </row>
    <row r="1034" spans="1:58" x14ac:dyDescent="0.45">
      <c r="A1034">
        <v>11033</v>
      </c>
      <c r="B1034">
        <v>1</v>
      </c>
      <c r="C1034">
        <v>80.63</v>
      </c>
      <c r="D1034">
        <v>5.21</v>
      </c>
      <c r="E1034">
        <v>4.91</v>
      </c>
      <c r="F1034">
        <v>2.76</v>
      </c>
      <c r="G1034">
        <v>0</v>
      </c>
      <c r="H1034">
        <v>0.39</v>
      </c>
      <c r="I1034">
        <v>0</v>
      </c>
      <c r="J1034">
        <v>1.1000000000000001</v>
      </c>
      <c r="K1034">
        <v>0</v>
      </c>
      <c r="L1034">
        <v>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Z1034">
        <v>1</v>
      </c>
      <c r="AA1034">
        <v>0</v>
      </c>
      <c r="AB1034">
        <v>0</v>
      </c>
      <c r="AC1034">
        <v>0</v>
      </c>
      <c r="AD1034">
        <v>1</v>
      </c>
      <c r="AE1034">
        <v>880</v>
      </c>
      <c r="AF1034">
        <v>1.5</v>
      </c>
      <c r="AG1034">
        <v>0</v>
      </c>
      <c r="AH1034">
        <v>0</v>
      </c>
      <c r="AI1034">
        <v>1</v>
      </c>
      <c r="AJ1034">
        <v>1</v>
      </c>
      <c r="AK1034">
        <v>580</v>
      </c>
      <c r="AL1034">
        <v>8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8.6266999999999996</v>
      </c>
      <c r="AX1034">
        <v>5.3933333333333335</v>
      </c>
      <c r="AY1034">
        <v>740.51100000000008</v>
      </c>
      <c r="BB1034">
        <v>1150</v>
      </c>
      <c r="BC1034">
        <v>14.9</v>
      </c>
      <c r="BF1034" t="s">
        <v>207</v>
      </c>
    </row>
    <row r="1035" spans="1:58" x14ac:dyDescent="0.45">
      <c r="A1035">
        <v>11034</v>
      </c>
      <c r="B1035">
        <v>1</v>
      </c>
      <c r="C1035">
        <v>80.63</v>
      </c>
      <c r="D1035">
        <v>5.21</v>
      </c>
      <c r="E1035">
        <v>4.91</v>
      </c>
      <c r="F1035">
        <v>2.76</v>
      </c>
      <c r="G1035">
        <v>0</v>
      </c>
      <c r="H1035">
        <v>0.39</v>
      </c>
      <c r="I1035">
        <v>0</v>
      </c>
      <c r="J1035">
        <v>1.1000000000000001</v>
      </c>
      <c r="K1035">
        <v>0</v>
      </c>
      <c r="L1035">
        <v>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Z1035">
        <v>1</v>
      </c>
      <c r="AA1035">
        <v>0</v>
      </c>
      <c r="AB1035">
        <v>0</v>
      </c>
      <c r="AC1035">
        <v>0</v>
      </c>
      <c r="AD1035">
        <v>1</v>
      </c>
      <c r="AE1035">
        <v>900</v>
      </c>
      <c r="AF1035">
        <v>1.5</v>
      </c>
      <c r="AG1035">
        <v>0</v>
      </c>
      <c r="AH1035">
        <v>0</v>
      </c>
      <c r="AI1035">
        <v>1</v>
      </c>
      <c r="AJ1035">
        <v>1</v>
      </c>
      <c r="AK1035">
        <v>580</v>
      </c>
      <c r="AL1035">
        <v>8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8.6266999999999996</v>
      </c>
      <c r="AX1035">
        <v>5.3933333333333335</v>
      </c>
      <c r="AY1035">
        <v>740.51100000000008</v>
      </c>
      <c r="BB1035">
        <v>1176</v>
      </c>
      <c r="BC1035">
        <v>13.8</v>
      </c>
      <c r="BF1035" t="s">
        <v>207</v>
      </c>
    </row>
    <row r="1036" spans="1:58" x14ac:dyDescent="0.45">
      <c r="A1036">
        <v>11035</v>
      </c>
      <c r="B1036">
        <v>1</v>
      </c>
      <c r="C1036">
        <v>80.63</v>
      </c>
      <c r="D1036">
        <v>5.21</v>
      </c>
      <c r="E1036">
        <v>4.91</v>
      </c>
      <c r="F1036">
        <v>2.76</v>
      </c>
      <c r="G1036">
        <v>0</v>
      </c>
      <c r="H1036">
        <v>0.39</v>
      </c>
      <c r="I1036">
        <v>0</v>
      </c>
      <c r="J1036">
        <v>1.1000000000000001</v>
      </c>
      <c r="K1036">
        <v>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Z1036">
        <v>1</v>
      </c>
      <c r="AA1036">
        <v>0</v>
      </c>
      <c r="AB1036">
        <v>0</v>
      </c>
      <c r="AC1036">
        <v>0</v>
      </c>
      <c r="AD1036">
        <v>1</v>
      </c>
      <c r="AE1036">
        <v>790</v>
      </c>
      <c r="AF1036">
        <v>1</v>
      </c>
      <c r="AG1036">
        <v>0</v>
      </c>
      <c r="AH1036">
        <v>1</v>
      </c>
      <c r="AI1036">
        <v>0</v>
      </c>
      <c r="AJ1036">
        <v>1</v>
      </c>
      <c r="AK1036">
        <v>580</v>
      </c>
      <c r="AL1036">
        <v>8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8.6266999999999996</v>
      </c>
      <c r="AX1036">
        <v>5.3933333333333335</v>
      </c>
      <c r="AY1036">
        <v>740.51100000000008</v>
      </c>
      <c r="BB1036">
        <v>1037</v>
      </c>
      <c r="BC1036">
        <v>13.8</v>
      </c>
      <c r="BF1036" t="s">
        <v>207</v>
      </c>
    </row>
    <row r="1037" spans="1:58" x14ac:dyDescent="0.45">
      <c r="A1037">
        <v>11036</v>
      </c>
      <c r="B1037">
        <v>1</v>
      </c>
      <c r="C1037">
        <v>80.63</v>
      </c>
      <c r="D1037">
        <v>5.21</v>
      </c>
      <c r="E1037">
        <v>4.91</v>
      </c>
      <c r="F1037">
        <v>2.76</v>
      </c>
      <c r="G1037">
        <v>0</v>
      </c>
      <c r="H1037">
        <v>0.39</v>
      </c>
      <c r="I1037">
        <v>0</v>
      </c>
      <c r="J1037">
        <v>1.1000000000000001</v>
      </c>
      <c r="K1037">
        <v>0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Z1037">
        <v>1</v>
      </c>
      <c r="AA1037">
        <v>0</v>
      </c>
      <c r="AB1037">
        <v>0</v>
      </c>
      <c r="AC1037">
        <v>0</v>
      </c>
      <c r="AD1037">
        <v>1</v>
      </c>
      <c r="AE1037">
        <v>800</v>
      </c>
      <c r="AF1037">
        <v>1</v>
      </c>
      <c r="AG1037">
        <v>0</v>
      </c>
      <c r="AH1037">
        <v>1</v>
      </c>
      <c r="AI1037">
        <v>0</v>
      </c>
      <c r="AJ1037">
        <v>1</v>
      </c>
      <c r="AK1037">
        <v>580</v>
      </c>
      <c r="AL1037">
        <v>8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8.6266999999999996</v>
      </c>
      <c r="AX1037">
        <v>5.3933333333333335</v>
      </c>
      <c r="AY1037">
        <v>740.51100000000008</v>
      </c>
      <c r="BB1037">
        <v>1357</v>
      </c>
      <c r="BC1037">
        <v>13.1</v>
      </c>
      <c r="BF1037" t="s">
        <v>207</v>
      </c>
    </row>
    <row r="1038" spans="1:58" x14ac:dyDescent="0.45">
      <c r="A1038">
        <v>11037</v>
      </c>
      <c r="B1038">
        <v>1</v>
      </c>
      <c r="C1038">
        <v>80.63</v>
      </c>
      <c r="D1038">
        <v>5.21</v>
      </c>
      <c r="E1038">
        <v>4.91</v>
      </c>
      <c r="F1038">
        <v>2.76</v>
      </c>
      <c r="G1038">
        <v>0</v>
      </c>
      <c r="H1038">
        <v>0.39</v>
      </c>
      <c r="I1038">
        <v>0</v>
      </c>
      <c r="J1038">
        <v>1.1000000000000001</v>
      </c>
      <c r="K1038">
        <v>0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Z1038">
        <v>1</v>
      </c>
      <c r="AA1038">
        <v>0</v>
      </c>
      <c r="AB1038">
        <v>0</v>
      </c>
      <c r="AC1038">
        <v>0</v>
      </c>
      <c r="AD1038">
        <v>1</v>
      </c>
      <c r="AE1038">
        <v>805</v>
      </c>
      <c r="AF1038">
        <v>1</v>
      </c>
      <c r="AG1038">
        <v>0</v>
      </c>
      <c r="AH1038">
        <v>1</v>
      </c>
      <c r="AI1038">
        <v>0</v>
      </c>
      <c r="AJ1038">
        <v>1</v>
      </c>
      <c r="AK1038">
        <v>580</v>
      </c>
      <c r="AL1038">
        <v>8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8.6266999999999996</v>
      </c>
      <c r="AX1038">
        <v>5.3933333333333335</v>
      </c>
      <c r="AY1038">
        <v>740.51100000000008</v>
      </c>
      <c r="BB1038">
        <v>1311</v>
      </c>
      <c r="BC1038">
        <v>15.7</v>
      </c>
      <c r="BF1038" t="s">
        <v>207</v>
      </c>
    </row>
    <row r="1039" spans="1:58" x14ac:dyDescent="0.45">
      <c r="A1039">
        <v>11038</v>
      </c>
      <c r="B1039">
        <v>1</v>
      </c>
      <c r="C1039">
        <v>80.63</v>
      </c>
      <c r="D1039">
        <v>5.21</v>
      </c>
      <c r="E1039">
        <v>4.91</v>
      </c>
      <c r="F1039">
        <v>2.76</v>
      </c>
      <c r="G1039">
        <v>0</v>
      </c>
      <c r="H1039">
        <v>0.39</v>
      </c>
      <c r="I1039">
        <v>0</v>
      </c>
      <c r="J1039">
        <v>1.1000000000000001</v>
      </c>
      <c r="K1039">
        <v>0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Z1039">
        <v>1</v>
      </c>
      <c r="AA1039">
        <v>0</v>
      </c>
      <c r="AB1039">
        <v>0</v>
      </c>
      <c r="AC1039">
        <v>0</v>
      </c>
      <c r="AD1039">
        <v>1</v>
      </c>
      <c r="AE1039">
        <v>810</v>
      </c>
      <c r="AF1039">
        <v>1</v>
      </c>
      <c r="AG1039">
        <v>0</v>
      </c>
      <c r="AH1039">
        <v>1</v>
      </c>
      <c r="AI1039">
        <v>0</v>
      </c>
      <c r="AJ1039">
        <v>1</v>
      </c>
      <c r="AK1039">
        <v>580</v>
      </c>
      <c r="AL1039">
        <v>8</v>
      </c>
      <c r="AM1039">
        <v>0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8.6266999999999996</v>
      </c>
      <c r="AX1039">
        <v>5.3933333333333335</v>
      </c>
      <c r="AY1039">
        <v>740.51100000000008</v>
      </c>
      <c r="BB1039">
        <v>1311</v>
      </c>
      <c r="BC1039">
        <v>16.7</v>
      </c>
      <c r="BF1039" t="s">
        <v>207</v>
      </c>
    </row>
    <row r="1040" spans="1:58" x14ac:dyDescent="0.45">
      <c r="A1040">
        <v>11039</v>
      </c>
      <c r="B1040">
        <v>1</v>
      </c>
      <c r="C1040">
        <v>80.63</v>
      </c>
      <c r="D1040">
        <v>5.21</v>
      </c>
      <c r="E1040">
        <v>4.91</v>
      </c>
      <c r="F1040">
        <v>2.76</v>
      </c>
      <c r="G1040">
        <v>0</v>
      </c>
      <c r="H1040">
        <v>0.39</v>
      </c>
      <c r="I1040">
        <v>0</v>
      </c>
      <c r="J1040">
        <v>1.1000000000000001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Z1040">
        <v>1</v>
      </c>
      <c r="AA1040">
        <v>0</v>
      </c>
      <c r="AB1040">
        <v>0</v>
      </c>
      <c r="AC1040">
        <v>0</v>
      </c>
      <c r="AD1040">
        <v>1</v>
      </c>
      <c r="AE1040">
        <v>815</v>
      </c>
      <c r="AF1040">
        <v>1</v>
      </c>
      <c r="AG1040">
        <v>0</v>
      </c>
      <c r="AH1040">
        <v>1</v>
      </c>
      <c r="AI1040">
        <v>0</v>
      </c>
      <c r="AJ1040">
        <v>1</v>
      </c>
      <c r="AK1040">
        <v>580</v>
      </c>
      <c r="AL1040">
        <v>8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8.6266999999999996</v>
      </c>
      <c r="AX1040">
        <v>5.3933333333333335</v>
      </c>
      <c r="AY1040">
        <v>740.51100000000008</v>
      </c>
      <c r="BB1040">
        <v>1342</v>
      </c>
      <c r="BC1040">
        <v>14</v>
      </c>
      <c r="BF1040" t="s">
        <v>207</v>
      </c>
    </row>
    <row r="1041" spans="1:58" x14ac:dyDescent="0.45">
      <c r="A1041">
        <v>11040</v>
      </c>
      <c r="B1041">
        <v>1</v>
      </c>
      <c r="C1041">
        <v>80.63</v>
      </c>
      <c r="D1041">
        <v>5.21</v>
      </c>
      <c r="E1041">
        <v>4.91</v>
      </c>
      <c r="F1041">
        <v>2.76</v>
      </c>
      <c r="G1041">
        <v>0</v>
      </c>
      <c r="H1041">
        <v>0.39</v>
      </c>
      <c r="I1041">
        <v>0</v>
      </c>
      <c r="J1041">
        <v>1.1000000000000001</v>
      </c>
      <c r="K1041">
        <v>0</v>
      </c>
      <c r="L1041">
        <v>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Z1041">
        <v>1</v>
      </c>
      <c r="AA1041">
        <v>0</v>
      </c>
      <c r="AB1041">
        <v>0</v>
      </c>
      <c r="AC1041">
        <v>0</v>
      </c>
      <c r="AD1041">
        <v>1</v>
      </c>
      <c r="AE1041">
        <v>820</v>
      </c>
      <c r="AF1041">
        <v>1</v>
      </c>
      <c r="AG1041">
        <v>0</v>
      </c>
      <c r="AH1041">
        <v>1</v>
      </c>
      <c r="AI1041">
        <v>0</v>
      </c>
      <c r="AJ1041">
        <v>1</v>
      </c>
      <c r="AK1041">
        <v>580</v>
      </c>
      <c r="AL1041">
        <v>8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8.6266999999999996</v>
      </c>
      <c r="AX1041">
        <v>5.3933333333333335</v>
      </c>
      <c r="AY1041">
        <v>740.51100000000008</v>
      </c>
      <c r="BB1041">
        <v>1365</v>
      </c>
      <c r="BC1041">
        <v>11.6</v>
      </c>
      <c r="BF1041" t="s">
        <v>207</v>
      </c>
    </row>
    <row r="1042" spans="1:58" x14ac:dyDescent="0.45">
      <c r="A1042">
        <v>11041</v>
      </c>
      <c r="B1042">
        <v>1</v>
      </c>
      <c r="C1042">
        <v>80.63</v>
      </c>
      <c r="D1042">
        <v>5.21</v>
      </c>
      <c r="E1042">
        <v>4.91</v>
      </c>
      <c r="F1042">
        <v>2.76</v>
      </c>
      <c r="G1042">
        <v>0</v>
      </c>
      <c r="H1042">
        <v>0.39</v>
      </c>
      <c r="I1042">
        <v>0</v>
      </c>
      <c r="J1042">
        <v>1.1000000000000001</v>
      </c>
      <c r="K1042">
        <v>0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Z1042">
        <v>1</v>
      </c>
      <c r="AA1042">
        <v>0</v>
      </c>
      <c r="AB1042">
        <v>0</v>
      </c>
      <c r="AC1042">
        <v>0</v>
      </c>
      <c r="AD1042">
        <v>1</v>
      </c>
      <c r="AE1042">
        <v>830</v>
      </c>
      <c r="AF1042">
        <v>1</v>
      </c>
      <c r="AG1042">
        <v>0</v>
      </c>
      <c r="AH1042">
        <v>1</v>
      </c>
      <c r="AI1042">
        <v>0</v>
      </c>
      <c r="AJ1042">
        <v>1</v>
      </c>
      <c r="AK1042">
        <v>580</v>
      </c>
      <c r="AL1042">
        <v>8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8.6266999999999996</v>
      </c>
      <c r="AX1042">
        <v>5.3933333333333335</v>
      </c>
      <c r="AY1042">
        <v>740.51100000000008</v>
      </c>
      <c r="BB1042">
        <v>1356</v>
      </c>
      <c r="BC1042">
        <v>9.4</v>
      </c>
      <c r="BF1042" t="s">
        <v>207</v>
      </c>
    </row>
    <row r="1043" spans="1:58" x14ac:dyDescent="0.45">
      <c r="A1043">
        <v>11042</v>
      </c>
      <c r="B1043">
        <v>1</v>
      </c>
      <c r="C1043">
        <v>86.125</v>
      </c>
      <c r="D1043">
        <v>4.8600000000000003</v>
      </c>
      <c r="E1043">
        <v>4.87</v>
      </c>
      <c r="F1043">
        <v>1.3</v>
      </c>
      <c r="G1043">
        <v>0</v>
      </c>
      <c r="H1043">
        <v>0.8</v>
      </c>
      <c r="I1043">
        <v>0</v>
      </c>
      <c r="J1043">
        <v>2.5000000000000001E-2</v>
      </c>
      <c r="K1043">
        <v>0</v>
      </c>
      <c r="L1043">
        <v>1.87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Z1043">
        <v>1</v>
      </c>
      <c r="AA1043">
        <v>0</v>
      </c>
      <c r="AB1043">
        <v>0</v>
      </c>
      <c r="AC1043">
        <v>0</v>
      </c>
      <c r="AD1043">
        <v>1</v>
      </c>
      <c r="AE1043">
        <v>800</v>
      </c>
      <c r="AF1043">
        <v>1</v>
      </c>
      <c r="AG1043">
        <v>1</v>
      </c>
      <c r="AH1043">
        <v>0</v>
      </c>
      <c r="AI1043">
        <v>0</v>
      </c>
      <c r="AJ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4.6728999999999994</v>
      </c>
      <c r="AX1043">
        <v>4.8641666666666667</v>
      </c>
      <c r="AY1043">
        <v>788.75249999999994</v>
      </c>
      <c r="BA1043">
        <v>870</v>
      </c>
      <c r="BB1043">
        <v>990</v>
      </c>
      <c r="BC1043">
        <v>17</v>
      </c>
      <c r="BF1043" t="s">
        <v>209</v>
      </c>
    </row>
    <row r="1044" spans="1:58" x14ac:dyDescent="0.45">
      <c r="A1044">
        <v>11043</v>
      </c>
      <c r="B1044">
        <v>1</v>
      </c>
      <c r="C1044">
        <v>86.125</v>
      </c>
      <c r="D1044">
        <v>4.8600000000000003</v>
      </c>
      <c r="E1044">
        <v>4.87</v>
      </c>
      <c r="F1044">
        <v>1.3</v>
      </c>
      <c r="G1044">
        <v>0</v>
      </c>
      <c r="H1044">
        <v>0.8</v>
      </c>
      <c r="I1044">
        <v>0</v>
      </c>
      <c r="J1044">
        <v>2.5000000000000001E-2</v>
      </c>
      <c r="K1044">
        <v>0</v>
      </c>
      <c r="L1044">
        <v>1.87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860</v>
      </c>
      <c r="AF1044">
        <v>1</v>
      </c>
      <c r="AG1044">
        <v>1</v>
      </c>
      <c r="AH1044">
        <v>0</v>
      </c>
      <c r="AI1044">
        <v>0</v>
      </c>
      <c r="AJ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4.6728999999999994</v>
      </c>
      <c r="AX1044">
        <v>4.8641666666666667</v>
      </c>
      <c r="AY1044">
        <v>788.75249999999994</v>
      </c>
      <c r="BA1044">
        <v>920</v>
      </c>
      <c r="BB1044">
        <v>1050</v>
      </c>
      <c r="BC1044">
        <v>11</v>
      </c>
      <c r="BF1044" t="s">
        <v>209</v>
      </c>
    </row>
    <row r="1045" spans="1:58" x14ac:dyDescent="0.45">
      <c r="A1045">
        <v>11044</v>
      </c>
      <c r="B1045">
        <v>1</v>
      </c>
      <c r="C1045">
        <v>82.14</v>
      </c>
      <c r="D1045">
        <v>5.0999999999999996</v>
      </c>
      <c r="E1045">
        <v>0</v>
      </c>
      <c r="F1045">
        <v>3.21</v>
      </c>
      <c r="G1045">
        <v>0</v>
      </c>
      <c r="H1045">
        <v>0.1</v>
      </c>
      <c r="I1045">
        <v>0</v>
      </c>
      <c r="J1045">
        <v>1.83</v>
      </c>
      <c r="K1045">
        <v>0</v>
      </c>
      <c r="L1045">
        <v>4.7</v>
      </c>
      <c r="M1045">
        <v>2.88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J1045">
        <v>1</v>
      </c>
      <c r="AK1045">
        <v>630</v>
      </c>
      <c r="AL1045">
        <v>8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5.0260000000000016</v>
      </c>
      <c r="AX1045">
        <v>6.3649999999999993</v>
      </c>
      <c r="AY1045">
        <v>807.14800000000014</v>
      </c>
      <c r="BA1045">
        <v>1030</v>
      </c>
      <c r="BB1045">
        <v>1120</v>
      </c>
      <c r="BC1045">
        <v>7</v>
      </c>
      <c r="BF1045" t="s">
        <v>210</v>
      </c>
    </row>
    <row r="1046" spans="1:58" x14ac:dyDescent="0.45">
      <c r="A1046">
        <v>11045</v>
      </c>
      <c r="B1046">
        <v>0</v>
      </c>
      <c r="C1046">
        <v>82.594999999999999</v>
      </c>
      <c r="D1046">
        <v>5.22</v>
      </c>
      <c r="E1046">
        <v>0</v>
      </c>
      <c r="F1046">
        <v>3.66</v>
      </c>
      <c r="G1046">
        <v>0</v>
      </c>
      <c r="H1046">
        <v>0.09</v>
      </c>
      <c r="I1046">
        <v>0</v>
      </c>
      <c r="J1046">
        <v>2.0499999999999998</v>
      </c>
      <c r="K1046">
        <v>0</v>
      </c>
      <c r="L1046">
        <v>4.12</v>
      </c>
      <c r="M1046">
        <v>2.15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Z1046">
        <v>1</v>
      </c>
      <c r="AA1046">
        <v>0</v>
      </c>
      <c r="AB1046">
        <v>0</v>
      </c>
      <c r="AC1046">
        <v>0</v>
      </c>
      <c r="AD1046">
        <v>1</v>
      </c>
      <c r="AE1046">
        <v>600</v>
      </c>
      <c r="AF1046">
        <v>8</v>
      </c>
      <c r="AG1046">
        <v>0</v>
      </c>
      <c r="AH1046">
        <v>1</v>
      </c>
      <c r="AI1046">
        <v>0</v>
      </c>
      <c r="AJ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5.0170000000000021</v>
      </c>
      <c r="AX1046">
        <v>6.2783333333333333</v>
      </c>
      <c r="AY1046">
        <v>803.03500000000008</v>
      </c>
      <c r="BF1046" t="s">
        <v>212</v>
      </c>
    </row>
    <row r="1047" spans="1:58" x14ac:dyDescent="0.45">
      <c r="A1047">
        <v>11046</v>
      </c>
      <c r="B1047">
        <v>0</v>
      </c>
      <c r="C1047">
        <v>82.594999999999999</v>
      </c>
      <c r="D1047">
        <v>5.22</v>
      </c>
      <c r="E1047">
        <v>0</v>
      </c>
      <c r="F1047">
        <v>3.66</v>
      </c>
      <c r="G1047">
        <v>0</v>
      </c>
      <c r="H1047">
        <v>0.09</v>
      </c>
      <c r="I1047">
        <v>0</v>
      </c>
      <c r="J1047">
        <v>2.0499999999999998</v>
      </c>
      <c r="K1047">
        <v>0</v>
      </c>
      <c r="L1047">
        <v>4.12</v>
      </c>
      <c r="M1047">
        <v>2.15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Y1047">
        <v>20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601</v>
      </c>
      <c r="AF1047">
        <v>8.0166666666666693</v>
      </c>
      <c r="AG1047">
        <v>0</v>
      </c>
      <c r="AH1047">
        <v>1</v>
      </c>
      <c r="AI1047">
        <v>0</v>
      </c>
      <c r="AJ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5.0170000000000021</v>
      </c>
      <c r="AX1047">
        <v>6.2783333333333333</v>
      </c>
      <c r="AY1047">
        <v>803.03500000000008</v>
      </c>
      <c r="BF1047" t="s">
        <v>212</v>
      </c>
    </row>
    <row r="1048" spans="1:58" x14ac:dyDescent="0.45">
      <c r="A1048">
        <v>11047</v>
      </c>
      <c r="B1048">
        <v>0</v>
      </c>
      <c r="C1048">
        <v>82.594999999999999</v>
      </c>
      <c r="D1048">
        <v>5.22</v>
      </c>
      <c r="E1048">
        <v>0</v>
      </c>
      <c r="F1048">
        <v>3.66</v>
      </c>
      <c r="G1048">
        <v>0</v>
      </c>
      <c r="H1048">
        <v>0.09</v>
      </c>
      <c r="I1048">
        <v>0</v>
      </c>
      <c r="J1048">
        <v>2.0499999999999998</v>
      </c>
      <c r="K1048">
        <v>0</v>
      </c>
      <c r="L1048">
        <v>4.12</v>
      </c>
      <c r="M1048">
        <v>2.15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Y1048">
        <v>40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602</v>
      </c>
      <c r="AF1048">
        <v>8.0333333333333297</v>
      </c>
      <c r="AG1048">
        <v>0</v>
      </c>
      <c r="AH1048">
        <v>1</v>
      </c>
      <c r="AI1048">
        <v>0</v>
      </c>
      <c r="AJ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5.0170000000000021</v>
      </c>
      <c r="AX1048">
        <v>6.2783333333333333</v>
      </c>
      <c r="AY1048">
        <v>803.03500000000008</v>
      </c>
      <c r="BF1048" t="s">
        <v>212</v>
      </c>
    </row>
    <row r="1049" spans="1:58" x14ac:dyDescent="0.45">
      <c r="A1049">
        <v>11048</v>
      </c>
      <c r="B1049">
        <v>0</v>
      </c>
      <c r="C1049">
        <v>82.594999999999999</v>
      </c>
      <c r="D1049">
        <v>5.22</v>
      </c>
      <c r="E1049">
        <v>0</v>
      </c>
      <c r="F1049">
        <v>3.66</v>
      </c>
      <c r="G1049">
        <v>0</v>
      </c>
      <c r="H1049">
        <v>0.09</v>
      </c>
      <c r="I1049">
        <v>0</v>
      </c>
      <c r="J1049">
        <v>2.0499999999999998</v>
      </c>
      <c r="K1049">
        <v>0</v>
      </c>
      <c r="L1049">
        <v>4.12</v>
      </c>
      <c r="M1049">
        <v>2.15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Y1049">
        <v>60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603</v>
      </c>
      <c r="AF1049">
        <v>8.0500000000000007</v>
      </c>
      <c r="AG1049">
        <v>0</v>
      </c>
      <c r="AH1049">
        <v>1</v>
      </c>
      <c r="AI1049">
        <v>0</v>
      </c>
      <c r="AJ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5.0170000000000021</v>
      </c>
      <c r="AX1049">
        <v>6.2783333333333333</v>
      </c>
      <c r="AY1049">
        <v>803.03500000000008</v>
      </c>
      <c r="BF1049" t="s">
        <v>212</v>
      </c>
    </row>
    <row r="1050" spans="1:58" x14ac:dyDescent="0.45">
      <c r="A1050">
        <v>11049</v>
      </c>
      <c r="B1050">
        <v>1</v>
      </c>
      <c r="C1050">
        <v>83.978999999999999</v>
      </c>
      <c r="D1050">
        <v>5.93</v>
      </c>
      <c r="E1050">
        <v>1.99</v>
      </c>
      <c r="F1050">
        <v>2</v>
      </c>
      <c r="G1050">
        <v>0</v>
      </c>
      <c r="H1050">
        <v>0</v>
      </c>
      <c r="I1050">
        <v>0</v>
      </c>
      <c r="J1050">
        <v>2.0299999999999998</v>
      </c>
      <c r="K1050">
        <v>0</v>
      </c>
      <c r="L1050">
        <v>2.04</v>
      </c>
      <c r="M1050">
        <v>1.97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J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0.64330000000000087</v>
      </c>
      <c r="AX1050">
        <v>6.9249999999999989</v>
      </c>
      <c r="AY1050">
        <v>821.65800000000002</v>
      </c>
      <c r="BA1050">
        <v>943</v>
      </c>
      <c r="BB1050">
        <v>1025</v>
      </c>
      <c r="BC1050">
        <v>6</v>
      </c>
      <c r="BF1050" t="s">
        <v>213</v>
      </c>
    </row>
    <row r="1051" spans="1:58" x14ac:dyDescent="0.45">
      <c r="A1051">
        <v>11050</v>
      </c>
      <c r="B1051">
        <v>0</v>
      </c>
      <c r="C1051">
        <v>83.978999999999999</v>
      </c>
      <c r="D1051">
        <v>5.93</v>
      </c>
      <c r="E1051">
        <v>1.99</v>
      </c>
      <c r="F1051">
        <v>2</v>
      </c>
      <c r="G1051">
        <v>0</v>
      </c>
      <c r="H1051">
        <v>0</v>
      </c>
      <c r="I1051">
        <v>0</v>
      </c>
      <c r="J1051">
        <v>2.0299999999999998</v>
      </c>
      <c r="K1051">
        <v>0</v>
      </c>
      <c r="L1051">
        <v>2.04</v>
      </c>
      <c r="M1051">
        <v>1.97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Z1051">
        <v>1</v>
      </c>
      <c r="AA1051">
        <v>0</v>
      </c>
      <c r="AB1051">
        <v>0</v>
      </c>
      <c r="AC1051">
        <v>0</v>
      </c>
      <c r="AD1051">
        <v>1</v>
      </c>
      <c r="AE1051">
        <v>900</v>
      </c>
      <c r="AF1051">
        <v>2</v>
      </c>
      <c r="AG1051">
        <v>0</v>
      </c>
      <c r="AH1051">
        <v>1</v>
      </c>
      <c r="AI1051">
        <v>0</v>
      </c>
      <c r="AJ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0.64330000000000087</v>
      </c>
      <c r="AX1051">
        <v>6.9249999999999989</v>
      </c>
      <c r="AY1051">
        <v>821.65800000000002</v>
      </c>
      <c r="BF1051" t="s">
        <v>213</v>
      </c>
    </row>
    <row r="1052" spans="1:58" x14ac:dyDescent="0.45">
      <c r="A1052">
        <v>11051</v>
      </c>
      <c r="B1052">
        <v>0</v>
      </c>
      <c r="C1052">
        <v>83.978999999999999</v>
      </c>
      <c r="D1052">
        <v>5.93</v>
      </c>
      <c r="E1052">
        <v>1.99</v>
      </c>
      <c r="F1052">
        <v>2</v>
      </c>
      <c r="G1052">
        <v>0</v>
      </c>
      <c r="H1052">
        <v>0</v>
      </c>
      <c r="I1052">
        <v>0</v>
      </c>
      <c r="J1052">
        <v>2.0299999999999998</v>
      </c>
      <c r="K1052">
        <v>0</v>
      </c>
      <c r="L1052">
        <v>2.04</v>
      </c>
      <c r="M1052">
        <v>1.97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Z1052">
        <v>1</v>
      </c>
      <c r="AA1052">
        <v>0</v>
      </c>
      <c r="AB1052">
        <v>0</v>
      </c>
      <c r="AC1052">
        <v>0</v>
      </c>
      <c r="AD1052">
        <v>1</v>
      </c>
      <c r="AE1052">
        <v>920</v>
      </c>
      <c r="AF1052">
        <v>2</v>
      </c>
      <c r="AG1052">
        <v>0</v>
      </c>
      <c r="AH1052">
        <v>1</v>
      </c>
      <c r="AI1052">
        <v>0</v>
      </c>
      <c r="AJ1052">
        <v>1</v>
      </c>
      <c r="AK1052">
        <v>540</v>
      </c>
      <c r="AL1052">
        <v>4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0.64330000000000087</v>
      </c>
      <c r="AX1052">
        <v>6.9249999999999989</v>
      </c>
      <c r="AY1052">
        <v>821.65800000000002</v>
      </c>
      <c r="BF1052" t="s">
        <v>213</v>
      </c>
    </row>
    <row r="1053" spans="1:58" x14ac:dyDescent="0.45">
      <c r="A1053">
        <v>11052</v>
      </c>
      <c r="B1053">
        <v>1</v>
      </c>
      <c r="C1053">
        <v>83.978999999999999</v>
      </c>
      <c r="D1053">
        <v>5.93</v>
      </c>
      <c r="E1053">
        <v>1.99</v>
      </c>
      <c r="F1053">
        <v>2</v>
      </c>
      <c r="G1053">
        <v>0</v>
      </c>
      <c r="H1053">
        <v>0</v>
      </c>
      <c r="I1053">
        <v>0</v>
      </c>
      <c r="J1053">
        <v>2.0299999999999998</v>
      </c>
      <c r="K1053">
        <v>0</v>
      </c>
      <c r="L1053">
        <v>2.04</v>
      </c>
      <c r="M1053">
        <v>1.97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Z1053">
        <v>1</v>
      </c>
      <c r="AA1053">
        <v>0</v>
      </c>
      <c r="AB1053">
        <v>0</v>
      </c>
      <c r="AC1053">
        <v>0</v>
      </c>
      <c r="AD1053">
        <v>1</v>
      </c>
      <c r="AE1053">
        <v>940</v>
      </c>
      <c r="AF1053">
        <v>2</v>
      </c>
      <c r="AG1053">
        <v>0</v>
      </c>
      <c r="AH1053">
        <v>1</v>
      </c>
      <c r="AI1053">
        <v>0</v>
      </c>
      <c r="AJ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0.64330000000000087</v>
      </c>
      <c r="AX1053">
        <v>6.9249999999999989</v>
      </c>
      <c r="AY1053">
        <v>821.65800000000002</v>
      </c>
      <c r="BA1053">
        <v>1080.7</v>
      </c>
      <c r="BB1053">
        <v>1197.4000000000001</v>
      </c>
      <c r="BC1053">
        <v>7.8</v>
      </c>
      <c r="BF1053" t="s">
        <v>213</v>
      </c>
    </row>
    <row r="1054" spans="1:58" x14ac:dyDescent="0.45">
      <c r="A1054">
        <v>11053</v>
      </c>
      <c r="B1054">
        <v>1</v>
      </c>
      <c r="C1054">
        <v>86.74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3.6</v>
      </c>
      <c r="K1054">
        <v>0.12</v>
      </c>
      <c r="L1054">
        <v>0.13</v>
      </c>
      <c r="M1054">
        <v>2.8</v>
      </c>
      <c r="N1054">
        <v>0</v>
      </c>
      <c r="O1054">
        <v>0.24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Z1054">
        <v>1</v>
      </c>
      <c r="AA1054">
        <v>0</v>
      </c>
      <c r="AB1054">
        <v>0</v>
      </c>
      <c r="AC1054">
        <v>0</v>
      </c>
      <c r="AD1054">
        <v>1</v>
      </c>
      <c r="AE1054">
        <v>950</v>
      </c>
      <c r="AF1054">
        <v>1</v>
      </c>
      <c r="AG1054">
        <v>1</v>
      </c>
      <c r="AH1054">
        <v>0</v>
      </c>
      <c r="AI1054">
        <v>0</v>
      </c>
      <c r="AJ1054">
        <v>1</v>
      </c>
      <c r="AK1054">
        <v>650</v>
      </c>
      <c r="AL1054">
        <v>6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-5.7835999999999999</v>
      </c>
      <c r="AX1054">
        <v>7.5333333333333332</v>
      </c>
      <c r="AY1054">
        <v>880.28499999999997</v>
      </c>
      <c r="BA1054">
        <v>883</v>
      </c>
      <c r="BB1054">
        <v>995</v>
      </c>
      <c r="BC1054">
        <v>8.1</v>
      </c>
      <c r="BF1054" t="s">
        <v>108</v>
      </c>
    </row>
    <row r="1055" spans="1:58" x14ac:dyDescent="0.45">
      <c r="A1055">
        <v>11054</v>
      </c>
      <c r="B1055">
        <v>1</v>
      </c>
      <c r="C1055">
        <v>82.465999999999994</v>
      </c>
      <c r="D1055">
        <v>5.0199999999999996</v>
      </c>
      <c r="E1055">
        <v>2.99</v>
      </c>
      <c r="F1055">
        <v>2.06</v>
      </c>
      <c r="G1055">
        <v>0</v>
      </c>
      <c r="H1055">
        <v>0.99</v>
      </c>
      <c r="I1055">
        <v>0</v>
      </c>
      <c r="J1055">
        <v>2.0099999999999998</v>
      </c>
      <c r="K1055">
        <v>1.37</v>
      </c>
      <c r="L1055">
        <v>3.03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Z1055">
        <v>0</v>
      </c>
      <c r="AA1055">
        <v>1</v>
      </c>
      <c r="AB1055">
        <v>0</v>
      </c>
      <c r="AC1055">
        <v>0</v>
      </c>
      <c r="AD1055">
        <v>1</v>
      </c>
      <c r="AE1055">
        <v>830</v>
      </c>
      <c r="AF1055">
        <v>1</v>
      </c>
      <c r="AG1055">
        <v>0</v>
      </c>
      <c r="AH1055">
        <v>1</v>
      </c>
      <c r="AI1055">
        <v>0</v>
      </c>
      <c r="AJ1055">
        <v>1</v>
      </c>
      <c r="AK1055">
        <v>570</v>
      </c>
      <c r="AL1055">
        <v>8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6.5639000000000003</v>
      </c>
      <c r="AX1055">
        <v>5.3549999999999995</v>
      </c>
      <c r="AY1055">
        <v>774.43399999999997</v>
      </c>
      <c r="BA1055">
        <v>1196</v>
      </c>
      <c r="BB1055">
        <v>1296</v>
      </c>
      <c r="BC1055">
        <v>12.3</v>
      </c>
      <c r="BF1055" t="s">
        <v>214</v>
      </c>
    </row>
    <row r="1056" spans="1:58" x14ac:dyDescent="0.45">
      <c r="A1056">
        <v>11055</v>
      </c>
      <c r="B1056">
        <v>1</v>
      </c>
      <c r="C1056">
        <v>82.465999999999994</v>
      </c>
      <c r="D1056">
        <v>5.0199999999999996</v>
      </c>
      <c r="E1056">
        <v>2.99</v>
      </c>
      <c r="F1056">
        <v>2.06</v>
      </c>
      <c r="G1056">
        <v>0</v>
      </c>
      <c r="H1056">
        <v>0.99</v>
      </c>
      <c r="I1056">
        <v>0</v>
      </c>
      <c r="J1056">
        <v>2.0099999999999998</v>
      </c>
      <c r="K1056">
        <v>1.37</v>
      </c>
      <c r="L1056">
        <v>3.03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Z1056">
        <v>0</v>
      </c>
      <c r="AA1056">
        <v>1</v>
      </c>
      <c r="AB1056">
        <v>0</v>
      </c>
      <c r="AC1056">
        <v>0</v>
      </c>
      <c r="AD1056">
        <v>1</v>
      </c>
      <c r="AE1056">
        <v>830</v>
      </c>
      <c r="AF1056">
        <v>1</v>
      </c>
      <c r="AJ1056">
        <v>1</v>
      </c>
      <c r="AK1056">
        <v>570</v>
      </c>
      <c r="AL1056">
        <v>8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6.5639000000000003</v>
      </c>
      <c r="AX1056">
        <v>5.3549999999999995</v>
      </c>
      <c r="AY1056">
        <v>774.43399999999997</v>
      </c>
      <c r="BA1056">
        <v>969</v>
      </c>
      <c r="BB1056">
        <v>1060</v>
      </c>
      <c r="BC1056">
        <v>20</v>
      </c>
      <c r="BF1056" t="s">
        <v>214</v>
      </c>
    </row>
    <row r="1057" spans="1:58" x14ac:dyDescent="0.45">
      <c r="A1057">
        <v>11056</v>
      </c>
      <c r="B1057">
        <v>1</v>
      </c>
      <c r="C1057">
        <v>82.465999999999994</v>
      </c>
      <c r="D1057">
        <v>5.0199999999999996</v>
      </c>
      <c r="E1057">
        <v>2.99</v>
      </c>
      <c r="F1057">
        <v>2.06</v>
      </c>
      <c r="G1057">
        <v>0</v>
      </c>
      <c r="H1057">
        <v>0.99</v>
      </c>
      <c r="I1057">
        <v>0</v>
      </c>
      <c r="J1057">
        <v>2.0099999999999998</v>
      </c>
      <c r="K1057">
        <v>1.37</v>
      </c>
      <c r="L1057">
        <v>3.03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Z1057">
        <v>0</v>
      </c>
      <c r="AA1057">
        <v>1</v>
      </c>
      <c r="AB1057">
        <v>0</v>
      </c>
      <c r="AC1057">
        <v>0</v>
      </c>
      <c r="AD1057">
        <v>1</v>
      </c>
      <c r="AE1057">
        <v>900</v>
      </c>
      <c r="AF1057">
        <v>1</v>
      </c>
      <c r="AJ1057">
        <v>1</v>
      </c>
      <c r="AK1057">
        <v>570</v>
      </c>
      <c r="AL1057">
        <v>8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6.5639000000000003</v>
      </c>
      <c r="AX1057">
        <v>5.3549999999999995</v>
      </c>
      <c r="AY1057">
        <v>774.43399999999997</v>
      </c>
      <c r="BA1057">
        <v>915</v>
      </c>
      <c r="BB1057">
        <v>1052</v>
      </c>
      <c r="BC1057">
        <v>14.5</v>
      </c>
      <c r="BF1057" t="s">
        <v>214</v>
      </c>
    </row>
    <row r="1058" spans="1:58" x14ac:dyDescent="0.45">
      <c r="A1058">
        <v>11057</v>
      </c>
      <c r="B1058">
        <v>1</v>
      </c>
      <c r="C1058">
        <v>99.971000000000004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1150</v>
      </c>
      <c r="Y1058">
        <v>70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800</v>
      </c>
      <c r="AF1058">
        <v>1</v>
      </c>
      <c r="AG1058">
        <v>0</v>
      </c>
      <c r="AH1058">
        <v>1</v>
      </c>
      <c r="AI1058">
        <v>0</v>
      </c>
      <c r="AJ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882</v>
      </c>
      <c r="BB1058">
        <v>260</v>
      </c>
      <c r="BC1058">
        <v>71.5</v>
      </c>
      <c r="BF1058" t="s">
        <v>50</v>
      </c>
    </row>
    <row r="1059" spans="1:58" x14ac:dyDescent="0.45">
      <c r="A1059">
        <v>11058</v>
      </c>
      <c r="B1059">
        <v>0</v>
      </c>
      <c r="C1059">
        <v>96.141900000000007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3.73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880</v>
      </c>
      <c r="Z1059">
        <v>0</v>
      </c>
      <c r="AA1059">
        <v>0</v>
      </c>
      <c r="AB1059">
        <v>1</v>
      </c>
      <c r="AC1059">
        <v>0</v>
      </c>
      <c r="AD1059">
        <v>0</v>
      </c>
      <c r="AJ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1.0444</v>
      </c>
      <c r="AX1059">
        <v>0</v>
      </c>
      <c r="AY1059">
        <v>882</v>
      </c>
      <c r="BF1059" t="s">
        <v>59</v>
      </c>
    </row>
    <row r="1060" spans="1:58" x14ac:dyDescent="0.45">
      <c r="A1060">
        <v>11059</v>
      </c>
      <c r="B1060">
        <v>1</v>
      </c>
      <c r="C1060">
        <v>96.222499999999997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3.66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880</v>
      </c>
      <c r="Y1060">
        <v>60</v>
      </c>
      <c r="Z1060">
        <v>0</v>
      </c>
      <c r="AA1060">
        <v>0</v>
      </c>
      <c r="AB1060">
        <v>1</v>
      </c>
      <c r="AC1060">
        <v>0</v>
      </c>
      <c r="AD1060">
        <v>1</v>
      </c>
      <c r="AE1060">
        <v>750</v>
      </c>
      <c r="AF1060">
        <v>2</v>
      </c>
      <c r="AG1060">
        <v>0</v>
      </c>
      <c r="AH1060">
        <v>1</v>
      </c>
      <c r="AI1060">
        <v>0</v>
      </c>
      <c r="AJ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1.0248000000000002</v>
      </c>
      <c r="AX1060">
        <v>0</v>
      </c>
      <c r="AY1060">
        <v>882</v>
      </c>
      <c r="BA1060">
        <v>387</v>
      </c>
      <c r="BB1060">
        <v>503</v>
      </c>
      <c r="BC1060">
        <v>27</v>
      </c>
      <c r="BF1060" t="s">
        <v>59</v>
      </c>
    </row>
    <row r="1061" spans="1:58" x14ac:dyDescent="0.45">
      <c r="A1061">
        <v>11060</v>
      </c>
      <c r="B1061">
        <v>1</v>
      </c>
      <c r="C1061">
        <v>96.298599999999993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3.57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880</v>
      </c>
      <c r="Y1061">
        <v>60</v>
      </c>
      <c r="Z1061">
        <v>0</v>
      </c>
      <c r="AA1061">
        <v>0</v>
      </c>
      <c r="AB1061">
        <v>1</v>
      </c>
      <c r="AC1061">
        <v>0</v>
      </c>
      <c r="AD1061">
        <v>1</v>
      </c>
      <c r="AE1061">
        <v>800</v>
      </c>
      <c r="AF1061">
        <v>2</v>
      </c>
      <c r="AG1061">
        <v>0</v>
      </c>
      <c r="AH1061">
        <v>1</v>
      </c>
      <c r="AI1061">
        <v>0</v>
      </c>
      <c r="AJ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0.99960000000000004</v>
      </c>
      <c r="AX1061">
        <v>0</v>
      </c>
      <c r="AY1061">
        <v>882</v>
      </c>
      <c r="BA1061">
        <v>372</v>
      </c>
      <c r="BB1061">
        <v>506</v>
      </c>
      <c r="BC1061">
        <v>27</v>
      </c>
      <c r="BF1061" t="s">
        <v>59</v>
      </c>
    </row>
    <row r="1062" spans="1:58" x14ac:dyDescent="0.45">
      <c r="A1062">
        <v>11061</v>
      </c>
      <c r="B1062">
        <v>1</v>
      </c>
      <c r="C1062">
        <v>96.221699999999998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3.66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880</v>
      </c>
      <c r="Y1062">
        <v>60</v>
      </c>
      <c r="Z1062">
        <v>0</v>
      </c>
      <c r="AA1062">
        <v>0</v>
      </c>
      <c r="AB1062">
        <v>1</v>
      </c>
      <c r="AC1062">
        <v>0</v>
      </c>
      <c r="AD1062">
        <v>1</v>
      </c>
      <c r="AE1062">
        <v>830</v>
      </c>
      <c r="AF1062">
        <v>2</v>
      </c>
      <c r="AG1062">
        <v>0</v>
      </c>
      <c r="AH1062">
        <v>1</v>
      </c>
      <c r="AI1062">
        <v>0</v>
      </c>
      <c r="AJ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1.0248000000000002</v>
      </c>
      <c r="AX1062">
        <v>0</v>
      </c>
      <c r="AY1062">
        <v>882</v>
      </c>
      <c r="BA1062">
        <v>347</v>
      </c>
      <c r="BB1062">
        <v>496</v>
      </c>
      <c r="BC1062">
        <v>31</v>
      </c>
      <c r="BF1062" t="s">
        <v>59</v>
      </c>
    </row>
    <row r="1063" spans="1:58" x14ac:dyDescent="0.45">
      <c r="A1063">
        <v>11062</v>
      </c>
      <c r="B1063">
        <v>1</v>
      </c>
      <c r="C1063">
        <v>85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Z1063">
        <v>0</v>
      </c>
      <c r="AA1063">
        <v>0</v>
      </c>
      <c r="AB1063">
        <v>1</v>
      </c>
      <c r="AC1063">
        <v>0</v>
      </c>
      <c r="AD1063">
        <v>1</v>
      </c>
      <c r="AE1063">
        <v>900</v>
      </c>
      <c r="AF1063">
        <v>1</v>
      </c>
      <c r="AJ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15</v>
      </c>
      <c r="AX1063">
        <v>0</v>
      </c>
      <c r="AY1063">
        <v>739.5</v>
      </c>
      <c r="BA1063">
        <v>440</v>
      </c>
      <c r="BB1063">
        <v>701</v>
      </c>
      <c r="BC1063">
        <v>34</v>
      </c>
      <c r="BF1063" t="s">
        <v>70</v>
      </c>
    </row>
    <row r="1064" spans="1:58" x14ac:dyDescent="0.45">
      <c r="A1064">
        <v>11063</v>
      </c>
      <c r="B1064">
        <v>0</v>
      </c>
      <c r="C1064">
        <v>94.129000000000005</v>
      </c>
      <c r="D1064">
        <v>5.73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Z1064">
        <v>0</v>
      </c>
      <c r="AA1064">
        <v>0</v>
      </c>
      <c r="AB1064">
        <v>1</v>
      </c>
      <c r="AC1064">
        <v>0</v>
      </c>
      <c r="AD1064">
        <v>1</v>
      </c>
      <c r="AE1064">
        <v>830</v>
      </c>
      <c r="AF1064">
        <v>2</v>
      </c>
      <c r="AG1064">
        <v>0</v>
      </c>
      <c r="AH1064">
        <v>1</v>
      </c>
      <c r="AI1064">
        <v>0</v>
      </c>
      <c r="AJ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-5.73</v>
      </c>
      <c r="AX1064">
        <v>5.73</v>
      </c>
      <c r="AY1064">
        <v>894.03300000000002</v>
      </c>
      <c r="BF1064" t="s">
        <v>78</v>
      </c>
    </row>
    <row r="1065" spans="1:58" x14ac:dyDescent="0.45">
      <c r="A1065">
        <v>11064</v>
      </c>
      <c r="B1065">
        <v>1</v>
      </c>
      <c r="C1065">
        <v>93.977000000000004</v>
      </c>
      <c r="D1065">
        <v>5.96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1150</v>
      </c>
      <c r="Y1065">
        <v>70</v>
      </c>
      <c r="Z1065">
        <v>0</v>
      </c>
      <c r="AA1065">
        <v>0</v>
      </c>
      <c r="AB1065">
        <v>1</v>
      </c>
      <c r="AC1065">
        <v>0</v>
      </c>
      <c r="AD1065">
        <v>1</v>
      </c>
      <c r="AE1065">
        <v>1000</v>
      </c>
      <c r="AF1065">
        <v>1</v>
      </c>
      <c r="AG1065">
        <v>0</v>
      </c>
      <c r="AH1065">
        <v>1</v>
      </c>
      <c r="AI1065">
        <v>0</v>
      </c>
      <c r="AJ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-5.96</v>
      </c>
      <c r="AX1065">
        <v>5.96</v>
      </c>
      <c r="AY1065">
        <v>894.51599999999996</v>
      </c>
      <c r="BB1065">
        <v>684</v>
      </c>
      <c r="BC1065">
        <v>19.5</v>
      </c>
      <c r="BF1065" t="s">
        <v>50</v>
      </c>
    </row>
    <row r="1066" spans="1:58" x14ac:dyDescent="0.45">
      <c r="A1066">
        <v>11065</v>
      </c>
      <c r="B1066">
        <v>1</v>
      </c>
      <c r="C1066">
        <v>51.8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7.1</v>
      </c>
      <c r="K1066">
        <v>41.1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20</v>
      </c>
      <c r="Y1066">
        <v>89</v>
      </c>
      <c r="Z1066">
        <v>0</v>
      </c>
      <c r="AA1066">
        <v>0</v>
      </c>
      <c r="AB1066">
        <v>1</v>
      </c>
      <c r="AC1066">
        <v>0</v>
      </c>
      <c r="AD1066">
        <v>1</v>
      </c>
      <c r="AE1066">
        <v>1000</v>
      </c>
      <c r="AF1066">
        <v>2</v>
      </c>
      <c r="AG1066">
        <v>1</v>
      </c>
      <c r="AH1066">
        <v>0</v>
      </c>
      <c r="AI1066">
        <v>0</v>
      </c>
      <c r="AJ1066">
        <v>1</v>
      </c>
      <c r="AK1066">
        <v>1000</v>
      </c>
      <c r="AL1066">
        <v>2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11.508000000000001</v>
      </c>
      <c r="AX1066">
        <v>1.1833333333333333</v>
      </c>
      <c r="AY1066">
        <v>833.01</v>
      </c>
      <c r="BB1066">
        <v>490</v>
      </c>
      <c r="BC1066">
        <v>16</v>
      </c>
      <c r="BE1066" t="s">
        <v>335</v>
      </c>
      <c r="BF1066" t="s">
        <v>84</v>
      </c>
    </row>
    <row r="1067" spans="1:58" x14ac:dyDescent="0.45">
      <c r="A1067">
        <v>11066</v>
      </c>
      <c r="B1067">
        <v>1</v>
      </c>
      <c r="C1067">
        <v>75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13</v>
      </c>
      <c r="L1067">
        <v>12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900</v>
      </c>
      <c r="Y1067">
        <v>80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1000</v>
      </c>
      <c r="AF1067">
        <v>24</v>
      </c>
      <c r="AG1067">
        <v>1</v>
      </c>
      <c r="AH1067">
        <v>0</v>
      </c>
      <c r="AI1067">
        <v>0</v>
      </c>
      <c r="AJ1067">
        <v>1</v>
      </c>
      <c r="AK1067">
        <v>500</v>
      </c>
      <c r="AL1067">
        <v>24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15.64</v>
      </c>
      <c r="AX1067">
        <v>0</v>
      </c>
      <c r="AY1067">
        <v>768</v>
      </c>
      <c r="BB1067">
        <v>1111</v>
      </c>
      <c r="BC1067">
        <v>6.3</v>
      </c>
      <c r="BF1067" t="s">
        <v>113</v>
      </c>
    </row>
    <row r="1068" spans="1:58" x14ac:dyDescent="0.45">
      <c r="A1068">
        <v>11067</v>
      </c>
      <c r="B1068">
        <v>1</v>
      </c>
      <c r="C1068">
        <v>80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8</v>
      </c>
      <c r="L1068">
        <v>12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780</v>
      </c>
      <c r="Y1068">
        <v>80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>
        <v>950</v>
      </c>
      <c r="AF1068">
        <v>1</v>
      </c>
      <c r="AG1068">
        <v>1</v>
      </c>
      <c r="AH1068">
        <v>0</v>
      </c>
      <c r="AI1068">
        <v>0</v>
      </c>
      <c r="AJ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14.24</v>
      </c>
      <c r="AX1068">
        <v>0</v>
      </c>
      <c r="AY1068">
        <v>768</v>
      </c>
      <c r="BB1068">
        <v>716</v>
      </c>
      <c r="BC1068">
        <v>33</v>
      </c>
      <c r="BF1068" t="s">
        <v>94</v>
      </c>
    </row>
    <row r="1069" spans="1:58" x14ac:dyDescent="0.45">
      <c r="A1069">
        <v>11068</v>
      </c>
      <c r="B1069">
        <v>0</v>
      </c>
      <c r="C1069">
        <v>90.924999999999997</v>
      </c>
      <c r="D1069">
        <v>5.91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3.03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Z1069">
        <v>0</v>
      </c>
      <c r="AA1069">
        <v>0</v>
      </c>
      <c r="AB1069">
        <v>1</v>
      </c>
      <c r="AC1069">
        <v>0</v>
      </c>
      <c r="AD1069">
        <v>1</v>
      </c>
      <c r="AE1069">
        <v>830</v>
      </c>
      <c r="AF1069">
        <v>2</v>
      </c>
      <c r="AG1069">
        <v>0</v>
      </c>
      <c r="AH1069">
        <v>1</v>
      </c>
      <c r="AI1069">
        <v>0</v>
      </c>
      <c r="AJ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-5.0616000000000003</v>
      </c>
      <c r="AX1069">
        <v>5.91</v>
      </c>
      <c r="AY1069">
        <v>894.41100000000006</v>
      </c>
      <c r="BF1069" t="s">
        <v>78</v>
      </c>
    </row>
    <row r="1070" spans="1:58" x14ac:dyDescent="0.45">
      <c r="A1070">
        <v>11069</v>
      </c>
      <c r="B1070">
        <v>0</v>
      </c>
      <c r="C1070">
        <v>92.155000000000001</v>
      </c>
      <c r="D1070">
        <v>5.73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Z1070">
        <v>0</v>
      </c>
      <c r="AA1070">
        <v>0</v>
      </c>
      <c r="AB1070">
        <v>1</v>
      </c>
      <c r="AC1070">
        <v>0</v>
      </c>
      <c r="AD1070">
        <v>1</v>
      </c>
      <c r="AE1070">
        <v>830</v>
      </c>
      <c r="AF1070">
        <v>2</v>
      </c>
      <c r="AG1070">
        <v>0</v>
      </c>
      <c r="AH1070">
        <v>1</v>
      </c>
      <c r="AI1070">
        <v>0</v>
      </c>
      <c r="AJ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-3.7300000000000004</v>
      </c>
      <c r="AX1070">
        <v>5.73</v>
      </c>
      <c r="AY1070">
        <v>875.03300000000002</v>
      </c>
      <c r="BF1070" t="s">
        <v>78</v>
      </c>
    </row>
    <row r="1071" spans="1:58" x14ac:dyDescent="0.45">
      <c r="A1071">
        <v>11070</v>
      </c>
      <c r="B1071">
        <v>1</v>
      </c>
      <c r="C1071">
        <v>84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Z1071">
        <v>0</v>
      </c>
      <c r="AA1071">
        <v>0</v>
      </c>
      <c r="AB1071">
        <v>1</v>
      </c>
      <c r="AC1071">
        <v>0</v>
      </c>
      <c r="AD1071">
        <v>1</v>
      </c>
      <c r="AE1071">
        <v>900</v>
      </c>
      <c r="AF1071">
        <v>1</v>
      </c>
      <c r="AJ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17.899999999999999</v>
      </c>
      <c r="AX1071">
        <v>0</v>
      </c>
      <c r="AY1071">
        <v>724.1</v>
      </c>
      <c r="BA1071">
        <v>845</v>
      </c>
      <c r="BF1071" t="s">
        <v>70</v>
      </c>
    </row>
    <row r="1072" spans="1:58" x14ac:dyDescent="0.45">
      <c r="A1072">
        <v>11071</v>
      </c>
      <c r="B1072">
        <v>1</v>
      </c>
      <c r="C1072">
        <v>52.5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7.1</v>
      </c>
      <c r="K1072">
        <v>35.299999999999997</v>
      </c>
      <c r="L1072">
        <v>0</v>
      </c>
      <c r="M1072">
        <v>0</v>
      </c>
      <c r="N1072">
        <v>0</v>
      </c>
      <c r="O1072">
        <v>5.0999999999999996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20</v>
      </c>
      <c r="Y1072">
        <v>89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1000</v>
      </c>
      <c r="AF1072">
        <v>2</v>
      </c>
      <c r="AG1072">
        <v>1</v>
      </c>
      <c r="AH1072">
        <v>0</v>
      </c>
      <c r="AI1072">
        <v>0</v>
      </c>
      <c r="AJ1072">
        <v>1</v>
      </c>
      <c r="AK1072">
        <v>1000</v>
      </c>
      <c r="AL1072">
        <v>2</v>
      </c>
      <c r="AM1072">
        <v>1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11.006</v>
      </c>
      <c r="AX1072">
        <v>1.1833333333333333</v>
      </c>
      <c r="AY1072">
        <v>833.01</v>
      </c>
      <c r="BB1072">
        <v>550</v>
      </c>
      <c r="BC1072">
        <v>21</v>
      </c>
      <c r="BF1072" t="s">
        <v>84</v>
      </c>
    </row>
    <row r="1073" spans="1:58" x14ac:dyDescent="0.45">
      <c r="A1073">
        <v>11072</v>
      </c>
      <c r="B1073">
        <v>0</v>
      </c>
      <c r="C1073">
        <v>89.566900000000004</v>
      </c>
      <c r="D1073">
        <v>6.12</v>
      </c>
      <c r="E1073">
        <v>4.0999999999999996</v>
      </c>
      <c r="F1073">
        <v>0</v>
      </c>
      <c r="G1073">
        <v>0</v>
      </c>
      <c r="H1073">
        <v>0.06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930</v>
      </c>
      <c r="Y1073">
        <v>20</v>
      </c>
      <c r="Z1073">
        <v>0</v>
      </c>
      <c r="AA1073">
        <v>0</v>
      </c>
      <c r="AB1073">
        <v>1</v>
      </c>
      <c r="AC1073">
        <v>0</v>
      </c>
      <c r="AD1073">
        <v>1</v>
      </c>
      <c r="AE1073">
        <v>600</v>
      </c>
      <c r="AF1073">
        <v>1</v>
      </c>
      <c r="AG1073">
        <v>0</v>
      </c>
      <c r="AH1073">
        <v>0</v>
      </c>
      <c r="AI1073">
        <v>1</v>
      </c>
      <c r="AJ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-3.1990000000000003</v>
      </c>
      <c r="AX1073">
        <v>6.12</v>
      </c>
      <c r="AY1073">
        <v>845.548</v>
      </c>
      <c r="BF1073" t="s">
        <v>126</v>
      </c>
    </row>
    <row r="1074" spans="1:58" x14ac:dyDescent="0.45">
      <c r="A1074">
        <v>11073</v>
      </c>
      <c r="B1074">
        <v>0</v>
      </c>
      <c r="C1074">
        <v>89.566900000000004</v>
      </c>
      <c r="D1074">
        <v>6.12</v>
      </c>
      <c r="E1074">
        <v>4.0999999999999996</v>
      </c>
      <c r="F1074">
        <v>0</v>
      </c>
      <c r="G1074">
        <v>0</v>
      </c>
      <c r="H1074">
        <v>0.06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950</v>
      </c>
      <c r="Y1074">
        <v>20</v>
      </c>
      <c r="Z1074">
        <v>0</v>
      </c>
      <c r="AA1074">
        <v>0</v>
      </c>
      <c r="AB1074">
        <v>1</v>
      </c>
      <c r="AC1074">
        <v>0</v>
      </c>
      <c r="AD1074">
        <v>1</v>
      </c>
      <c r="AE1074">
        <v>700</v>
      </c>
      <c r="AF1074">
        <v>1</v>
      </c>
      <c r="AG1074">
        <v>0</v>
      </c>
      <c r="AH1074">
        <v>0</v>
      </c>
      <c r="AI1074">
        <v>1</v>
      </c>
      <c r="AJ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-3.1990000000000003</v>
      </c>
      <c r="AX1074">
        <v>6.12</v>
      </c>
      <c r="AY1074">
        <v>845.548</v>
      </c>
      <c r="BF1074" t="s">
        <v>126</v>
      </c>
    </row>
    <row r="1075" spans="1:58" x14ac:dyDescent="0.45">
      <c r="A1075">
        <v>11074</v>
      </c>
      <c r="B1075">
        <v>0</v>
      </c>
      <c r="C1075">
        <v>89.566900000000004</v>
      </c>
      <c r="D1075">
        <v>6.12</v>
      </c>
      <c r="E1075">
        <v>4.0999999999999996</v>
      </c>
      <c r="F1075">
        <v>0</v>
      </c>
      <c r="G1075">
        <v>0</v>
      </c>
      <c r="H1075">
        <v>0.06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970</v>
      </c>
      <c r="Y1075">
        <v>20</v>
      </c>
      <c r="Z1075">
        <v>0</v>
      </c>
      <c r="AA1075">
        <v>0</v>
      </c>
      <c r="AB1075">
        <v>1</v>
      </c>
      <c r="AC1075">
        <v>0</v>
      </c>
      <c r="AD1075">
        <v>1</v>
      </c>
      <c r="AE1075">
        <v>800</v>
      </c>
      <c r="AF1075">
        <v>1</v>
      </c>
      <c r="AG1075">
        <v>0</v>
      </c>
      <c r="AH1075">
        <v>0</v>
      </c>
      <c r="AI1075">
        <v>1</v>
      </c>
      <c r="AJ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-3.1990000000000003</v>
      </c>
      <c r="AX1075">
        <v>6.12</v>
      </c>
      <c r="AY1075">
        <v>845.548</v>
      </c>
      <c r="BF1075" t="s">
        <v>126</v>
      </c>
    </row>
    <row r="1076" spans="1:58" x14ac:dyDescent="0.45">
      <c r="A1076">
        <v>11075</v>
      </c>
      <c r="B1076">
        <v>0</v>
      </c>
      <c r="C1076">
        <v>89.566900000000004</v>
      </c>
      <c r="D1076">
        <v>6.12</v>
      </c>
      <c r="E1076">
        <v>4.0999999999999996</v>
      </c>
      <c r="F1076">
        <v>0</v>
      </c>
      <c r="G1076">
        <v>0</v>
      </c>
      <c r="H1076">
        <v>0.06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930</v>
      </c>
      <c r="Y1076">
        <v>50</v>
      </c>
      <c r="Z1076">
        <v>0</v>
      </c>
      <c r="AA1076">
        <v>0</v>
      </c>
      <c r="AB1076">
        <v>1</v>
      </c>
      <c r="AC1076">
        <v>0</v>
      </c>
      <c r="AD1076">
        <v>1</v>
      </c>
      <c r="AE1076">
        <v>600</v>
      </c>
      <c r="AF1076">
        <v>1</v>
      </c>
      <c r="AG1076">
        <v>0</v>
      </c>
      <c r="AH1076">
        <v>0</v>
      </c>
      <c r="AI1076">
        <v>1</v>
      </c>
      <c r="AJ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-3.1990000000000003</v>
      </c>
      <c r="AX1076">
        <v>6.12</v>
      </c>
      <c r="AY1076">
        <v>845.548</v>
      </c>
      <c r="BF1076" t="s">
        <v>126</v>
      </c>
    </row>
    <row r="1077" spans="1:58" x14ac:dyDescent="0.45">
      <c r="A1077">
        <v>11076</v>
      </c>
      <c r="B1077">
        <v>0</v>
      </c>
      <c r="C1077">
        <v>89.566900000000004</v>
      </c>
      <c r="D1077">
        <v>6.12</v>
      </c>
      <c r="E1077">
        <v>4.0999999999999996</v>
      </c>
      <c r="F1077">
        <v>0</v>
      </c>
      <c r="G1077">
        <v>0</v>
      </c>
      <c r="H1077">
        <v>0.06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950</v>
      </c>
      <c r="Y1077">
        <v>50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700</v>
      </c>
      <c r="AF1077">
        <v>1</v>
      </c>
      <c r="AG1077">
        <v>0</v>
      </c>
      <c r="AH1077">
        <v>0</v>
      </c>
      <c r="AI1077">
        <v>1</v>
      </c>
      <c r="AJ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-3.1990000000000003</v>
      </c>
      <c r="AX1077">
        <v>6.12</v>
      </c>
      <c r="AY1077">
        <v>845.548</v>
      </c>
      <c r="BF1077" t="s">
        <v>126</v>
      </c>
    </row>
    <row r="1078" spans="1:58" x14ac:dyDescent="0.45">
      <c r="A1078">
        <v>11077</v>
      </c>
      <c r="B1078">
        <v>1</v>
      </c>
      <c r="C1078">
        <v>89.566900000000004</v>
      </c>
      <c r="D1078">
        <v>6.12</v>
      </c>
      <c r="E1078">
        <v>4.0999999999999996</v>
      </c>
      <c r="F1078">
        <v>0</v>
      </c>
      <c r="G1078">
        <v>0</v>
      </c>
      <c r="H1078">
        <v>0.06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970</v>
      </c>
      <c r="Y1078">
        <v>50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800</v>
      </c>
      <c r="AF1078">
        <v>1</v>
      </c>
      <c r="AG1078">
        <v>0</v>
      </c>
      <c r="AH1078">
        <v>0</v>
      </c>
      <c r="AI1078">
        <v>1</v>
      </c>
      <c r="AJ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-3.1990000000000003</v>
      </c>
      <c r="AX1078">
        <v>6.12</v>
      </c>
      <c r="AY1078">
        <v>845.548</v>
      </c>
      <c r="BA1078">
        <v>798</v>
      </c>
      <c r="BB1078">
        <v>900</v>
      </c>
      <c r="BC1078">
        <v>15.8</v>
      </c>
      <c r="BF1078" t="s">
        <v>126</v>
      </c>
    </row>
    <row r="1079" spans="1:58" x14ac:dyDescent="0.45">
      <c r="A1079">
        <v>11078</v>
      </c>
      <c r="B1079">
        <v>0</v>
      </c>
      <c r="C1079">
        <v>89.566900000000004</v>
      </c>
      <c r="D1079">
        <v>6.12</v>
      </c>
      <c r="E1079">
        <v>4.0999999999999996</v>
      </c>
      <c r="F1079">
        <v>0</v>
      </c>
      <c r="G1079">
        <v>0</v>
      </c>
      <c r="H1079">
        <v>0.06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950</v>
      </c>
      <c r="Y1079">
        <v>80</v>
      </c>
      <c r="Z1079">
        <v>0</v>
      </c>
      <c r="AA1079">
        <v>0</v>
      </c>
      <c r="AB1079">
        <v>1</v>
      </c>
      <c r="AC1079">
        <v>0</v>
      </c>
      <c r="AD1079">
        <v>1</v>
      </c>
      <c r="AE1079">
        <v>600</v>
      </c>
      <c r="AF1079">
        <v>1</v>
      </c>
      <c r="AG1079">
        <v>0</v>
      </c>
      <c r="AH1079">
        <v>0</v>
      </c>
      <c r="AI1079">
        <v>1</v>
      </c>
      <c r="AJ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-3.1990000000000003</v>
      </c>
      <c r="AX1079">
        <v>6.12</v>
      </c>
      <c r="AY1079">
        <v>845.548</v>
      </c>
      <c r="BF1079" t="s">
        <v>126</v>
      </c>
    </row>
    <row r="1080" spans="1:58" x14ac:dyDescent="0.45">
      <c r="A1080">
        <v>11079</v>
      </c>
      <c r="B1080">
        <v>0</v>
      </c>
      <c r="C1080">
        <v>89.566900000000004</v>
      </c>
      <c r="D1080">
        <v>6.12</v>
      </c>
      <c r="E1080">
        <v>4.0999999999999996</v>
      </c>
      <c r="F1080">
        <v>0</v>
      </c>
      <c r="G1080">
        <v>0</v>
      </c>
      <c r="H1080">
        <v>0.06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970</v>
      </c>
      <c r="Y1080">
        <v>80</v>
      </c>
      <c r="Z1080">
        <v>0</v>
      </c>
      <c r="AA1080">
        <v>0</v>
      </c>
      <c r="AB1080">
        <v>1</v>
      </c>
      <c r="AC1080">
        <v>0</v>
      </c>
      <c r="AD1080">
        <v>1</v>
      </c>
      <c r="AE1080">
        <v>700</v>
      </c>
      <c r="AF1080">
        <v>1</v>
      </c>
      <c r="AG1080">
        <v>0</v>
      </c>
      <c r="AH1080">
        <v>0</v>
      </c>
      <c r="AI1080">
        <v>1</v>
      </c>
      <c r="AJ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-3.1990000000000003</v>
      </c>
      <c r="AX1080">
        <v>6.12</v>
      </c>
      <c r="AY1080">
        <v>845.548</v>
      </c>
      <c r="BF1080" t="s">
        <v>126</v>
      </c>
    </row>
    <row r="1081" spans="1:58" x14ac:dyDescent="0.45">
      <c r="A1081">
        <v>11080</v>
      </c>
      <c r="B1081">
        <v>0</v>
      </c>
      <c r="C1081">
        <v>89.566900000000004</v>
      </c>
      <c r="D1081">
        <v>6.12</v>
      </c>
      <c r="E1081">
        <v>4.0999999999999996</v>
      </c>
      <c r="F1081">
        <v>0</v>
      </c>
      <c r="G1081">
        <v>0</v>
      </c>
      <c r="H1081">
        <v>0.06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930</v>
      </c>
      <c r="Y1081">
        <v>80</v>
      </c>
      <c r="Z1081">
        <v>0</v>
      </c>
      <c r="AA1081">
        <v>0</v>
      </c>
      <c r="AB1081">
        <v>1</v>
      </c>
      <c r="AC1081">
        <v>0</v>
      </c>
      <c r="AD1081">
        <v>1</v>
      </c>
      <c r="AE1081">
        <v>800</v>
      </c>
      <c r="AF1081">
        <v>1</v>
      </c>
      <c r="AG1081">
        <v>0</v>
      </c>
      <c r="AH1081">
        <v>0</v>
      </c>
      <c r="AI1081">
        <v>1</v>
      </c>
      <c r="AJ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-3.1990000000000003</v>
      </c>
      <c r="AX1081">
        <v>6.12</v>
      </c>
      <c r="AY1081">
        <v>845.548</v>
      </c>
      <c r="BF1081" t="s">
        <v>126</v>
      </c>
    </row>
    <row r="1082" spans="1:58" x14ac:dyDescent="0.45">
      <c r="A1082">
        <v>11081</v>
      </c>
      <c r="B1082">
        <v>0</v>
      </c>
      <c r="C1082">
        <v>89.566900000000004</v>
      </c>
      <c r="D1082">
        <v>6.12</v>
      </c>
      <c r="E1082">
        <v>4.0999999999999996</v>
      </c>
      <c r="F1082">
        <v>0</v>
      </c>
      <c r="G1082">
        <v>0</v>
      </c>
      <c r="H1082">
        <v>0.06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970</v>
      </c>
      <c r="Y1082">
        <v>20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600</v>
      </c>
      <c r="AF1082">
        <v>2</v>
      </c>
      <c r="AG1082">
        <v>0</v>
      </c>
      <c r="AH1082">
        <v>0</v>
      </c>
      <c r="AI1082">
        <v>1</v>
      </c>
      <c r="AJ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-3.1990000000000003</v>
      </c>
      <c r="AX1082">
        <v>6.12</v>
      </c>
      <c r="AY1082">
        <v>845.548</v>
      </c>
      <c r="BF1082" t="s">
        <v>126</v>
      </c>
    </row>
    <row r="1083" spans="1:58" x14ac:dyDescent="0.45">
      <c r="A1083">
        <v>11082</v>
      </c>
      <c r="B1083">
        <v>0</v>
      </c>
      <c r="C1083">
        <v>89.566900000000004</v>
      </c>
      <c r="D1083">
        <v>6.12</v>
      </c>
      <c r="E1083">
        <v>4.0999999999999996</v>
      </c>
      <c r="F1083">
        <v>0</v>
      </c>
      <c r="G1083">
        <v>0</v>
      </c>
      <c r="H1083">
        <v>0.06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930</v>
      </c>
      <c r="Y1083">
        <v>20</v>
      </c>
      <c r="Z1083">
        <v>0</v>
      </c>
      <c r="AA1083">
        <v>0</v>
      </c>
      <c r="AB1083">
        <v>1</v>
      </c>
      <c r="AC1083">
        <v>0</v>
      </c>
      <c r="AD1083">
        <v>1</v>
      </c>
      <c r="AE1083">
        <v>700</v>
      </c>
      <c r="AF1083">
        <v>2</v>
      </c>
      <c r="AG1083">
        <v>0</v>
      </c>
      <c r="AH1083">
        <v>0</v>
      </c>
      <c r="AI1083">
        <v>1</v>
      </c>
      <c r="AJ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-3.1990000000000003</v>
      </c>
      <c r="AX1083">
        <v>6.12</v>
      </c>
      <c r="AY1083">
        <v>845.548</v>
      </c>
      <c r="BF1083" t="s">
        <v>126</v>
      </c>
    </row>
    <row r="1084" spans="1:58" x14ac:dyDescent="0.45">
      <c r="A1084">
        <v>11083</v>
      </c>
      <c r="B1084">
        <v>0</v>
      </c>
      <c r="C1084">
        <v>89.566900000000004</v>
      </c>
      <c r="D1084">
        <v>6.12</v>
      </c>
      <c r="E1084">
        <v>4.0999999999999996</v>
      </c>
      <c r="F1084">
        <v>0</v>
      </c>
      <c r="G1084">
        <v>0</v>
      </c>
      <c r="H1084">
        <v>0.06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950</v>
      </c>
      <c r="Y1084">
        <v>20</v>
      </c>
      <c r="Z1084">
        <v>0</v>
      </c>
      <c r="AA1084">
        <v>0</v>
      </c>
      <c r="AB1084">
        <v>1</v>
      </c>
      <c r="AC1084">
        <v>0</v>
      </c>
      <c r="AD1084">
        <v>1</v>
      </c>
      <c r="AE1084">
        <v>800</v>
      </c>
      <c r="AF1084">
        <v>2</v>
      </c>
      <c r="AG1084">
        <v>0</v>
      </c>
      <c r="AH1084">
        <v>0</v>
      </c>
      <c r="AI1084">
        <v>1</v>
      </c>
      <c r="AJ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-3.1990000000000003</v>
      </c>
      <c r="AX1084">
        <v>6.12</v>
      </c>
      <c r="AY1084">
        <v>845.548</v>
      </c>
      <c r="BF1084" t="s">
        <v>126</v>
      </c>
    </row>
    <row r="1085" spans="1:58" x14ac:dyDescent="0.45">
      <c r="A1085">
        <v>11084</v>
      </c>
      <c r="B1085">
        <v>0</v>
      </c>
      <c r="C1085">
        <v>89.566900000000004</v>
      </c>
      <c r="D1085">
        <v>6.12</v>
      </c>
      <c r="E1085">
        <v>4.0999999999999996</v>
      </c>
      <c r="F1085">
        <v>0</v>
      </c>
      <c r="G1085">
        <v>0</v>
      </c>
      <c r="H1085">
        <v>0.06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950</v>
      </c>
      <c r="Y1085">
        <v>50</v>
      </c>
      <c r="Z1085">
        <v>0</v>
      </c>
      <c r="AA1085">
        <v>0</v>
      </c>
      <c r="AB1085">
        <v>1</v>
      </c>
      <c r="AC1085">
        <v>0</v>
      </c>
      <c r="AD1085">
        <v>1</v>
      </c>
      <c r="AE1085">
        <v>600</v>
      </c>
      <c r="AF1085">
        <v>2</v>
      </c>
      <c r="AG1085">
        <v>0</v>
      </c>
      <c r="AH1085">
        <v>0</v>
      </c>
      <c r="AI1085">
        <v>1</v>
      </c>
      <c r="AJ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-3.1990000000000003</v>
      </c>
      <c r="AX1085">
        <v>6.12</v>
      </c>
      <c r="AY1085">
        <v>845.548</v>
      </c>
      <c r="BF1085" t="s">
        <v>126</v>
      </c>
    </row>
    <row r="1086" spans="1:58" x14ac:dyDescent="0.45">
      <c r="A1086">
        <v>11085</v>
      </c>
      <c r="B1086">
        <v>0</v>
      </c>
      <c r="C1086">
        <v>89.566900000000004</v>
      </c>
      <c r="D1086">
        <v>6.12</v>
      </c>
      <c r="E1086">
        <v>4.0999999999999996</v>
      </c>
      <c r="F1086">
        <v>0</v>
      </c>
      <c r="G1086">
        <v>0</v>
      </c>
      <c r="H1086">
        <v>0.06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970</v>
      </c>
      <c r="Y1086">
        <v>50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700</v>
      </c>
      <c r="AF1086">
        <v>2</v>
      </c>
      <c r="AG1086">
        <v>0</v>
      </c>
      <c r="AH1086">
        <v>0</v>
      </c>
      <c r="AI1086">
        <v>1</v>
      </c>
      <c r="AJ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-3.1990000000000003</v>
      </c>
      <c r="AX1086">
        <v>6.12</v>
      </c>
      <c r="AY1086">
        <v>845.548</v>
      </c>
      <c r="BF1086" t="s">
        <v>126</v>
      </c>
    </row>
    <row r="1087" spans="1:58" x14ac:dyDescent="0.45">
      <c r="A1087">
        <v>11086</v>
      </c>
      <c r="B1087">
        <v>0</v>
      </c>
      <c r="C1087">
        <v>89.566900000000004</v>
      </c>
      <c r="D1087">
        <v>6.12</v>
      </c>
      <c r="E1087">
        <v>4.0999999999999996</v>
      </c>
      <c r="F1087">
        <v>0</v>
      </c>
      <c r="G1087">
        <v>0</v>
      </c>
      <c r="H1087">
        <v>0.06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930</v>
      </c>
      <c r="Y1087">
        <v>50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800</v>
      </c>
      <c r="AF1087">
        <v>2</v>
      </c>
      <c r="AG1087">
        <v>0</v>
      </c>
      <c r="AH1087">
        <v>0</v>
      </c>
      <c r="AI1087">
        <v>1</v>
      </c>
      <c r="AJ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-3.1990000000000003</v>
      </c>
      <c r="AX1087">
        <v>6.12</v>
      </c>
      <c r="AY1087">
        <v>845.548</v>
      </c>
      <c r="BF1087" t="s">
        <v>126</v>
      </c>
    </row>
    <row r="1088" spans="1:58" x14ac:dyDescent="0.45">
      <c r="A1088">
        <v>11087</v>
      </c>
      <c r="B1088">
        <v>0</v>
      </c>
      <c r="C1088">
        <v>89.566900000000004</v>
      </c>
      <c r="D1088">
        <v>6.12</v>
      </c>
      <c r="E1088">
        <v>4.0999999999999996</v>
      </c>
      <c r="F1088">
        <v>0</v>
      </c>
      <c r="G1088">
        <v>0</v>
      </c>
      <c r="H1088">
        <v>0.06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970</v>
      </c>
      <c r="Y1088">
        <v>80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600</v>
      </c>
      <c r="AF1088">
        <v>2</v>
      </c>
      <c r="AG1088">
        <v>0</v>
      </c>
      <c r="AH1088">
        <v>0</v>
      </c>
      <c r="AI1088">
        <v>1</v>
      </c>
      <c r="AJ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-3.1990000000000003</v>
      </c>
      <c r="AX1088">
        <v>6.12</v>
      </c>
      <c r="AY1088">
        <v>845.548</v>
      </c>
      <c r="BF1088" t="s">
        <v>126</v>
      </c>
    </row>
    <row r="1089" spans="1:58" x14ac:dyDescent="0.45">
      <c r="A1089">
        <v>11088</v>
      </c>
      <c r="B1089">
        <v>0</v>
      </c>
      <c r="C1089">
        <v>89.566900000000004</v>
      </c>
      <c r="D1089">
        <v>6.12</v>
      </c>
      <c r="E1089">
        <v>4.0999999999999996</v>
      </c>
      <c r="F1089">
        <v>0</v>
      </c>
      <c r="G1089">
        <v>0</v>
      </c>
      <c r="H1089">
        <v>0.06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930</v>
      </c>
      <c r="Y1089">
        <v>80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700</v>
      </c>
      <c r="AF1089">
        <v>2</v>
      </c>
      <c r="AG1089">
        <v>0</v>
      </c>
      <c r="AH1089">
        <v>0</v>
      </c>
      <c r="AI1089">
        <v>1</v>
      </c>
      <c r="AJ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-3.1990000000000003</v>
      </c>
      <c r="AX1089">
        <v>6.12</v>
      </c>
      <c r="AY1089">
        <v>845.548</v>
      </c>
      <c r="BF1089" t="s">
        <v>126</v>
      </c>
    </row>
    <row r="1090" spans="1:58" x14ac:dyDescent="0.45">
      <c r="A1090">
        <v>11089</v>
      </c>
      <c r="B1090">
        <v>0</v>
      </c>
      <c r="C1090">
        <v>89.566900000000004</v>
      </c>
      <c r="D1090">
        <v>6.12</v>
      </c>
      <c r="E1090">
        <v>4.0999999999999996</v>
      </c>
      <c r="F1090">
        <v>0</v>
      </c>
      <c r="G1090">
        <v>0</v>
      </c>
      <c r="H1090">
        <v>0.06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950</v>
      </c>
      <c r="Y1090">
        <v>80</v>
      </c>
      <c r="Z1090">
        <v>0</v>
      </c>
      <c r="AA1090">
        <v>0</v>
      </c>
      <c r="AB1090">
        <v>1</v>
      </c>
      <c r="AC1090">
        <v>0</v>
      </c>
      <c r="AD1090">
        <v>1</v>
      </c>
      <c r="AE1090">
        <v>800</v>
      </c>
      <c r="AF1090">
        <v>2</v>
      </c>
      <c r="AG1090">
        <v>0</v>
      </c>
      <c r="AH1090">
        <v>0</v>
      </c>
      <c r="AI1090">
        <v>1</v>
      </c>
      <c r="AJ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-3.1990000000000003</v>
      </c>
      <c r="AX1090">
        <v>6.12</v>
      </c>
      <c r="AY1090">
        <v>845.548</v>
      </c>
      <c r="BF1090" t="s">
        <v>126</v>
      </c>
    </row>
    <row r="1091" spans="1:58" x14ac:dyDescent="0.45">
      <c r="A1091">
        <v>11090</v>
      </c>
      <c r="B1091">
        <v>1</v>
      </c>
      <c r="C1091">
        <v>89.498000000000005</v>
      </c>
      <c r="D1091">
        <v>6.2</v>
      </c>
      <c r="E1091">
        <v>4.2</v>
      </c>
      <c r="F1091">
        <v>0</v>
      </c>
      <c r="G1091">
        <v>0</v>
      </c>
      <c r="H1091">
        <v>1.7999999999999999E-2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Z1091">
        <v>0</v>
      </c>
      <c r="AA1091">
        <v>0</v>
      </c>
      <c r="AB1091">
        <v>1</v>
      </c>
      <c r="AC1091">
        <v>0</v>
      </c>
      <c r="AD1091">
        <v>1</v>
      </c>
      <c r="AE1091">
        <v>800</v>
      </c>
      <c r="AF1091">
        <v>1</v>
      </c>
      <c r="AG1091">
        <v>0</v>
      </c>
      <c r="AH1091">
        <v>1</v>
      </c>
      <c r="AI1091">
        <v>0</v>
      </c>
      <c r="AJ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-3.3337999999999997</v>
      </c>
      <c r="AX1091">
        <v>6.2</v>
      </c>
      <c r="AY1091">
        <v>845.18280000000004</v>
      </c>
      <c r="BA1091">
        <v>813</v>
      </c>
      <c r="BB1091">
        <v>924</v>
      </c>
      <c r="BC1091">
        <v>14.5</v>
      </c>
      <c r="BF1091" t="s">
        <v>127</v>
      </c>
    </row>
    <row r="1092" spans="1:58" x14ac:dyDescent="0.45">
      <c r="A1092">
        <v>11091</v>
      </c>
      <c r="B1092">
        <v>1</v>
      </c>
      <c r="C1092">
        <v>89.498000000000005</v>
      </c>
      <c r="D1092">
        <v>6.2</v>
      </c>
      <c r="E1092">
        <v>4.2</v>
      </c>
      <c r="F1092">
        <v>0</v>
      </c>
      <c r="G1092">
        <v>0</v>
      </c>
      <c r="H1092">
        <v>1.7999999999999999E-2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Z1092">
        <v>0</v>
      </c>
      <c r="AA1092">
        <v>0</v>
      </c>
      <c r="AB1092">
        <v>1</v>
      </c>
      <c r="AC1092">
        <v>0</v>
      </c>
      <c r="AD1092">
        <v>1</v>
      </c>
      <c r="AE1092">
        <v>900</v>
      </c>
      <c r="AF1092">
        <v>1</v>
      </c>
      <c r="AG1092">
        <v>0</v>
      </c>
      <c r="AH1092">
        <v>1</v>
      </c>
      <c r="AI1092">
        <v>0</v>
      </c>
      <c r="AJ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-3.3337999999999997</v>
      </c>
      <c r="AX1092">
        <v>6.2</v>
      </c>
      <c r="AY1092">
        <v>845.18280000000004</v>
      </c>
      <c r="BA1092">
        <v>826</v>
      </c>
      <c r="BB1092">
        <v>930</v>
      </c>
      <c r="BC1092">
        <v>16</v>
      </c>
      <c r="BF1092" t="s">
        <v>127</v>
      </c>
    </row>
    <row r="1093" spans="1:58" x14ac:dyDescent="0.45">
      <c r="A1093">
        <v>11092</v>
      </c>
      <c r="B1093">
        <v>1</v>
      </c>
      <c r="C1093">
        <v>89.498000000000005</v>
      </c>
      <c r="D1093">
        <v>6.2</v>
      </c>
      <c r="E1093">
        <v>4.2</v>
      </c>
      <c r="F1093">
        <v>0</v>
      </c>
      <c r="G1093">
        <v>0</v>
      </c>
      <c r="H1093">
        <v>1.7999999999999999E-2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Z1093">
        <v>0</v>
      </c>
      <c r="AA1093">
        <v>0</v>
      </c>
      <c r="AB1093">
        <v>1</v>
      </c>
      <c r="AC1093">
        <v>0</v>
      </c>
      <c r="AD1093">
        <v>1</v>
      </c>
      <c r="AE1093">
        <v>1000</v>
      </c>
      <c r="AF1093">
        <v>1</v>
      </c>
      <c r="AG1093">
        <v>0</v>
      </c>
      <c r="AH1093">
        <v>1</v>
      </c>
      <c r="AI1093">
        <v>0</v>
      </c>
      <c r="AJ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-3.3337999999999997</v>
      </c>
      <c r="AX1093">
        <v>6.2</v>
      </c>
      <c r="AY1093">
        <v>845.18280000000004</v>
      </c>
      <c r="BA1093">
        <v>798</v>
      </c>
      <c r="BB1093">
        <v>975</v>
      </c>
      <c r="BC1093">
        <v>12</v>
      </c>
      <c r="BE1093" t="s">
        <v>349</v>
      </c>
      <c r="BF1093" t="s">
        <v>127</v>
      </c>
    </row>
    <row r="1094" spans="1:58" x14ac:dyDescent="0.45">
      <c r="A1094">
        <v>11093</v>
      </c>
      <c r="B1094">
        <v>1</v>
      </c>
      <c r="C1094">
        <v>89.498000000000005</v>
      </c>
      <c r="D1094">
        <v>6.2</v>
      </c>
      <c r="E1094">
        <v>4.2</v>
      </c>
      <c r="F1094">
        <v>0</v>
      </c>
      <c r="G1094">
        <v>0</v>
      </c>
      <c r="H1094">
        <v>1.7999999999999999E-2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Z1094">
        <v>0</v>
      </c>
      <c r="AA1094">
        <v>0</v>
      </c>
      <c r="AB1094">
        <v>1</v>
      </c>
      <c r="AC1094">
        <v>0</v>
      </c>
      <c r="AD1094">
        <v>1</v>
      </c>
      <c r="AE1094">
        <v>1000</v>
      </c>
      <c r="AF1094">
        <v>1</v>
      </c>
      <c r="AJ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-3.3337999999999997</v>
      </c>
      <c r="AX1094">
        <v>6.2</v>
      </c>
      <c r="AY1094">
        <v>845.18280000000004</v>
      </c>
      <c r="BA1094">
        <v>743</v>
      </c>
      <c r="BB1094">
        <v>881</v>
      </c>
      <c r="BC1094">
        <v>14</v>
      </c>
      <c r="BE1094" t="s">
        <v>349</v>
      </c>
      <c r="BF1094" t="s">
        <v>127</v>
      </c>
    </row>
    <row r="1095" spans="1:58" x14ac:dyDescent="0.45">
      <c r="A1095">
        <v>11094</v>
      </c>
      <c r="B1095">
        <v>1</v>
      </c>
      <c r="C1095">
        <v>64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4</v>
      </c>
      <c r="K1095">
        <v>24</v>
      </c>
      <c r="L1095">
        <v>0</v>
      </c>
      <c r="M1095">
        <v>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20</v>
      </c>
      <c r="Y1095">
        <v>94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900</v>
      </c>
      <c r="AF1095">
        <v>0.5</v>
      </c>
      <c r="AG1095">
        <v>1</v>
      </c>
      <c r="AH1095">
        <v>0</v>
      </c>
      <c r="AI1095">
        <v>0</v>
      </c>
      <c r="AJ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6.7200000000000006</v>
      </c>
      <c r="AX1095">
        <v>3.333333333333333</v>
      </c>
      <c r="AY1095">
        <v>888</v>
      </c>
      <c r="BB1095">
        <v>870</v>
      </c>
      <c r="BC1095">
        <v>10</v>
      </c>
      <c r="BF1095" t="s">
        <v>132</v>
      </c>
    </row>
    <row r="1096" spans="1:58" x14ac:dyDescent="0.45">
      <c r="A1096">
        <v>11095</v>
      </c>
      <c r="B1096">
        <v>1</v>
      </c>
      <c r="C1096">
        <v>64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4</v>
      </c>
      <c r="K1096">
        <v>24</v>
      </c>
      <c r="L1096">
        <v>0</v>
      </c>
      <c r="M1096">
        <v>8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20</v>
      </c>
      <c r="Y1096">
        <v>94</v>
      </c>
      <c r="Z1096">
        <v>0</v>
      </c>
      <c r="AA1096">
        <v>0</v>
      </c>
      <c r="AB1096">
        <v>1</v>
      </c>
      <c r="AC1096">
        <v>0</v>
      </c>
      <c r="AD1096">
        <v>1</v>
      </c>
      <c r="AE1096">
        <v>700</v>
      </c>
      <c r="AF1096">
        <v>0.05</v>
      </c>
      <c r="AG1096">
        <v>0</v>
      </c>
      <c r="AH1096">
        <v>1</v>
      </c>
      <c r="AI1096">
        <v>0</v>
      </c>
      <c r="AJ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6.7200000000000006</v>
      </c>
      <c r="AX1096">
        <v>3.333333333333333</v>
      </c>
      <c r="AY1096">
        <v>888</v>
      </c>
      <c r="BB1096">
        <v>990</v>
      </c>
      <c r="BC1096">
        <v>9</v>
      </c>
      <c r="BF1096" t="s">
        <v>132</v>
      </c>
    </row>
    <row r="1097" spans="1:58" x14ac:dyDescent="0.45">
      <c r="A1097">
        <v>11096</v>
      </c>
      <c r="B1097">
        <v>1</v>
      </c>
      <c r="C1097">
        <v>93</v>
      </c>
      <c r="D1097">
        <v>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3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Z1097">
        <v>0</v>
      </c>
      <c r="AA1097">
        <v>0</v>
      </c>
      <c r="AB1097">
        <v>1</v>
      </c>
      <c r="AC1097">
        <v>0</v>
      </c>
      <c r="AD1097">
        <v>1</v>
      </c>
      <c r="AE1097">
        <v>960</v>
      </c>
      <c r="AF1097">
        <v>1</v>
      </c>
      <c r="AG1097">
        <v>0</v>
      </c>
      <c r="AH1097">
        <v>0</v>
      </c>
      <c r="AI1097">
        <v>1</v>
      </c>
      <c r="AJ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-2</v>
      </c>
      <c r="AX1097">
        <v>3.5</v>
      </c>
      <c r="AY1097">
        <v>858.09999999999991</v>
      </c>
      <c r="BA1097">
        <v>501</v>
      </c>
      <c r="BB1097">
        <v>604</v>
      </c>
      <c r="BC1097">
        <v>12</v>
      </c>
      <c r="BE1097" t="s">
        <v>294</v>
      </c>
      <c r="BF1097" t="s">
        <v>153</v>
      </c>
    </row>
    <row r="1098" spans="1:58" x14ac:dyDescent="0.45">
      <c r="A1098">
        <v>11097</v>
      </c>
      <c r="B1098">
        <v>1</v>
      </c>
      <c r="C1098">
        <v>93</v>
      </c>
      <c r="D1098">
        <v>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3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Z1098">
        <v>0</v>
      </c>
      <c r="AA1098">
        <v>0</v>
      </c>
      <c r="AB1098">
        <v>1</v>
      </c>
      <c r="AC1098">
        <v>0</v>
      </c>
      <c r="AD1098">
        <v>1</v>
      </c>
      <c r="AE1098">
        <v>920</v>
      </c>
      <c r="AF1098">
        <v>1</v>
      </c>
      <c r="AG1098">
        <v>0</v>
      </c>
      <c r="AH1098">
        <v>0</v>
      </c>
      <c r="AI1098">
        <v>1</v>
      </c>
      <c r="AJ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-2</v>
      </c>
      <c r="AX1098">
        <v>3.5</v>
      </c>
      <c r="AY1098">
        <v>858.09999999999991</v>
      </c>
      <c r="BA1098">
        <v>572</v>
      </c>
      <c r="BB1098">
        <v>652</v>
      </c>
      <c r="BC1098">
        <v>15</v>
      </c>
      <c r="BE1098" t="s">
        <v>294</v>
      </c>
      <c r="BF1098" t="s">
        <v>153</v>
      </c>
    </row>
    <row r="1099" spans="1:58" x14ac:dyDescent="0.45">
      <c r="A1099">
        <v>11098</v>
      </c>
      <c r="B1099">
        <v>1</v>
      </c>
      <c r="C1099">
        <v>93</v>
      </c>
      <c r="D1099">
        <v>3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3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920</v>
      </c>
      <c r="AF1099">
        <v>1</v>
      </c>
      <c r="AG1099">
        <v>0</v>
      </c>
      <c r="AH1099">
        <v>1</v>
      </c>
      <c r="AI1099">
        <v>0</v>
      </c>
      <c r="AJ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-2</v>
      </c>
      <c r="AX1099">
        <v>3.5</v>
      </c>
      <c r="AY1099">
        <v>858.09999999999991</v>
      </c>
      <c r="BA1099">
        <v>587</v>
      </c>
      <c r="BB1099">
        <v>659</v>
      </c>
      <c r="BC1099">
        <v>20</v>
      </c>
      <c r="BE1099" t="s">
        <v>294</v>
      </c>
      <c r="BF1099" t="s">
        <v>153</v>
      </c>
    </row>
    <row r="1100" spans="1:58" x14ac:dyDescent="0.45">
      <c r="A1100">
        <v>11099</v>
      </c>
      <c r="B1100">
        <v>1</v>
      </c>
      <c r="C1100">
        <v>89</v>
      </c>
      <c r="D1100">
        <v>6</v>
      </c>
      <c r="E1100">
        <v>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920</v>
      </c>
      <c r="Y1100">
        <v>50</v>
      </c>
      <c r="Z1100">
        <v>0</v>
      </c>
      <c r="AA1100">
        <v>0</v>
      </c>
      <c r="AB1100">
        <v>1</v>
      </c>
      <c r="AC1100">
        <v>0</v>
      </c>
      <c r="AD1100">
        <v>0</v>
      </c>
      <c r="AJ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-3.1799999999999997</v>
      </c>
      <c r="AX1100">
        <v>6</v>
      </c>
      <c r="AY1100">
        <v>847.4</v>
      </c>
      <c r="BA1100">
        <v>955</v>
      </c>
      <c r="BB1100">
        <v>975</v>
      </c>
      <c r="BC1100">
        <v>17</v>
      </c>
      <c r="BF1100" t="s">
        <v>156</v>
      </c>
    </row>
    <row r="1101" spans="1:58" x14ac:dyDescent="0.45">
      <c r="A1101">
        <v>11100</v>
      </c>
      <c r="B1101">
        <v>1</v>
      </c>
      <c r="C1101">
        <v>89</v>
      </c>
      <c r="D1101">
        <v>6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0.5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920</v>
      </c>
      <c r="Y1101">
        <v>50</v>
      </c>
      <c r="Z1101">
        <v>0</v>
      </c>
      <c r="AA1101">
        <v>0</v>
      </c>
      <c r="AB1101">
        <v>1</v>
      </c>
      <c r="AC1101">
        <v>0</v>
      </c>
      <c r="AD1101">
        <v>1</v>
      </c>
      <c r="AE1101">
        <v>750</v>
      </c>
      <c r="AF1101">
        <v>1</v>
      </c>
      <c r="AG1101">
        <v>0</v>
      </c>
      <c r="AH1101">
        <v>1</v>
      </c>
      <c r="AI1101">
        <v>0</v>
      </c>
      <c r="AJ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-3.1799999999999997</v>
      </c>
      <c r="AX1101">
        <v>6</v>
      </c>
      <c r="AY1101">
        <v>847.4</v>
      </c>
      <c r="BA1101">
        <v>905</v>
      </c>
      <c r="BB1101">
        <v>932</v>
      </c>
      <c r="BC1101">
        <v>17.5</v>
      </c>
      <c r="BF1101" t="s">
        <v>215</v>
      </c>
    </row>
    <row r="1102" spans="1:58" x14ac:dyDescent="0.45">
      <c r="A1102">
        <v>11101</v>
      </c>
      <c r="B1102">
        <v>1</v>
      </c>
      <c r="C1102">
        <v>89</v>
      </c>
      <c r="D1102">
        <v>6</v>
      </c>
      <c r="E1102">
        <v>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0.5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920</v>
      </c>
      <c r="Y1102">
        <v>50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800</v>
      </c>
      <c r="AF1102">
        <v>1</v>
      </c>
      <c r="AG1102">
        <v>0</v>
      </c>
      <c r="AH1102">
        <v>1</v>
      </c>
      <c r="AI1102">
        <v>0</v>
      </c>
      <c r="AJ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-3.1799999999999997</v>
      </c>
      <c r="AX1102">
        <v>6</v>
      </c>
      <c r="AY1102">
        <v>847.4</v>
      </c>
      <c r="BA1102">
        <v>913</v>
      </c>
      <c r="BB1102">
        <v>960</v>
      </c>
      <c r="BC1102">
        <v>18.3</v>
      </c>
      <c r="BF1102" t="s">
        <v>156</v>
      </c>
    </row>
    <row r="1103" spans="1:58" x14ac:dyDescent="0.45">
      <c r="A1103">
        <v>11102</v>
      </c>
      <c r="B1103">
        <v>1</v>
      </c>
      <c r="C1103">
        <v>89</v>
      </c>
      <c r="D1103">
        <v>6</v>
      </c>
      <c r="E1103">
        <v>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0.5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920</v>
      </c>
      <c r="Y1103">
        <v>50</v>
      </c>
      <c r="Z1103">
        <v>0</v>
      </c>
      <c r="AA1103">
        <v>0</v>
      </c>
      <c r="AB1103">
        <v>1</v>
      </c>
      <c r="AC1103">
        <v>0</v>
      </c>
      <c r="AD1103">
        <v>1</v>
      </c>
      <c r="AE1103">
        <v>850</v>
      </c>
      <c r="AF1103">
        <v>1</v>
      </c>
      <c r="AG1103">
        <v>0</v>
      </c>
      <c r="AH1103">
        <v>1</v>
      </c>
      <c r="AI1103">
        <v>0</v>
      </c>
      <c r="AJ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-3.1799999999999997</v>
      </c>
      <c r="AX1103">
        <v>6</v>
      </c>
      <c r="AY1103">
        <v>847.4</v>
      </c>
      <c r="BA1103">
        <v>900</v>
      </c>
      <c r="BB1103">
        <v>948</v>
      </c>
      <c r="BC1103">
        <v>17</v>
      </c>
      <c r="BF1103" t="s">
        <v>156</v>
      </c>
    </row>
    <row r="1104" spans="1:58" x14ac:dyDescent="0.45">
      <c r="A1104">
        <v>11103</v>
      </c>
      <c r="B1104">
        <v>1</v>
      </c>
      <c r="C1104">
        <v>89</v>
      </c>
      <c r="D1104">
        <v>6</v>
      </c>
      <c r="E1104">
        <v>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0.5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920</v>
      </c>
      <c r="Y1104">
        <v>50</v>
      </c>
      <c r="Z1104">
        <v>0</v>
      </c>
      <c r="AA1104">
        <v>0</v>
      </c>
      <c r="AB1104">
        <v>1</v>
      </c>
      <c r="AC1104">
        <v>0</v>
      </c>
      <c r="AD1104">
        <v>1</v>
      </c>
      <c r="AE1104">
        <v>900</v>
      </c>
      <c r="AF1104">
        <v>1</v>
      </c>
      <c r="AG1104">
        <v>0</v>
      </c>
      <c r="AH1104">
        <v>1</v>
      </c>
      <c r="AI1104">
        <v>0</v>
      </c>
      <c r="AJ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-3.1799999999999997</v>
      </c>
      <c r="AX1104">
        <v>6</v>
      </c>
      <c r="AY1104">
        <v>847.4</v>
      </c>
      <c r="BA1104">
        <v>900</v>
      </c>
      <c r="BB1104">
        <v>950</v>
      </c>
      <c r="BC1104">
        <v>18</v>
      </c>
      <c r="BF1104" t="s">
        <v>156</v>
      </c>
    </row>
    <row r="1105" spans="1:58" x14ac:dyDescent="0.45">
      <c r="A1105">
        <v>11104</v>
      </c>
      <c r="B1105">
        <v>1</v>
      </c>
      <c r="C1105">
        <v>89</v>
      </c>
      <c r="D1105">
        <v>6</v>
      </c>
      <c r="E1105">
        <v>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0.5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1020</v>
      </c>
      <c r="Y1105">
        <v>50</v>
      </c>
      <c r="Z1105">
        <v>0</v>
      </c>
      <c r="AA1105">
        <v>0</v>
      </c>
      <c r="AB1105">
        <v>1</v>
      </c>
      <c r="AC1105">
        <v>0</v>
      </c>
      <c r="AD1105">
        <v>0</v>
      </c>
      <c r="AJ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-3.1799999999999997</v>
      </c>
      <c r="AX1105">
        <v>6</v>
      </c>
      <c r="AY1105">
        <v>847.4</v>
      </c>
      <c r="BA1105">
        <v>995</v>
      </c>
      <c r="BB1105">
        <v>1027</v>
      </c>
      <c r="BC1105">
        <v>18</v>
      </c>
      <c r="BF1105" t="s">
        <v>156</v>
      </c>
    </row>
    <row r="1106" spans="1:58" x14ac:dyDescent="0.45">
      <c r="A1106">
        <v>11105</v>
      </c>
      <c r="B1106">
        <v>1</v>
      </c>
      <c r="C1106">
        <v>89</v>
      </c>
      <c r="D1106">
        <v>6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1020</v>
      </c>
      <c r="Y1106">
        <v>50</v>
      </c>
      <c r="Z1106">
        <v>0</v>
      </c>
      <c r="AA1106">
        <v>0</v>
      </c>
      <c r="AB1106">
        <v>1</v>
      </c>
      <c r="AC1106">
        <v>0</v>
      </c>
      <c r="AD1106">
        <v>1</v>
      </c>
      <c r="AE1106">
        <v>750</v>
      </c>
      <c r="AF1106">
        <v>1</v>
      </c>
      <c r="AG1106">
        <v>0</v>
      </c>
      <c r="AH1106">
        <v>1</v>
      </c>
      <c r="AI1106">
        <v>0</v>
      </c>
      <c r="AJ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-3.1799999999999997</v>
      </c>
      <c r="AX1106">
        <v>6</v>
      </c>
      <c r="AY1106">
        <v>847.4</v>
      </c>
      <c r="BA1106">
        <v>964</v>
      </c>
      <c r="BB1106">
        <v>1005</v>
      </c>
      <c r="BC1106">
        <v>15.8</v>
      </c>
      <c r="BF1106" t="s">
        <v>156</v>
      </c>
    </row>
    <row r="1107" spans="1:58" x14ac:dyDescent="0.45">
      <c r="A1107">
        <v>11106</v>
      </c>
      <c r="B1107">
        <v>1</v>
      </c>
      <c r="C1107">
        <v>89</v>
      </c>
      <c r="D1107">
        <v>6</v>
      </c>
      <c r="E1107">
        <v>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0.5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1020</v>
      </c>
      <c r="Y1107">
        <v>50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800</v>
      </c>
      <c r="AF1107">
        <v>1</v>
      </c>
      <c r="AG1107">
        <v>0</v>
      </c>
      <c r="AH1107">
        <v>1</v>
      </c>
      <c r="AI1107">
        <v>0</v>
      </c>
      <c r="AJ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-3.1799999999999997</v>
      </c>
      <c r="AX1107">
        <v>6</v>
      </c>
      <c r="AY1107">
        <v>847.4</v>
      </c>
      <c r="BA1107">
        <v>950</v>
      </c>
      <c r="BB1107">
        <v>987</v>
      </c>
      <c r="BC1107">
        <v>16.7</v>
      </c>
      <c r="BF1107" t="s">
        <v>156</v>
      </c>
    </row>
    <row r="1108" spans="1:58" x14ac:dyDescent="0.45">
      <c r="A1108">
        <v>11107</v>
      </c>
      <c r="B1108">
        <v>1</v>
      </c>
      <c r="C1108">
        <v>89</v>
      </c>
      <c r="D1108">
        <v>6</v>
      </c>
      <c r="E1108">
        <v>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0.5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1020</v>
      </c>
      <c r="Y1108">
        <v>50</v>
      </c>
      <c r="Z1108">
        <v>0</v>
      </c>
      <c r="AA1108">
        <v>0</v>
      </c>
      <c r="AB1108">
        <v>1</v>
      </c>
      <c r="AC1108">
        <v>0</v>
      </c>
      <c r="AD1108">
        <v>1</v>
      </c>
      <c r="AE1108">
        <v>850</v>
      </c>
      <c r="AF1108">
        <v>1</v>
      </c>
      <c r="AG1108">
        <v>0</v>
      </c>
      <c r="AH1108">
        <v>1</v>
      </c>
      <c r="AI1108">
        <v>0</v>
      </c>
      <c r="AJ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-3.1799999999999997</v>
      </c>
      <c r="AX1108">
        <v>6</v>
      </c>
      <c r="AY1108">
        <v>847.4</v>
      </c>
      <c r="BA1108">
        <v>940</v>
      </c>
      <c r="BB1108">
        <v>983</v>
      </c>
      <c r="BC1108">
        <v>17</v>
      </c>
      <c r="BF1108" t="s">
        <v>156</v>
      </c>
    </row>
    <row r="1109" spans="1:58" x14ac:dyDescent="0.45">
      <c r="A1109">
        <v>11108</v>
      </c>
      <c r="B1109">
        <v>1</v>
      </c>
      <c r="C1109">
        <v>89</v>
      </c>
      <c r="D1109">
        <v>6</v>
      </c>
      <c r="E1109">
        <v>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0.5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1020</v>
      </c>
      <c r="Y1109">
        <v>50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900</v>
      </c>
      <c r="AF1109">
        <v>1</v>
      </c>
      <c r="AG1109">
        <v>0</v>
      </c>
      <c r="AH1109">
        <v>1</v>
      </c>
      <c r="AI1109">
        <v>0</v>
      </c>
      <c r="AJ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-3.1799999999999997</v>
      </c>
      <c r="AX1109">
        <v>6</v>
      </c>
      <c r="AY1109">
        <v>847.4</v>
      </c>
      <c r="BA1109">
        <v>927</v>
      </c>
      <c r="BB1109">
        <v>967</v>
      </c>
      <c r="BC1109">
        <v>17</v>
      </c>
      <c r="BF1109" t="s">
        <v>156</v>
      </c>
    </row>
    <row r="1110" spans="1:58" x14ac:dyDescent="0.45">
      <c r="A1110">
        <v>11109</v>
      </c>
      <c r="B1110">
        <v>1</v>
      </c>
      <c r="C1110">
        <v>86.63</v>
      </c>
      <c r="D1110">
        <v>5</v>
      </c>
      <c r="E1110">
        <v>0</v>
      </c>
      <c r="F1110">
        <v>0</v>
      </c>
      <c r="G1110">
        <v>0</v>
      </c>
      <c r="H1110">
        <v>1.62</v>
      </c>
      <c r="I1110">
        <v>0</v>
      </c>
      <c r="J1110">
        <v>0</v>
      </c>
      <c r="K1110">
        <v>0</v>
      </c>
      <c r="L1110">
        <v>6.65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800</v>
      </c>
      <c r="Z1110">
        <v>0</v>
      </c>
      <c r="AA1110">
        <v>0</v>
      </c>
      <c r="AB1110">
        <v>1</v>
      </c>
      <c r="AC1110">
        <v>0</v>
      </c>
      <c r="AD1110">
        <v>1</v>
      </c>
      <c r="AE1110">
        <v>780</v>
      </c>
      <c r="AF1110">
        <v>1</v>
      </c>
      <c r="AG1110">
        <v>0</v>
      </c>
      <c r="AH1110">
        <v>1</v>
      </c>
      <c r="AI1110">
        <v>0</v>
      </c>
      <c r="AJ1110">
        <v>1</v>
      </c>
      <c r="AK1110">
        <v>560</v>
      </c>
      <c r="AL1110">
        <v>6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6.3480000000000008</v>
      </c>
      <c r="AX1110">
        <v>5</v>
      </c>
      <c r="AY1110">
        <v>804.37700000000007</v>
      </c>
      <c r="BA1110">
        <v>1070.49</v>
      </c>
      <c r="BB1110">
        <v>1126.5899999999999</v>
      </c>
      <c r="BC1110">
        <v>18.5685</v>
      </c>
      <c r="BF1110" t="s">
        <v>108</v>
      </c>
    </row>
    <row r="1111" spans="1:58" x14ac:dyDescent="0.45">
      <c r="A1111">
        <v>11110</v>
      </c>
      <c r="B1111">
        <v>1</v>
      </c>
      <c r="C1111">
        <v>86.63</v>
      </c>
      <c r="D1111">
        <v>5</v>
      </c>
      <c r="E1111">
        <v>0</v>
      </c>
      <c r="F1111">
        <v>0</v>
      </c>
      <c r="G1111">
        <v>0</v>
      </c>
      <c r="H1111">
        <v>1.62</v>
      </c>
      <c r="I1111">
        <v>0</v>
      </c>
      <c r="J1111">
        <v>0</v>
      </c>
      <c r="K1111">
        <v>0</v>
      </c>
      <c r="L1111">
        <v>6.65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800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780</v>
      </c>
      <c r="AF1111">
        <v>1</v>
      </c>
      <c r="AG1111">
        <v>0</v>
      </c>
      <c r="AH1111">
        <v>1</v>
      </c>
      <c r="AI1111">
        <v>0</v>
      </c>
      <c r="AJ1111">
        <v>1</v>
      </c>
      <c r="AK1111">
        <v>560</v>
      </c>
      <c r="AL1111">
        <v>6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6.3480000000000008</v>
      </c>
      <c r="AX1111">
        <v>5</v>
      </c>
      <c r="AY1111">
        <v>804.37700000000007</v>
      </c>
      <c r="BA1111">
        <v>1131.97</v>
      </c>
      <c r="BB1111">
        <v>1160.2</v>
      </c>
      <c r="BC1111">
        <v>17.604500000000002</v>
      </c>
      <c r="BF1111" t="s">
        <v>108</v>
      </c>
    </row>
    <row r="1112" spans="1:58" x14ac:dyDescent="0.45">
      <c r="A1112">
        <v>11111</v>
      </c>
      <c r="B1112">
        <v>1</v>
      </c>
      <c r="C1112">
        <v>86.63</v>
      </c>
      <c r="D1112">
        <v>5</v>
      </c>
      <c r="E1112">
        <v>0</v>
      </c>
      <c r="F1112">
        <v>0</v>
      </c>
      <c r="G1112">
        <v>0</v>
      </c>
      <c r="H1112">
        <v>1.62</v>
      </c>
      <c r="I1112">
        <v>0</v>
      </c>
      <c r="J1112">
        <v>0</v>
      </c>
      <c r="K1112">
        <v>0</v>
      </c>
      <c r="L1112">
        <v>6.65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800</v>
      </c>
      <c r="Z1112">
        <v>0</v>
      </c>
      <c r="AA1112">
        <v>0</v>
      </c>
      <c r="AB1112">
        <v>1</v>
      </c>
      <c r="AC1112">
        <v>0</v>
      </c>
      <c r="AD1112">
        <v>1</v>
      </c>
      <c r="AE1112">
        <v>780</v>
      </c>
      <c r="AF1112">
        <v>1</v>
      </c>
      <c r="AG1112">
        <v>0</v>
      </c>
      <c r="AH1112">
        <v>1</v>
      </c>
      <c r="AI1112">
        <v>0</v>
      </c>
      <c r="AJ1112">
        <v>1</v>
      </c>
      <c r="AK1112">
        <v>560</v>
      </c>
      <c r="AL1112">
        <v>6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6.3480000000000008</v>
      </c>
      <c r="AX1112">
        <v>5</v>
      </c>
      <c r="AY1112">
        <v>804.37700000000007</v>
      </c>
      <c r="BA1112">
        <v>1066.3900000000001</v>
      </c>
      <c r="BB1112">
        <v>1098.76</v>
      </c>
      <c r="BC1112">
        <v>18.0625</v>
      </c>
      <c r="BF1112" t="s">
        <v>108</v>
      </c>
    </row>
    <row r="1113" spans="1:58" x14ac:dyDescent="0.45">
      <c r="A1113">
        <v>11112</v>
      </c>
      <c r="B1113">
        <v>1</v>
      </c>
      <c r="C1113">
        <v>86.63</v>
      </c>
      <c r="D1113">
        <v>5</v>
      </c>
      <c r="E1113">
        <v>0</v>
      </c>
      <c r="F1113">
        <v>0</v>
      </c>
      <c r="G1113">
        <v>0</v>
      </c>
      <c r="H1113">
        <v>1.62</v>
      </c>
      <c r="I1113">
        <v>0</v>
      </c>
      <c r="J1113">
        <v>0</v>
      </c>
      <c r="K1113">
        <v>0</v>
      </c>
      <c r="L1113">
        <v>6.65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830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>
        <v>780</v>
      </c>
      <c r="AF1113">
        <v>1</v>
      </c>
      <c r="AG1113">
        <v>0</v>
      </c>
      <c r="AH1113">
        <v>1</v>
      </c>
      <c r="AI1113">
        <v>0</v>
      </c>
      <c r="AJ1113">
        <v>1</v>
      </c>
      <c r="AK1113">
        <v>560</v>
      </c>
      <c r="AL1113">
        <v>6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6.3480000000000008</v>
      </c>
      <c r="AX1113">
        <v>5</v>
      </c>
      <c r="AY1113">
        <v>804.37700000000007</v>
      </c>
      <c r="BA1113">
        <v>1110.1099999999999</v>
      </c>
      <c r="BB1113">
        <v>1180.3</v>
      </c>
      <c r="BC1113">
        <v>15.9626</v>
      </c>
      <c r="BF1113" t="s">
        <v>108</v>
      </c>
    </row>
    <row r="1114" spans="1:58" x14ac:dyDescent="0.45">
      <c r="A1114">
        <v>11113</v>
      </c>
      <c r="B1114">
        <v>1</v>
      </c>
      <c r="C1114">
        <v>86.63</v>
      </c>
      <c r="D1114">
        <v>5</v>
      </c>
      <c r="E1114">
        <v>0</v>
      </c>
      <c r="F1114">
        <v>0</v>
      </c>
      <c r="G1114">
        <v>0</v>
      </c>
      <c r="H1114">
        <v>1.62</v>
      </c>
      <c r="I1114">
        <v>0</v>
      </c>
      <c r="J1114">
        <v>0</v>
      </c>
      <c r="K1114">
        <v>0</v>
      </c>
      <c r="L1114">
        <v>6.65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830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780</v>
      </c>
      <c r="AF1114">
        <v>1</v>
      </c>
      <c r="AG1114">
        <v>0</v>
      </c>
      <c r="AH1114">
        <v>1</v>
      </c>
      <c r="AI1114">
        <v>0</v>
      </c>
      <c r="AJ1114">
        <v>1</v>
      </c>
      <c r="AK1114">
        <v>560</v>
      </c>
      <c r="AL1114">
        <v>6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6.3480000000000008</v>
      </c>
      <c r="AX1114">
        <v>5</v>
      </c>
      <c r="AY1114">
        <v>804.37700000000007</v>
      </c>
      <c r="BA1114">
        <v>1145.6300000000001</v>
      </c>
      <c r="BB1114">
        <v>1178.0999999999999</v>
      </c>
      <c r="BC1114">
        <v>13.6577</v>
      </c>
      <c r="BF1114" t="s">
        <v>108</v>
      </c>
    </row>
    <row r="1115" spans="1:58" x14ac:dyDescent="0.45">
      <c r="A1115">
        <v>11114</v>
      </c>
      <c r="B1115">
        <v>1</v>
      </c>
      <c r="C1115">
        <v>86.63</v>
      </c>
      <c r="D1115">
        <v>5</v>
      </c>
      <c r="E1115">
        <v>0</v>
      </c>
      <c r="F1115">
        <v>0</v>
      </c>
      <c r="G1115">
        <v>0</v>
      </c>
      <c r="H1115">
        <v>1.62</v>
      </c>
      <c r="I1115">
        <v>0</v>
      </c>
      <c r="J1115">
        <v>0</v>
      </c>
      <c r="K1115">
        <v>0</v>
      </c>
      <c r="L1115">
        <v>6.65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830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780</v>
      </c>
      <c r="AF1115">
        <v>1</v>
      </c>
      <c r="AG1115">
        <v>0</v>
      </c>
      <c r="AH1115">
        <v>1</v>
      </c>
      <c r="AI1115">
        <v>0</v>
      </c>
      <c r="AJ1115">
        <v>1</v>
      </c>
      <c r="AK1115">
        <v>560</v>
      </c>
      <c r="AL1115">
        <v>6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6.3480000000000008</v>
      </c>
      <c r="AX1115">
        <v>5</v>
      </c>
      <c r="AY1115">
        <v>804.37700000000007</v>
      </c>
      <c r="BA1115">
        <v>1144.26</v>
      </c>
      <c r="BB1115">
        <v>1188.3</v>
      </c>
      <c r="BC1115">
        <v>11.9832</v>
      </c>
      <c r="BF1115" t="s">
        <v>108</v>
      </c>
    </row>
    <row r="1116" spans="1:58" x14ac:dyDescent="0.45">
      <c r="A1116">
        <v>11115</v>
      </c>
      <c r="B1116">
        <v>1</v>
      </c>
      <c r="C1116">
        <v>86.63</v>
      </c>
      <c r="D1116">
        <v>5</v>
      </c>
      <c r="E1116">
        <v>0</v>
      </c>
      <c r="F1116">
        <v>0</v>
      </c>
      <c r="G1116">
        <v>0</v>
      </c>
      <c r="H1116">
        <v>1.62</v>
      </c>
      <c r="I1116">
        <v>0</v>
      </c>
      <c r="J1116">
        <v>0</v>
      </c>
      <c r="K1116">
        <v>0</v>
      </c>
      <c r="L1116">
        <v>6.65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860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780</v>
      </c>
      <c r="AF1116">
        <v>1</v>
      </c>
      <c r="AG1116">
        <v>0</v>
      </c>
      <c r="AH1116">
        <v>1</v>
      </c>
      <c r="AI1116">
        <v>0</v>
      </c>
      <c r="AJ1116">
        <v>1</v>
      </c>
      <c r="AK1116">
        <v>560</v>
      </c>
      <c r="AL1116">
        <v>6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6.3480000000000008</v>
      </c>
      <c r="AX1116">
        <v>5</v>
      </c>
      <c r="AY1116">
        <v>804.37700000000007</v>
      </c>
      <c r="BA1116">
        <v>1122.4000000000001</v>
      </c>
      <c r="BB1116">
        <v>1172.04</v>
      </c>
      <c r="BC1116">
        <v>17.9375</v>
      </c>
      <c r="BF1116" t="s">
        <v>108</v>
      </c>
    </row>
    <row r="1117" spans="1:58" x14ac:dyDescent="0.45">
      <c r="A1117">
        <v>11116</v>
      </c>
      <c r="B1117">
        <v>1</v>
      </c>
      <c r="C1117">
        <v>86.63</v>
      </c>
      <c r="D1117">
        <v>5</v>
      </c>
      <c r="E1117">
        <v>0</v>
      </c>
      <c r="F1117">
        <v>0</v>
      </c>
      <c r="G1117">
        <v>0</v>
      </c>
      <c r="H1117">
        <v>1.62</v>
      </c>
      <c r="I1117">
        <v>0</v>
      </c>
      <c r="J1117">
        <v>0</v>
      </c>
      <c r="K1117">
        <v>0</v>
      </c>
      <c r="L1117">
        <v>6.65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860</v>
      </c>
      <c r="Z1117">
        <v>0</v>
      </c>
      <c r="AA1117">
        <v>0</v>
      </c>
      <c r="AB1117">
        <v>1</v>
      </c>
      <c r="AC1117">
        <v>0</v>
      </c>
      <c r="AD1117">
        <v>1</v>
      </c>
      <c r="AE1117">
        <v>780</v>
      </c>
      <c r="AF1117">
        <v>1</v>
      </c>
      <c r="AG1117">
        <v>0</v>
      </c>
      <c r="AH1117">
        <v>1</v>
      </c>
      <c r="AI1117">
        <v>0</v>
      </c>
      <c r="AJ1117">
        <v>1</v>
      </c>
      <c r="AK1117">
        <v>560</v>
      </c>
      <c r="AL1117">
        <v>6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6.3480000000000008</v>
      </c>
      <c r="AX1117">
        <v>5</v>
      </c>
      <c r="AY1117">
        <v>804.37700000000007</v>
      </c>
      <c r="BA1117">
        <v>1136.07</v>
      </c>
      <c r="BB1117">
        <v>1173.96</v>
      </c>
      <c r="BC1117">
        <v>15.394299999999999</v>
      </c>
      <c r="BF1117" t="s">
        <v>108</v>
      </c>
    </row>
    <row r="1118" spans="1:58" x14ac:dyDescent="0.45">
      <c r="A1118">
        <v>11117</v>
      </c>
      <c r="B1118">
        <v>1</v>
      </c>
      <c r="C1118">
        <v>86.63</v>
      </c>
      <c r="D1118">
        <v>5</v>
      </c>
      <c r="E1118">
        <v>0</v>
      </c>
      <c r="F1118">
        <v>0</v>
      </c>
      <c r="G1118">
        <v>0</v>
      </c>
      <c r="H1118">
        <v>1.62</v>
      </c>
      <c r="I1118">
        <v>0</v>
      </c>
      <c r="J1118">
        <v>0</v>
      </c>
      <c r="K1118">
        <v>0</v>
      </c>
      <c r="L1118">
        <v>6.65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860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780</v>
      </c>
      <c r="AF1118">
        <v>1</v>
      </c>
      <c r="AG1118">
        <v>0</v>
      </c>
      <c r="AH1118">
        <v>1</v>
      </c>
      <c r="AI1118">
        <v>0</v>
      </c>
      <c r="AJ1118">
        <v>1</v>
      </c>
      <c r="AK1118">
        <v>560</v>
      </c>
      <c r="AL1118">
        <v>6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6.3480000000000008</v>
      </c>
      <c r="AX1118">
        <v>5</v>
      </c>
      <c r="AY1118">
        <v>804.37700000000007</v>
      </c>
      <c r="BA1118">
        <v>1133.33</v>
      </c>
      <c r="BB1118">
        <v>1173.1400000000001</v>
      </c>
      <c r="BC1118">
        <v>12.5359</v>
      </c>
      <c r="BF1118" t="s">
        <v>108</v>
      </c>
    </row>
    <row r="1119" spans="1:58" x14ac:dyDescent="0.45">
      <c r="A1119">
        <v>11118</v>
      </c>
      <c r="B1119">
        <v>1</v>
      </c>
      <c r="C1119">
        <v>86.63</v>
      </c>
      <c r="D1119">
        <v>5</v>
      </c>
      <c r="E1119">
        <v>0</v>
      </c>
      <c r="F1119">
        <v>0</v>
      </c>
      <c r="G1119">
        <v>0</v>
      </c>
      <c r="H1119">
        <v>1.62</v>
      </c>
      <c r="I1119">
        <v>0</v>
      </c>
      <c r="J1119">
        <v>0</v>
      </c>
      <c r="K1119">
        <v>0</v>
      </c>
      <c r="L1119">
        <v>6.65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890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780</v>
      </c>
      <c r="AF1119">
        <v>1</v>
      </c>
      <c r="AG1119">
        <v>0</v>
      </c>
      <c r="AH1119">
        <v>1</v>
      </c>
      <c r="AI1119">
        <v>0</v>
      </c>
      <c r="AJ1119">
        <v>1</v>
      </c>
      <c r="AK1119">
        <v>560</v>
      </c>
      <c r="AL1119">
        <v>6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6.3480000000000008</v>
      </c>
      <c r="AX1119">
        <v>5</v>
      </c>
      <c r="AY1119">
        <v>804.37700000000007</v>
      </c>
      <c r="BA1119">
        <v>1114.21</v>
      </c>
      <c r="BB1119">
        <v>1161.02</v>
      </c>
      <c r="BC1119">
        <v>17.0685</v>
      </c>
      <c r="BF1119" t="s">
        <v>108</v>
      </c>
    </row>
    <row r="1120" spans="1:58" x14ac:dyDescent="0.45">
      <c r="A1120">
        <v>11119</v>
      </c>
      <c r="B1120">
        <v>1</v>
      </c>
      <c r="C1120">
        <v>86.63</v>
      </c>
      <c r="D1120">
        <v>5</v>
      </c>
      <c r="E1120">
        <v>0</v>
      </c>
      <c r="F1120">
        <v>0</v>
      </c>
      <c r="G1120">
        <v>0</v>
      </c>
      <c r="H1120">
        <v>1.62</v>
      </c>
      <c r="I1120">
        <v>0</v>
      </c>
      <c r="J1120">
        <v>0</v>
      </c>
      <c r="K1120">
        <v>0</v>
      </c>
      <c r="L1120">
        <v>6.65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890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>
        <v>780</v>
      </c>
      <c r="AF1120">
        <v>1</v>
      </c>
      <c r="AG1120">
        <v>0</v>
      </c>
      <c r="AH1120">
        <v>1</v>
      </c>
      <c r="AI1120">
        <v>0</v>
      </c>
      <c r="AJ1120">
        <v>1</v>
      </c>
      <c r="AK1120">
        <v>560</v>
      </c>
      <c r="AL1120">
        <v>6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6.3480000000000008</v>
      </c>
      <c r="AX1120">
        <v>5</v>
      </c>
      <c r="AY1120">
        <v>804.37700000000007</v>
      </c>
      <c r="BA1120">
        <v>1125.1400000000001</v>
      </c>
      <c r="BB1120">
        <v>1162.6400000000001</v>
      </c>
      <c r="BC1120">
        <v>10.420500000000001</v>
      </c>
      <c r="BF1120" t="s">
        <v>108</v>
      </c>
    </row>
    <row r="1121" spans="1:58" x14ac:dyDescent="0.45">
      <c r="A1121">
        <v>11120</v>
      </c>
      <c r="B1121">
        <v>1</v>
      </c>
      <c r="C1121">
        <v>86.63</v>
      </c>
      <c r="D1121">
        <v>5</v>
      </c>
      <c r="E1121">
        <v>0</v>
      </c>
      <c r="F1121">
        <v>0</v>
      </c>
      <c r="G1121">
        <v>0</v>
      </c>
      <c r="H1121">
        <v>1.62</v>
      </c>
      <c r="I1121">
        <v>0</v>
      </c>
      <c r="J1121">
        <v>0</v>
      </c>
      <c r="K1121">
        <v>0</v>
      </c>
      <c r="L1121">
        <v>6.65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890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780</v>
      </c>
      <c r="AF1121">
        <v>1</v>
      </c>
      <c r="AG1121">
        <v>0</v>
      </c>
      <c r="AH1121">
        <v>1</v>
      </c>
      <c r="AI1121">
        <v>0</v>
      </c>
      <c r="AJ1121">
        <v>1</v>
      </c>
      <c r="AK1121">
        <v>560</v>
      </c>
      <c r="AL1121">
        <v>6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6.3480000000000008</v>
      </c>
      <c r="AX1121">
        <v>5</v>
      </c>
      <c r="AY1121">
        <v>804.37700000000007</v>
      </c>
      <c r="BA1121">
        <v>1108.74</v>
      </c>
      <c r="BB1121">
        <v>1153.3</v>
      </c>
      <c r="BC1121">
        <v>14.746700000000001</v>
      </c>
      <c r="BF1121" t="s">
        <v>108</v>
      </c>
    </row>
    <row r="1122" spans="1:58" x14ac:dyDescent="0.45">
      <c r="A1122">
        <v>11121</v>
      </c>
      <c r="B1122">
        <v>1</v>
      </c>
      <c r="C1122">
        <v>86.63</v>
      </c>
      <c r="D1122">
        <v>5</v>
      </c>
      <c r="E1122">
        <v>0</v>
      </c>
      <c r="F1122">
        <v>0</v>
      </c>
      <c r="G1122">
        <v>0</v>
      </c>
      <c r="H1122">
        <v>1.62</v>
      </c>
      <c r="I1122">
        <v>0</v>
      </c>
      <c r="J1122">
        <v>0</v>
      </c>
      <c r="K1122">
        <v>0</v>
      </c>
      <c r="L1122">
        <v>6.65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920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780</v>
      </c>
      <c r="AF1122">
        <v>1</v>
      </c>
      <c r="AG1122">
        <v>0</v>
      </c>
      <c r="AH1122">
        <v>1</v>
      </c>
      <c r="AI1122">
        <v>0</v>
      </c>
      <c r="AJ1122">
        <v>1</v>
      </c>
      <c r="AK1122">
        <v>560</v>
      </c>
      <c r="AL1122">
        <v>6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6.3480000000000008</v>
      </c>
      <c r="AX1122">
        <v>5</v>
      </c>
      <c r="AY1122">
        <v>804.37700000000007</v>
      </c>
      <c r="BA1122">
        <v>1062.3</v>
      </c>
      <c r="BB1122">
        <v>1130.72</v>
      </c>
      <c r="BC1122">
        <v>13.8316</v>
      </c>
      <c r="BF1122" t="s">
        <v>108</v>
      </c>
    </row>
    <row r="1123" spans="1:58" x14ac:dyDescent="0.45">
      <c r="A1123">
        <v>11122</v>
      </c>
      <c r="B1123">
        <v>1</v>
      </c>
      <c r="C1123">
        <v>86.63</v>
      </c>
      <c r="D1123">
        <v>5</v>
      </c>
      <c r="E1123">
        <v>0</v>
      </c>
      <c r="F1123">
        <v>0</v>
      </c>
      <c r="G1123">
        <v>0</v>
      </c>
      <c r="H1123">
        <v>1.62</v>
      </c>
      <c r="I1123">
        <v>0</v>
      </c>
      <c r="J1123">
        <v>0</v>
      </c>
      <c r="K1123">
        <v>0</v>
      </c>
      <c r="L1123">
        <v>6.65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920</v>
      </c>
      <c r="Z1123">
        <v>0</v>
      </c>
      <c r="AA1123">
        <v>0</v>
      </c>
      <c r="AB1123">
        <v>1</v>
      </c>
      <c r="AC1123">
        <v>0</v>
      </c>
      <c r="AD1123">
        <v>1</v>
      </c>
      <c r="AE1123">
        <v>780</v>
      </c>
      <c r="AF1123">
        <v>1</v>
      </c>
      <c r="AG1123">
        <v>0</v>
      </c>
      <c r="AH1123">
        <v>1</v>
      </c>
      <c r="AI1123">
        <v>0</v>
      </c>
      <c r="AJ1123">
        <v>1</v>
      </c>
      <c r="AK1123">
        <v>560</v>
      </c>
      <c r="AL1123">
        <v>6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6.3480000000000008</v>
      </c>
      <c r="AX1123">
        <v>5</v>
      </c>
      <c r="AY1123">
        <v>804.37700000000007</v>
      </c>
      <c r="BA1123">
        <v>1103.1600000000001</v>
      </c>
      <c r="BB1123">
        <v>1172.5899999999999</v>
      </c>
      <c r="BC1123">
        <v>9.5527300000000004</v>
      </c>
      <c r="BF1123" t="s">
        <v>108</v>
      </c>
    </row>
    <row r="1124" spans="1:58" x14ac:dyDescent="0.45">
      <c r="A1124">
        <v>11123</v>
      </c>
      <c r="B1124">
        <v>1</v>
      </c>
      <c r="C1124">
        <v>86.63</v>
      </c>
      <c r="D1124">
        <v>5</v>
      </c>
      <c r="E1124">
        <v>0</v>
      </c>
      <c r="F1124">
        <v>0</v>
      </c>
      <c r="G1124">
        <v>0</v>
      </c>
      <c r="H1124">
        <v>1.62</v>
      </c>
      <c r="I1124">
        <v>0</v>
      </c>
      <c r="J1124">
        <v>0</v>
      </c>
      <c r="K1124">
        <v>0</v>
      </c>
      <c r="L1124">
        <v>6.65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920</v>
      </c>
      <c r="Z1124">
        <v>0</v>
      </c>
      <c r="AA1124">
        <v>0</v>
      </c>
      <c r="AB1124">
        <v>1</v>
      </c>
      <c r="AC1124">
        <v>0</v>
      </c>
      <c r="AD1124">
        <v>1</v>
      </c>
      <c r="AE1124">
        <v>780</v>
      </c>
      <c r="AF1124">
        <v>1</v>
      </c>
      <c r="AG1124">
        <v>0</v>
      </c>
      <c r="AH1124">
        <v>1</v>
      </c>
      <c r="AI1124">
        <v>0</v>
      </c>
      <c r="AJ1124">
        <v>1</v>
      </c>
      <c r="AK1124">
        <v>560</v>
      </c>
      <c r="AL1124">
        <v>6</v>
      </c>
      <c r="AM1124">
        <v>0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6.3480000000000008</v>
      </c>
      <c r="AX1124">
        <v>5</v>
      </c>
      <c r="AY1124">
        <v>804.37700000000007</v>
      </c>
      <c r="BA1124">
        <v>1086.96</v>
      </c>
      <c r="BB1124">
        <v>1167.6300000000001</v>
      </c>
      <c r="BC1124">
        <v>10.009499999999999</v>
      </c>
      <c r="BF1124" t="s">
        <v>108</v>
      </c>
    </row>
    <row r="1125" spans="1:58" x14ac:dyDescent="0.45">
      <c r="A1125">
        <v>11124</v>
      </c>
      <c r="B1125">
        <v>1</v>
      </c>
      <c r="C1125">
        <v>86.63</v>
      </c>
      <c r="D1125">
        <v>5</v>
      </c>
      <c r="E1125">
        <v>0</v>
      </c>
      <c r="F1125">
        <v>0</v>
      </c>
      <c r="G1125">
        <v>0</v>
      </c>
      <c r="H1125">
        <v>1.62</v>
      </c>
      <c r="I1125">
        <v>0</v>
      </c>
      <c r="J1125">
        <v>0</v>
      </c>
      <c r="K1125">
        <v>0</v>
      </c>
      <c r="L1125">
        <v>6.65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950</v>
      </c>
      <c r="Z1125">
        <v>0</v>
      </c>
      <c r="AA1125">
        <v>0</v>
      </c>
      <c r="AB1125">
        <v>1</v>
      </c>
      <c r="AC1125">
        <v>0</v>
      </c>
      <c r="AD1125">
        <v>1</v>
      </c>
      <c r="AE1125">
        <v>780</v>
      </c>
      <c r="AF1125">
        <v>1</v>
      </c>
      <c r="AG1125">
        <v>0</v>
      </c>
      <c r="AH1125">
        <v>1</v>
      </c>
      <c r="AI1125">
        <v>0</v>
      </c>
      <c r="AJ1125">
        <v>1</v>
      </c>
      <c r="AK1125">
        <v>560</v>
      </c>
      <c r="AL1125">
        <v>6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6.3480000000000008</v>
      </c>
      <c r="AX1125">
        <v>5</v>
      </c>
      <c r="AY1125">
        <v>804.37700000000007</v>
      </c>
      <c r="BA1125">
        <v>1090.98</v>
      </c>
      <c r="BB1125">
        <v>1147.24</v>
      </c>
      <c r="BC1125">
        <v>12.0158</v>
      </c>
      <c r="BF1125" t="s">
        <v>108</v>
      </c>
    </row>
    <row r="1126" spans="1:58" x14ac:dyDescent="0.45">
      <c r="A1126">
        <v>11125</v>
      </c>
      <c r="B1126">
        <v>1</v>
      </c>
      <c r="C1126">
        <v>86.63</v>
      </c>
      <c r="D1126">
        <v>5</v>
      </c>
      <c r="E1126">
        <v>0</v>
      </c>
      <c r="F1126">
        <v>0</v>
      </c>
      <c r="G1126">
        <v>0</v>
      </c>
      <c r="H1126">
        <v>1.62</v>
      </c>
      <c r="I1126">
        <v>0</v>
      </c>
      <c r="J1126">
        <v>0</v>
      </c>
      <c r="K1126">
        <v>0</v>
      </c>
      <c r="L1126">
        <v>6.65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950</v>
      </c>
      <c r="Z1126">
        <v>0</v>
      </c>
      <c r="AA1126">
        <v>0</v>
      </c>
      <c r="AB1126">
        <v>1</v>
      </c>
      <c r="AC1126">
        <v>0</v>
      </c>
      <c r="AD1126">
        <v>1</v>
      </c>
      <c r="AE1126">
        <v>780</v>
      </c>
      <c r="AF1126">
        <v>1</v>
      </c>
      <c r="AG1126">
        <v>0</v>
      </c>
      <c r="AH1126">
        <v>1</v>
      </c>
      <c r="AI1126">
        <v>0</v>
      </c>
      <c r="AJ1126">
        <v>1</v>
      </c>
      <c r="AK1126">
        <v>560</v>
      </c>
      <c r="AL1126">
        <v>6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6.3480000000000008</v>
      </c>
      <c r="AX1126">
        <v>5</v>
      </c>
      <c r="AY1126">
        <v>804.37700000000007</v>
      </c>
      <c r="BA1126">
        <v>1126.51</v>
      </c>
      <c r="BB1126">
        <v>1186.3699999999999</v>
      </c>
      <c r="BC1126">
        <v>12.077500000000001</v>
      </c>
      <c r="BF1126" t="s">
        <v>108</v>
      </c>
    </row>
    <row r="1127" spans="1:58" x14ac:dyDescent="0.45">
      <c r="A1127">
        <v>11126</v>
      </c>
      <c r="B1127">
        <v>0</v>
      </c>
      <c r="C1127">
        <v>93.388000000000005</v>
      </c>
      <c r="D1127">
        <v>2.61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3.07</v>
      </c>
      <c r="K1127">
        <v>0.02</v>
      </c>
      <c r="L1127">
        <v>0.86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950</v>
      </c>
      <c r="AF1127">
        <v>1</v>
      </c>
      <c r="AJ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-1.7443999999999997</v>
      </c>
      <c r="AX1127">
        <v>3.1216666666666666</v>
      </c>
      <c r="AY1127">
        <v>858.12800000000004</v>
      </c>
      <c r="BE1127" t="s">
        <v>322</v>
      </c>
      <c r="BF1127" t="s">
        <v>188</v>
      </c>
    </row>
    <row r="1128" spans="1:58" x14ac:dyDescent="0.45">
      <c r="A1128">
        <v>11127</v>
      </c>
      <c r="B1128">
        <v>0</v>
      </c>
      <c r="C1128">
        <v>93.388000000000005</v>
      </c>
      <c r="D1128">
        <v>2.61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3.07</v>
      </c>
      <c r="K1128">
        <v>0.02</v>
      </c>
      <c r="L1128">
        <v>0.86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Z1128">
        <v>0</v>
      </c>
      <c r="AA1128">
        <v>0</v>
      </c>
      <c r="AB1128">
        <v>1</v>
      </c>
      <c r="AC1128">
        <v>0</v>
      </c>
      <c r="AD1128">
        <v>1</v>
      </c>
      <c r="AE1128">
        <v>950</v>
      </c>
      <c r="AF1128">
        <v>1</v>
      </c>
      <c r="AJ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-1.7443999999999997</v>
      </c>
      <c r="AX1128">
        <v>3.1216666666666666</v>
      </c>
      <c r="AY1128">
        <v>858.12800000000004</v>
      </c>
      <c r="BE1128" t="s">
        <v>323</v>
      </c>
      <c r="BF1128" t="s">
        <v>188</v>
      </c>
    </row>
    <row r="1129" spans="1:58" x14ac:dyDescent="0.45">
      <c r="A1129">
        <v>11128</v>
      </c>
      <c r="B1129">
        <v>0</v>
      </c>
      <c r="C1129">
        <v>93.388000000000005</v>
      </c>
      <c r="D1129">
        <v>2.61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3.07</v>
      </c>
      <c r="K1129">
        <v>0.02</v>
      </c>
      <c r="L1129">
        <v>0.86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Z1129">
        <v>0</v>
      </c>
      <c r="AA1129">
        <v>0</v>
      </c>
      <c r="AB1129">
        <v>1</v>
      </c>
      <c r="AC1129">
        <v>0</v>
      </c>
      <c r="AD1129">
        <v>1</v>
      </c>
      <c r="AE1129">
        <v>950</v>
      </c>
      <c r="AF1129">
        <v>1</v>
      </c>
      <c r="AJ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-1.7443999999999997</v>
      </c>
      <c r="AX1129">
        <v>3.1216666666666666</v>
      </c>
      <c r="AY1129">
        <v>858.12800000000004</v>
      </c>
      <c r="BE1129" t="s">
        <v>324</v>
      </c>
      <c r="BF1129" t="s">
        <v>188</v>
      </c>
    </row>
    <row r="1130" spans="1:58" x14ac:dyDescent="0.45">
      <c r="A1130">
        <v>11129</v>
      </c>
      <c r="B1130">
        <v>0</v>
      </c>
      <c r="C1130">
        <v>93.388000000000005</v>
      </c>
      <c r="D1130">
        <v>2.61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3.07</v>
      </c>
      <c r="K1130">
        <v>0.02</v>
      </c>
      <c r="L1130">
        <v>0.86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Z1130">
        <v>0</v>
      </c>
      <c r="AA1130">
        <v>0</v>
      </c>
      <c r="AB1130">
        <v>1</v>
      </c>
      <c r="AC1130">
        <v>0</v>
      </c>
      <c r="AD1130">
        <v>1</v>
      </c>
      <c r="AE1130">
        <v>950</v>
      </c>
      <c r="AF1130">
        <v>1</v>
      </c>
      <c r="AJ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-1.7443999999999997</v>
      </c>
      <c r="AX1130">
        <v>3.1216666666666666</v>
      </c>
      <c r="AY1130">
        <v>858.12800000000004</v>
      </c>
      <c r="BE1130" t="s">
        <v>325</v>
      </c>
      <c r="BF1130" t="s">
        <v>188</v>
      </c>
    </row>
    <row r="1131" spans="1:58" x14ac:dyDescent="0.45">
      <c r="A1131">
        <v>11130</v>
      </c>
      <c r="B1131">
        <v>0</v>
      </c>
      <c r="C1131">
        <v>93.388000000000005</v>
      </c>
      <c r="D1131">
        <v>2.61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3.07</v>
      </c>
      <c r="K1131">
        <v>0.02</v>
      </c>
      <c r="L1131">
        <v>0.86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Z1131">
        <v>0</v>
      </c>
      <c r="AA1131">
        <v>0</v>
      </c>
      <c r="AB1131">
        <v>1</v>
      </c>
      <c r="AC1131">
        <v>0</v>
      </c>
      <c r="AD1131">
        <v>1</v>
      </c>
      <c r="AE1131">
        <v>950</v>
      </c>
      <c r="AF1131">
        <v>1</v>
      </c>
      <c r="AJ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-1.7443999999999997</v>
      </c>
      <c r="AX1131">
        <v>3.1216666666666666</v>
      </c>
      <c r="AY1131">
        <v>858.12800000000004</v>
      </c>
      <c r="BE1131" t="s">
        <v>326</v>
      </c>
      <c r="BF1131" t="s">
        <v>188</v>
      </c>
    </row>
    <row r="1132" spans="1:58" x14ac:dyDescent="0.45">
      <c r="A1132">
        <v>11131</v>
      </c>
      <c r="B1132">
        <v>1</v>
      </c>
      <c r="C1132">
        <v>87.93</v>
      </c>
      <c r="D1132">
        <v>6.13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1.95</v>
      </c>
      <c r="K1132">
        <v>3.02</v>
      </c>
      <c r="L1132">
        <v>0.97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940</v>
      </c>
      <c r="Y1132">
        <v>80</v>
      </c>
      <c r="Z1132">
        <v>0</v>
      </c>
      <c r="AA1132">
        <v>0</v>
      </c>
      <c r="AB1132">
        <v>1</v>
      </c>
      <c r="AC1132">
        <v>0</v>
      </c>
      <c r="AD1132">
        <v>1</v>
      </c>
      <c r="AE1132">
        <v>900</v>
      </c>
      <c r="AF1132">
        <v>1.5</v>
      </c>
      <c r="AG1132">
        <v>0</v>
      </c>
      <c r="AH1132">
        <v>1</v>
      </c>
      <c r="AI1132">
        <v>0</v>
      </c>
      <c r="AJ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-4.3144</v>
      </c>
      <c r="AX1132">
        <v>6.4550000000000001</v>
      </c>
      <c r="AY1132">
        <v>872.20299999999997</v>
      </c>
      <c r="BA1132">
        <v>782.3</v>
      </c>
      <c r="BB1132">
        <v>931.90700000000004</v>
      </c>
      <c r="BC1132">
        <v>14.5983</v>
      </c>
      <c r="BE1132" t="s">
        <v>327</v>
      </c>
      <c r="BF1132" t="s">
        <v>108</v>
      </c>
    </row>
    <row r="1133" spans="1:58" x14ac:dyDescent="0.45">
      <c r="A1133">
        <v>11132</v>
      </c>
      <c r="B1133">
        <v>1</v>
      </c>
      <c r="C1133">
        <v>87.93</v>
      </c>
      <c r="D1133">
        <v>6.13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1.95</v>
      </c>
      <c r="K1133">
        <v>3.02</v>
      </c>
      <c r="L1133">
        <v>0.97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940</v>
      </c>
      <c r="Y1133">
        <v>70</v>
      </c>
      <c r="Z1133">
        <v>0</v>
      </c>
      <c r="AA1133">
        <v>0</v>
      </c>
      <c r="AB1133">
        <v>1</v>
      </c>
      <c r="AC1133">
        <v>0</v>
      </c>
      <c r="AD1133">
        <v>1</v>
      </c>
      <c r="AE1133">
        <v>900</v>
      </c>
      <c r="AF1133">
        <v>1.5</v>
      </c>
      <c r="AG1133">
        <v>0</v>
      </c>
      <c r="AH1133">
        <v>1</v>
      </c>
      <c r="AI1133">
        <v>0</v>
      </c>
      <c r="AJ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-4.3144</v>
      </c>
      <c r="AX1133">
        <v>6.4550000000000001</v>
      </c>
      <c r="AY1133">
        <v>872.20299999999997</v>
      </c>
      <c r="BA1133">
        <v>783.63800000000003</v>
      </c>
      <c r="BB1133">
        <v>901.572</v>
      </c>
      <c r="BC1133">
        <v>18.001799999999999</v>
      </c>
      <c r="BE1133" t="s">
        <v>328</v>
      </c>
      <c r="BF1133" t="s">
        <v>108</v>
      </c>
    </row>
    <row r="1134" spans="1:58" x14ac:dyDescent="0.45">
      <c r="A1134">
        <v>11133</v>
      </c>
      <c r="B1134">
        <v>1</v>
      </c>
      <c r="C1134">
        <v>87.93</v>
      </c>
      <c r="D1134">
        <v>6.13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1.95</v>
      </c>
      <c r="K1134">
        <v>3.02</v>
      </c>
      <c r="L1134">
        <v>0.97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940</v>
      </c>
      <c r="Y1134">
        <v>70</v>
      </c>
      <c r="Z1134">
        <v>0</v>
      </c>
      <c r="AA1134">
        <v>0</v>
      </c>
      <c r="AB1134">
        <v>1</v>
      </c>
      <c r="AC1134">
        <v>0</v>
      </c>
      <c r="AD1134">
        <v>1</v>
      </c>
      <c r="AE1134">
        <v>800</v>
      </c>
      <c r="AF1134">
        <v>1.5</v>
      </c>
      <c r="AG1134">
        <v>0</v>
      </c>
      <c r="AH1134">
        <v>1</v>
      </c>
      <c r="AI1134">
        <v>0</v>
      </c>
      <c r="AJ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-4.3144</v>
      </c>
      <c r="AX1134">
        <v>6.4550000000000001</v>
      </c>
      <c r="AY1134">
        <v>872.20299999999997</v>
      </c>
      <c r="BA1134">
        <v>795.87599999999998</v>
      </c>
      <c r="BB1134">
        <v>919.58799999999997</v>
      </c>
      <c r="BC1134">
        <v>15.9739</v>
      </c>
      <c r="BE1134" t="s">
        <v>329</v>
      </c>
      <c r="BF1134" t="s">
        <v>108</v>
      </c>
    </row>
    <row r="1135" spans="1:58" x14ac:dyDescent="0.45">
      <c r="A1135">
        <v>11134</v>
      </c>
      <c r="B1135">
        <v>1</v>
      </c>
      <c r="C1135">
        <v>87.93</v>
      </c>
      <c r="D1135">
        <v>6.13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1.95</v>
      </c>
      <c r="K1135">
        <v>3.02</v>
      </c>
      <c r="L1135">
        <v>0.97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940</v>
      </c>
      <c r="Y1135">
        <v>70</v>
      </c>
      <c r="Z1135">
        <v>0</v>
      </c>
      <c r="AA1135">
        <v>0</v>
      </c>
      <c r="AB1135">
        <v>1</v>
      </c>
      <c r="AC1135">
        <v>0</v>
      </c>
      <c r="AD1135">
        <v>1</v>
      </c>
      <c r="AE1135">
        <v>960</v>
      </c>
      <c r="AF1135">
        <v>1.5</v>
      </c>
      <c r="AG1135">
        <v>0</v>
      </c>
      <c r="AH1135">
        <v>1</v>
      </c>
      <c r="AI1135">
        <v>0</v>
      </c>
      <c r="AJ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-4.3144</v>
      </c>
      <c r="AX1135">
        <v>6.4550000000000001</v>
      </c>
      <c r="AY1135">
        <v>872.20299999999997</v>
      </c>
      <c r="BA1135">
        <v>744.33</v>
      </c>
      <c r="BB1135">
        <v>880.41200000000003</v>
      </c>
      <c r="BC1135">
        <v>17.083200000000001</v>
      </c>
      <c r="BE1135" t="s">
        <v>330</v>
      </c>
      <c r="BF1135" t="s">
        <v>108</v>
      </c>
    </row>
    <row r="1136" spans="1:58" x14ac:dyDescent="0.45">
      <c r="A1136">
        <v>11135</v>
      </c>
      <c r="B1136">
        <v>1</v>
      </c>
      <c r="C1136">
        <v>87.93</v>
      </c>
      <c r="D1136">
        <v>6.13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1.95</v>
      </c>
      <c r="K1136">
        <v>3.02</v>
      </c>
      <c r="L1136">
        <v>0.97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940</v>
      </c>
      <c r="Y1136">
        <v>70</v>
      </c>
      <c r="Z1136">
        <v>0</v>
      </c>
      <c r="AA1136">
        <v>0</v>
      </c>
      <c r="AB1136">
        <v>1</v>
      </c>
      <c r="AC1136">
        <v>0</v>
      </c>
      <c r="AD1136">
        <v>1</v>
      </c>
      <c r="AE1136">
        <v>1020</v>
      </c>
      <c r="AF1136">
        <v>1.5</v>
      </c>
      <c r="AG1136">
        <v>0</v>
      </c>
      <c r="AH1136">
        <v>1</v>
      </c>
      <c r="AI1136">
        <v>0</v>
      </c>
      <c r="AJ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-4.3144</v>
      </c>
      <c r="AX1136">
        <v>6.4550000000000001</v>
      </c>
      <c r="AY1136">
        <v>872.20299999999997</v>
      </c>
      <c r="BA1136">
        <v>777.32</v>
      </c>
      <c r="BB1136">
        <v>880.41200000000003</v>
      </c>
      <c r="BC1136">
        <v>10.9894</v>
      </c>
      <c r="BE1136" t="s">
        <v>331</v>
      </c>
      <c r="BF1136" t="s">
        <v>108</v>
      </c>
    </row>
    <row r="1137" spans="1:58" x14ac:dyDescent="0.45">
      <c r="A1137">
        <v>11136</v>
      </c>
      <c r="B1137">
        <v>1</v>
      </c>
      <c r="C1137">
        <v>87.93</v>
      </c>
      <c r="D1137">
        <v>6.13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1.95</v>
      </c>
      <c r="K1137">
        <v>3.02</v>
      </c>
      <c r="L1137">
        <v>0.97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940</v>
      </c>
      <c r="Y1137">
        <v>70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970</v>
      </c>
      <c r="AF1137">
        <v>1.5</v>
      </c>
      <c r="AG1137">
        <v>0</v>
      </c>
      <c r="AH1137">
        <v>1</v>
      </c>
      <c r="AI1137">
        <v>0</v>
      </c>
      <c r="AJ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-4.3144</v>
      </c>
      <c r="AX1137">
        <v>6.4550000000000001</v>
      </c>
      <c r="AY1137">
        <v>872.20299999999997</v>
      </c>
      <c r="BA1137">
        <v>793.81399999999996</v>
      </c>
      <c r="BB1137">
        <v>903.09299999999996</v>
      </c>
      <c r="BC1137">
        <v>18.148900000000001</v>
      </c>
      <c r="BE1137" t="s">
        <v>332</v>
      </c>
      <c r="BF1137" t="s">
        <v>108</v>
      </c>
    </row>
    <row r="1138" spans="1:58" x14ac:dyDescent="0.45">
      <c r="A1138">
        <v>11137</v>
      </c>
      <c r="B1138">
        <v>1</v>
      </c>
      <c r="C1138">
        <v>87.93</v>
      </c>
      <c r="D1138">
        <v>6.13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1.95</v>
      </c>
      <c r="K1138">
        <v>3.02</v>
      </c>
      <c r="L1138">
        <v>0.97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940</v>
      </c>
      <c r="Y1138">
        <v>70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970</v>
      </c>
      <c r="AF1138">
        <v>1.5</v>
      </c>
      <c r="AG1138">
        <v>1</v>
      </c>
      <c r="AH1138">
        <v>0</v>
      </c>
      <c r="AI1138">
        <v>0</v>
      </c>
      <c r="AJ1138">
        <v>1</v>
      </c>
      <c r="AK1138">
        <v>600</v>
      </c>
      <c r="AL1138">
        <v>4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-4.3144</v>
      </c>
      <c r="AX1138">
        <v>6.4550000000000001</v>
      </c>
      <c r="AY1138">
        <v>872.20299999999997</v>
      </c>
      <c r="BA1138">
        <v>859.79399999999998</v>
      </c>
      <c r="BB1138">
        <v>983.505</v>
      </c>
      <c r="BC1138">
        <v>16.833200000000001</v>
      </c>
      <c r="BE1138" t="s">
        <v>333</v>
      </c>
      <c r="BF1138" t="s">
        <v>108</v>
      </c>
    </row>
    <row r="1139" spans="1:58" x14ac:dyDescent="0.45">
      <c r="A1139">
        <v>11138</v>
      </c>
      <c r="B1139">
        <v>1</v>
      </c>
      <c r="C1139">
        <v>87.93</v>
      </c>
      <c r="D1139">
        <v>6.13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1.95</v>
      </c>
      <c r="K1139">
        <v>3.02</v>
      </c>
      <c r="L1139">
        <v>0.97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940</v>
      </c>
      <c r="Y1139">
        <v>60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900</v>
      </c>
      <c r="AF1139">
        <v>1.5</v>
      </c>
      <c r="AG1139">
        <v>0</v>
      </c>
      <c r="AH1139">
        <v>1</v>
      </c>
      <c r="AI1139">
        <v>0</v>
      </c>
      <c r="AJ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-4.3144</v>
      </c>
      <c r="AX1139">
        <v>6.4550000000000001</v>
      </c>
      <c r="AY1139">
        <v>872.20299999999997</v>
      </c>
      <c r="BA1139">
        <v>777.18299999999999</v>
      </c>
      <c r="BB1139">
        <v>899.50099999999998</v>
      </c>
      <c r="BC1139">
        <v>17.545300000000001</v>
      </c>
      <c r="BE1139" t="s">
        <v>334</v>
      </c>
      <c r="BF1139" t="s">
        <v>108</v>
      </c>
    </row>
    <row r="1140" spans="1:58" x14ac:dyDescent="0.45">
      <c r="A1140">
        <v>11139</v>
      </c>
      <c r="B1140">
        <v>1</v>
      </c>
      <c r="C1140">
        <v>87.93</v>
      </c>
      <c r="D1140">
        <v>6.13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1.95</v>
      </c>
      <c r="K1140">
        <v>3.02</v>
      </c>
      <c r="L1140">
        <v>0.97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940</v>
      </c>
      <c r="Y1140">
        <v>50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900</v>
      </c>
      <c r="AF1140">
        <v>1.5</v>
      </c>
      <c r="AG1140">
        <v>0</v>
      </c>
      <c r="AH1140">
        <v>1</v>
      </c>
      <c r="AI1140">
        <v>0</v>
      </c>
      <c r="AJ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-4.3144</v>
      </c>
      <c r="AX1140">
        <v>6.4550000000000001</v>
      </c>
      <c r="AY1140">
        <v>872.20299999999997</v>
      </c>
      <c r="BA1140">
        <v>770.72400000000005</v>
      </c>
      <c r="BB1140">
        <v>887.19500000000005</v>
      </c>
      <c r="BC1140">
        <v>16.174199999999999</v>
      </c>
      <c r="BF1140" t="s">
        <v>108</v>
      </c>
    </row>
    <row r="1141" spans="1:58" x14ac:dyDescent="0.45">
      <c r="A1141">
        <v>11140</v>
      </c>
      <c r="B1141">
        <v>1</v>
      </c>
      <c r="C1141">
        <v>86.2</v>
      </c>
      <c r="D1141">
        <v>6</v>
      </c>
      <c r="E1141">
        <v>0.5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Z1141">
        <v>0</v>
      </c>
      <c r="AA1141">
        <v>0</v>
      </c>
      <c r="AB1141">
        <v>1</v>
      </c>
      <c r="AC1141">
        <v>0</v>
      </c>
      <c r="AD1141">
        <v>1</v>
      </c>
      <c r="AE1141">
        <v>990</v>
      </c>
      <c r="AF1141">
        <v>1</v>
      </c>
      <c r="AG1141">
        <v>0</v>
      </c>
      <c r="AH1141">
        <v>0</v>
      </c>
      <c r="AI1141">
        <v>1</v>
      </c>
      <c r="AJ1141">
        <v>1</v>
      </c>
      <c r="AK1141">
        <v>700</v>
      </c>
      <c r="AL1141">
        <v>2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-0.66500000000000004</v>
      </c>
      <c r="AX1141">
        <v>6.666666666666667</v>
      </c>
      <c r="AY1141">
        <v>849.6</v>
      </c>
      <c r="BA1141">
        <v>927</v>
      </c>
      <c r="BB1141">
        <v>1125</v>
      </c>
      <c r="BC1141">
        <v>12.5</v>
      </c>
      <c r="BF1141" t="s">
        <v>189</v>
      </c>
    </row>
    <row r="1142" spans="1:58" x14ac:dyDescent="0.45">
      <c r="A1142">
        <v>11141</v>
      </c>
      <c r="B1142">
        <v>1</v>
      </c>
      <c r="C1142">
        <v>86.2</v>
      </c>
      <c r="D1142">
        <v>6</v>
      </c>
      <c r="E1142">
        <v>0.5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Z1142">
        <v>0</v>
      </c>
      <c r="AA1142">
        <v>0</v>
      </c>
      <c r="AB1142">
        <v>1</v>
      </c>
      <c r="AC1142">
        <v>0</v>
      </c>
      <c r="AD1142">
        <v>1</v>
      </c>
      <c r="AE1142">
        <v>600</v>
      </c>
      <c r="AF1142">
        <v>2</v>
      </c>
      <c r="AG1142">
        <v>0</v>
      </c>
      <c r="AH1142">
        <v>1</v>
      </c>
      <c r="AI1142">
        <v>0</v>
      </c>
      <c r="AJ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-0.66500000000000004</v>
      </c>
      <c r="AX1142">
        <v>6.666666666666667</v>
      </c>
      <c r="AY1142">
        <v>849.6</v>
      </c>
      <c r="BA1142">
        <v>1060</v>
      </c>
      <c r="BB1142">
        <v>1231</v>
      </c>
      <c r="BC1142">
        <v>19.3</v>
      </c>
      <c r="BF1142" t="s">
        <v>189</v>
      </c>
    </row>
    <row r="1143" spans="1:58" x14ac:dyDescent="0.45">
      <c r="A1143">
        <v>11142</v>
      </c>
      <c r="B1143">
        <v>1</v>
      </c>
      <c r="C1143">
        <v>86.2</v>
      </c>
      <c r="D1143">
        <v>6</v>
      </c>
      <c r="E1143">
        <v>0.5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Z1143">
        <v>0</v>
      </c>
      <c r="AA1143">
        <v>0</v>
      </c>
      <c r="AB1143">
        <v>1</v>
      </c>
      <c r="AC1143">
        <v>0</v>
      </c>
      <c r="AD1143">
        <v>1</v>
      </c>
      <c r="AE1143">
        <v>955</v>
      </c>
      <c r="AF1143">
        <v>1</v>
      </c>
      <c r="AG1143">
        <v>1</v>
      </c>
      <c r="AH1143">
        <v>0</v>
      </c>
      <c r="AI1143">
        <v>0</v>
      </c>
      <c r="AJ1143">
        <v>1</v>
      </c>
      <c r="AK1143">
        <v>910</v>
      </c>
      <c r="AL1143">
        <v>1</v>
      </c>
      <c r="AM1143">
        <v>0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-0.66500000000000004</v>
      </c>
      <c r="AX1143">
        <v>6.666666666666667</v>
      </c>
      <c r="AY1143">
        <v>849.6</v>
      </c>
      <c r="BA1143">
        <v>1055</v>
      </c>
      <c r="BB1143">
        <v>1197</v>
      </c>
      <c r="BC1143">
        <v>14.9</v>
      </c>
      <c r="BF1143" t="s">
        <v>189</v>
      </c>
    </row>
    <row r="1144" spans="1:58" x14ac:dyDescent="0.45">
      <c r="A1144">
        <v>11143</v>
      </c>
      <c r="B1144">
        <v>0</v>
      </c>
      <c r="C1144">
        <v>86.7</v>
      </c>
      <c r="D1144">
        <v>4.8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4.2</v>
      </c>
      <c r="K1144">
        <v>0</v>
      </c>
      <c r="L1144">
        <v>2</v>
      </c>
      <c r="M1144">
        <v>2.2999999999999998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Y1144">
        <v>50</v>
      </c>
      <c r="Z1144">
        <v>0</v>
      </c>
      <c r="AA1144">
        <v>0</v>
      </c>
      <c r="AB1144">
        <v>1</v>
      </c>
      <c r="AC1144">
        <v>0</v>
      </c>
      <c r="AD1144">
        <v>1</v>
      </c>
      <c r="AE1144">
        <v>950</v>
      </c>
      <c r="AF1144">
        <v>1</v>
      </c>
      <c r="AG1144">
        <v>0</v>
      </c>
      <c r="AH1144">
        <v>1</v>
      </c>
      <c r="AI1144">
        <v>0</v>
      </c>
      <c r="AJ1144">
        <v>1</v>
      </c>
      <c r="AK1144">
        <v>590</v>
      </c>
      <c r="AL1144">
        <v>8</v>
      </c>
      <c r="AM1144">
        <v>0</v>
      </c>
      <c r="AN1144">
        <v>1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-2.8</v>
      </c>
      <c r="AX1144">
        <v>6.2666666666666666</v>
      </c>
      <c r="AY1144">
        <v>853.76</v>
      </c>
      <c r="BF1144" t="s">
        <v>190</v>
      </c>
    </row>
    <row r="1145" spans="1:58" x14ac:dyDescent="0.45">
      <c r="A1145">
        <v>11144</v>
      </c>
      <c r="B1145">
        <v>0</v>
      </c>
      <c r="C1145">
        <v>85.8</v>
      </c>
      <c r="D1145">
        <v>4.8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4.0999999999999996</v>
      </c>
      <c r="K1145">
        <v>0</v>
      </c>
      <c r="L1145">
        <v>2</v>
      </c>
      <c r="M1145">
        <v>2.2000000000000002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Y1145">
        <v>50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950</v>
      </c>
      <c r="AF1145">
        <v>1</v>
      </c>
      <c r="AG1145">
        <v>0</v>
      </c>
      <c r="AH1145">
        <v>1</v>
      </c>
      <c r="AI1145">
        <v>0</v>
      </c>
      <c r="AJ1145">
        <v>1</v>
      </c>
      <c r="AK1145">
        <v>590</v>
      </c>
      <c r="AL1145">
        <v>8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-2.8</v>
      </c>
      <c r="AX1145">
        <v>6.2166666666666668</v>
      </c>
      <c r="AY1145">
        <v>854.03000000000009</v>
      </c>
      <c r="BF1145" t="s">
        <v>190</v>
      </c>
    </row>
    <row r="1146" spans="1:58" x14ac:dyDescent="0.45">
      <c r="A1146">
        <v>11145</v>
      </c>
      <c r="B1146">
        <v>0</v>
      </c>
      <c r="C1146">
        <v>82.4</v>
      </c>
      <c r="D1146">
        <v>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4</v>
      </c>
      <c r="K1146">
        <v>0</v>
      </c>
      <c r="L1146">
        <v>2.1</v>
      </c>
      <c r="M1146">
        <v>2.4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Y1146">
        <v>50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950</v>
      </c>
      <c r="AF1146">
        <v>1</v>
      </c>
      <c r="AG1146">
        <v>0</v>
      </c>
      <c r="AH1146">
        <v>1</v>
      </c>
      <c r="AI1146">
        <v>0</v>
      </c>
      <c r="AJ1146">
        <v>1</v>
      </c>
      <c r="AK1146">
        <v>590</v>
      </c>
      <c r="AL1146">
        <v>8</v>
      </c>
      <c r="AM1146">
        <v>0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-2.9</v>
      </c>
      <c r="AX1146">
        <v>6.4666666666666668</v>
      </c>
      <c r="AY1146">
        <v>855.03</v>
      </c>
      <c r="BF1146" t="s">
        <v>190</v>
      </c>
    </row>
    <row r="1147" spans="1:58" x14ac:dyDescent="0.45">
      <c r="A1147">
        <v>11146</v>
      </c>
      <c r="B1147">
        <v>1</v>
      </c>
      <c r="C1147">
        <v>89.034999999999997</v>
      </c>
      <c r="D1147">
        <v>6.2</v>
      </c>
      <c r="E1147">
        <v>4.3</v>
      </c>
      <c r="F1147">
        <v>0</v>
      </c>
      <c r="G1147">
        <v>0</v>
      </c>
      <c r="H1147">
        <v>0.16</v>
      </c>
      <c r="I1147">
        <v>0</v>
      </c>
      <c r="J1147">
        <v>0.02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Z1147">
        <v>0</v>
      </c>
      <c r="AA1147">
        <v>0</v>
      </c>
      <c r="AB1147">
        <v>1</v>
      </c>
      <c r="AC1147">
        <v>0</v>
      </c>
      <c r="AD1147">
        <v>0</v>
      </c>
      <c r="AJ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-2.855</v>
      </c>
      <c r="AX1147">
        <v>6.2033333333333331</v>
      </c>
      <c r="AY1147">
        <v>841.67799999999988</v>
      </c>
      <c r="BA1147">
        <v>1180</v>
      </c>
      <c r="BB1147">
        <v>1220</v>
      </c>
      <c r="BC1147">
        <v>16</v>
      </c>
      <c r="BF1147" t="s">
        <v>193</v>
      </c>
    </row>
    <row r="1148" spans="1:58" x14ac:dyDescent="0.45">
      <c r="A1148">
        <v>11147</v>
      </c>
      <c r="B1148">
        <v>1</v>
      </c>
      <c r="C1148">
        <v>84.62</v>
      </c>
      <c r="D1148">
        <v>5.21</v>
      </c>
      <c r="E1148">
        <v>0</v>
      </c>
      <c r="F1148">
        <v>4.05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4.0599999999999996</v>
      </c>
      <c r="M1148">
        <v>2.06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883</v>
      </c>
      <c r="Y1148">
        <v>30</v>
      </c>
      <c r="Z1148">
        <v>0</v>
      </c>
      <c r="AA1148">
        <v>0</v>
      </c>
      <c r="AB1148">
        <v>1</v>
      </c>
      <c r="AC1148">
        <v>0</v>
      </c>
      <c r="AD1148">
        <v>1</v>
      </c>
      <c r="AE1148">
        <v>800</v>
      </c>
      <c r="AF1148">
        <v>4</v>
      </c>
      <c r="AG1148">
        <v>1</v>
      </c>
      <c r="AH1148">
        <v>0</v>
      </c>
      <c r="AI1148">
        <v>0</v>
      </c>
      <c r="AJ1148">
        <v>1</v>
      </c>
      <c r="AK1148">
        <v>640</v>
      </c>
      <c r="AL1148">
        <v>8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5.3299999999999992</v>
      </c>
      <c r="AX1148">
        <v>5.8966666666666665</v>
      </c>
      <c r="AY1148">
        <v>814.01800000000014</v>
      </c>
      <c r="BA1148">
        <v>1230.5</v>
      </c>
      <c r="BB1148">
        <v>1265</v>
      </c>
      <c r="BC1148">
        <v>9.5</v>
      </c>
      <c r="BF1148" t="s">
        <v>108</v>
      </c>
    </row>
    <row r="1149" spans="1:58" x14ac:dyDescent="0.45">
      <c r="A1149">
        <v>11148</v>
      </c>
      <c r="B1149">
        <v>1</v>
      </c>
      <c r="C1149">
        <v>84.62</v>
      </c>
      <c r="D1149">
        <v>5.21</v>
      </c>
      <c r="E1149">
        <v>0</v>
      </c>
      <c r="F1149">
        <v>4.05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4.0599999999999996</v>
      </c>
      <c r="M1149">
        <v>2.06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883</v>
      </c>
      <c r="Y1149">
        <v>30</v>
      </c>
      <c r="Z1149">
        <v>0</v>
      </c>
      <c r="AA1149">
        <v>0</v>
      </c>
      <c r="AB1149">
        <v>1</v>
      </c>
      <c r="AC1149">
        <v>0</v>
      </c>
      <c r="AD1149">
        <v>1</v>
      </c>
      <c r="AE1149">
        <v>800</v>
      </c>
      <c r="AF1149">
        <v>4</v>
      </c>
      <c r="AG1149">
        <v>1</v>
      </c>
      <c r="AH1149">
        <v>0</v>
      </c>
      <c r="AI1149">
        <v>0</v>
      </c>
      <c r="AJ1149">
        <v>1</v>
      </c>
      <c r="AK1149">
        <v>640</v>
      </c>
      <c r="AL1149">
        <v>8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5.3299999999999992</v>
      </c>
      <c r="AX1149">
        <v>5.8966666666666665</v>
      </c>
      <c r="AY1149">
        <v>814.01800000000014</v>
      </c>
      <c r="BA1149">
        <v>1250</v>
      </c>
      <c r="BB1149">
        <v>1287.5</v>
      </c>
      <c r="BC1149">
        <v>9.25</v>
      </c>
      <c r="BF1149" t="s">
        <v>108</v>
      </c>
    </row>
    <row r="1150" spans="1:58" x14ac:dyDescent="0.45">
      <c r="A1150">
        <v>11149</v>
      </c>
      <c r="B1150">
        <v>1</v>
      </c>
      <c r="C1150">
        <v>82.67</v>
      </c>
      <c r="D1150">
        <v>5.47</v>
      </c>
      <c r="E1150">
        <v>4.8099999999999996</v>
      </c>
      <c r="F1150">
        <v>1.03</v>
      </c>
      <c r="G1150">
        <v>0</v>
      </c>
      <c r="H1150">
        <v>1.5</v>
      </c>
      <c r="I1150">
        <v>0</v>
      </c>
      <c r="J1150">
        <v>0</v>
      </c>
      <c r="K1150">
        <v>0</v>
      </c>
      <c r="L1150">
        <v>4.5199999999999996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710</v>
      </c>
      <c r="AF1150">
        <v>2</v>
      </c>
      <c r="AG1150">
        <v>0</v>
      </c>
      <c r="AH1150">
        <v>1</v>
      </c>
      <c r="AI1150">
        <v>0</v>
      </c>
      <c r="AJ1150">
        <v>1</v>
      </c>
      <c r="AK1150">
        <v>500</v>
      </c>
      <c r="AL1150">
        <v>3</v>
      </c>
      <c r="AM1150">
        <v>0</v>
      </c>
      <c r="AN1150">
        <v>1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8.2706999999999979</v>
      </c>
      <c r="AX1150">
        <v>5.47</v>
      </c>
      <c r="AY1150">
        <v>758.226</v>
      </c>
      <c r="BB1150">
        <v>1219.1500000000001</v>
      </c>
      <c r="BC1150">
        <v>12.67</v>
      </c>
      <c r="BF1150" t="s">
        <v>194</v>
      </c>
    </row>
    <row r="1151" spans="1:58" x14ac:dyDescent="0.45">
      <c r="A1151">
        <v>11150</v>
      </c>
      <c r="B1151">
        <v>1</v>
      </c>
      <c r="C1151">
        <v>82.67</v>
      </c>
      <c r="D1151">
        <v>5.47</v>
      </c>
      <c r="E1151">
        <v>4.8099999999999996</v>
      </c>
      <c r="F1151">
        <v>1.03</v>
      </c>
      <c r="G1151">
        <v>0</v>
      </c>
      <c r="H1151">
        <v>1.5</v>
      </c>
      <c r="I1151">
        <v>0</v>
      </c>
      <c r="J1151">
        <v>0</v>
      </c>
      <c r="K1151">
        <v>0</v>
      </c>
      <c r="L1151">
        <v>4.5199999999999996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720</v>
      </c>
      <c r="AF1151">
        <v>2</v>
      </c>
      <c r="AG1151">
        <v>0</v>
      </c>
      <c r="AH1151">
        <v>1</v>
      </c>
      <c r="AI1151">
        <v>0</v>
      </c>
      <c r="AJ1151">
        <v>1</v>
      </c>
      <c r="AK1151">
        <v>500</v>
      </c>
      <c r="AL1151">
        <v>3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8.2706999999999979</v>
      </c>
      <c r="AX1151">
        <v>5.47</v>
      </c>
      <c r="AY1151">
        <v>758.226</v>
      </c>
      <c r="BB1151">
        <v>1234.01</v>
      </c>
      <c r="BC1151">
        <v>10.44</v>
      </c>
      <c r="BF1151" t="s">
        <v>194</v>
      </c>
    </row>
    <row r="1152" spans="1:58" x14ac:dyDescent="0.45">
      <c r="A1152">
        <v>11151</v>
      </c>
      <c r="B1152">
        <v>1</v>
      </c>
      <c r="C1152">
        <v>82.67</v>
      </c>
      <c r="D1152">
        <v>5.47</v>
      </c>
      <c r="E1152">
        <v>4.8099999999999996</v>
      </c>
      <c r="F1152">
        <v>1.03</v>
      </c>
      <c r="G1152">
        <v>0</v>
      </c>
      <c r="H1152">
        <v>1.5</v>
      </c>
      <c r="I1152">
        <v>0</v>
      </c>
      <c r="J1152">
        <v>0</v>
      </c>
      <c r="K1152">
        <v>0</v>
      </c>
      <c r="L1152">
        <v>4.5199999999999996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730</v>
      </c>
      <c r="AF1152">
        <v>2</v>
      </c>
      <c r="AG1152">
        <v>0</v>
      </c>
      <c r="AH1152">
        <v>1</v>
      </c>
      <c r="AI1152">
        <v>0</v>
      </c>
      <c r="AJ1152">
        <v>1</v>
      </c>
      <c r="AK1152">
        <v>500</v>
      </c>
      <c r="AL1152">
        <v>3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8.2706999999999979</v>
      </c>
      <c r="AX1152">
        <v>5.47</v>
      </c>
      <c r="AY1152">
        <v>758.226</v>
      </c>
      <c r="BB1152">
        <v>1241.76</v>
      </c>
      <c r="BC1152">
        <v>9.75</v>
      </c>
      <c r="BF1152" t="s">
        <v>194</v>
      </c>
    </row>
    <row r="1153" spans="1:58" x14ac:dyDescent="0.45">
      <c r="A1153">
        <v>11152</v>
      </c>
      <c r="B1153">
        <v>1</v>
      </c>
      <c r="C1153">
        <v>82.67</v>
      </c>
      <c r="D1153">
        <v>5.47</v>
      </c>
      <c r="E1153">
        <v>4.8099999999999996</v>
      </c>
      <c r="F1153">
        <v>1.03</v>
      </c>
      <c r="G1153">
        <v>0</v>
      </c>
      <c r="H1153">
        <v>1.5</v>
      </c>
      <c r="I1153">
        <v>0</v>
      </c>
      <c r="J1153">
        <v>0</v>
      </c>
      <c r="K1153">
        <v>0</v>
      </c>
      <c r="L1153">
        <v>4.5199999999999996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740</v>
      </c>
      <c r="AF1153">
        <v>2</v>
      </c>
      <c r="AG1153">
        <v>0</v>
      </c>
      <c r="AH1153">
        <v>1</v>
      </c>
      <c r="AI1153">
        <v>0</v>
      </c>
      <c r="AJ1153">
        <v>1</v>
      </c>
      <c r="AK1153">
        <v>500</v>
      </c>
      <c r="AL1153">
        <v>3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8.2706999999999979</v>
      </c>
      <c r="AX1153">
        <v>5.47</v>
      </c>
      <c r="AY1153">
        <v>758.226</v>
      </c>
      <c r="BB1153">
        <v>1276.29</v>
      </c>
      <c r="BC1153">
        <v>9</v>
      </c>
      <c r="BF1153" t="s">
        <v>194</v>
      </c>
    </row>
    <row r="1154" spans="1:58" x14ac:dyDescent="0.45">
      <c r="A1154">
        <v>11153</v>
      </c>
      <c r="B1154">
        <v>1</v>
      </c>
      <c r="C1154">
        <v>82.67</v>
      </c>
      <c r="D1154">
        <v>5.47</v>
      </c>
      <c r="E1154">
        <v>4.8099999999999996</v>
      </c>
      <c r="F1154">
        <v>1.03</v>
      </c>
      <c r="G1154">
        <v>0</v>
      </c>
      <c r="H1154">
        <v>1.5</v>
      </c>
      <c r="I1154">
        <v>0</v>
      </c>
      <c r="J1154">
        <v>0</v>
      </c>
      <c r="K1154">
        <v>0</v>
      </c>
      <c r="L1154">
        <v>4.5199999999999996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750</v>
      </c>
      <c r="AF1154">
        <v>2</v>
      </c>
      <c r="AG1154">
        <v>0</v>
      </c>
      <c r="AH1154">
        <v>1</v>
      </c>
      <c r="AI1154">
        <v>0</v>
      </c>
      <c r="AJ1154">
        <v>1</v>
      </c>
      <c r="AK1154">
        <v>500</v>
      </c>
      <c r="AL1154">
        <v>3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8.2706999999999979</v>
      </c>
      <c r="AX1154">
        <v>5.47</v>
      </c>
      <c r="AY1154">
        <v>758.226</v>
      </c>
      <c r="BB1154">
        <v>1309.5899999999999</v>
      </c>
      <c r="BC1154">
        <v>6.75</v>
      </c>
      <c r="BF1154" t="s">
        <v>194</v>
      </c>
    </row>
    <row r="1155" spans="1:58" x14ac:dyDescent="0.45">
      <c r="A1155">
        <v>11154</v>
      </c>
      <c r="B1155">
        <v>1</v>
      </c>
      <c r="C1155">
        <v>82.67</v>
      </c>
      <c r="D1155">
        <v>5.47</v>
      </c>
      <c r="E1155">
        <v>4.8099999999999996</v>
      </c>
      <c r="F1155">
        <v>1.03</v>
      </c>
      <c r="G1155">
        <v>0</v>
      </c>
      <c r="H1155">
        <v>1.5</v>
      </c>
      <c r="I1155">
        <v>0</v>
      </c>
      <c r="J1155">
        <v>0</v>
      </c>
      <c r="K1155">
        <v>0</v>
      </c>
      <c r="L1155">
        <v>4.5199999999999996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Z1155">
        <v>0</v>
      </c>
      <c r="AA1155">
        <v>0</v>
      </c>
      <c r="AB1155">
        <v>1</v>
      </c>
      <c r="AC1155">
        <v>0</v>
      </c>
      <c r="AD1155">
        <v>1</v>
      </c>
      <c r="AE1155">
        <v>760</v>
      </c>
      <c r="AF1155">
        <v>2</v>
      </c>
      <c r="AG1155">
        <v>0</v>
      </c>
      <c r="AH1155">
        <v>1</v>
      </c>
      <c r="AI1155">
        <v>0</v>
      </c>
      <c r="AJ1155">
        <v>1</v>
      </c>
      <c r="AK1155">
        <v>500</v>
      </c>
      <c r="AL1155">
        <v>3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8.2706999999999979</v>
      </c>
      <c r="AX1155">
        <v>5.47</v>
      </c>
      <c r="AY1155">
        <v>758.226</v>
      </c>
      <c r="BB1155">
        <v>1362.37</v>
      </c>
      <c r="BC1155">
        <v>4.97</v>
      </c>
      <c r="BF1155" t="s">
        <v>194</v>
      </c>
    </row>
    <row r="1156" spans="1:58" x14ac:dyDescent="0.45">
      <c r="A1156">
        <v>11155</v>
      </c>
      <c r="B1156">
        <v>1</v>
      </c>
      <c r="C1156">
        <v>82.67</v>
      </c>
      <c r="D1156">
        <v>5.47</v>
      </c>
      <c r="E1156">
        <v>4.8099999999999996</v>
      </c>
      <c r="F1156">
        <v>1.03</v>
      </c>
      <c r="G1156">
        <v>0</v>
      </c>
      <c r="H1156">
        <v>1.5</v>
      </c>
      <c r="I1156">
        <v>0</v>
      </c>
      <c r="J1156">
        <v>0</v>
      </c>
      <c r="K1156">
        <v>0</v>
      </c>
      <c r="L1156">
        <v>4.5199999999999996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Z1156">
        <v>0</v>
      </c>
      <c r="AA1156">
        <v>0</v>
      </c>
      <c r="AB1156">
        <v>1</v>
      </c>
      <c r="AC1156">
        <v>0</v>
      </c>
      <c r="AD1156">
        <v>1</v>
      </c>
      <c r="AE1156">
        <v>770</v>
      </c>
      <c r="AF1156">
        <v>2</v>
      </c>
      <c r="AG1156">
        <v>0</v>
      </c>
      <c r="AH1156">
        <v>1</v>
      </c>
      <c r="AI1156">
        <v>0</v>
      </c>
      <c r="AJ1156">
        <v>1</v>
      </c>
      <c r="AK1156">
        <v>500</v>
      </c>
      <c r="AL1156">
        <v>3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8.2706999999999979</v>
      </c>
      <c r="AX1156">
        <v>5.47</v>
      </c>
      <c r="AY1156">
        <v>758.226</v>
      </c>
      <c r="BB1156">
        <v>1415.95</v>
      </c>
      <c r="BC1156">
        <v>4.38</v>
      </c>
      <c r="BF1156" t="s">
        <v>194</v>
      </c>
    </row>
    <row r="1157" spans="1:58" x14ac:dyDescent="0.45">
      <c r="A1157">
        <v>11156</v>
      </c>
      <c r="B1157">
        <v>1</v>
      </c>
      <c r="C1157">
        <v>82.67</v>
      </c>
      <c r="D1157">
        <v>5.47</v>
      </c>
      <c r="E1157">
        <v>4.8099999999999996</v>
      </c>
      <c r="F1157">
        <v>1.03</v>
      </c>
      <c r="G1157">
        <v>0</v>
      </c>
      <c r="H1157">
        <v>1.5</v>
      </c>
      <c r="I1157">
        <v>0</v>
      </c>
      <c r="J1157">
        <v>0</v>
      </c>
      <c r="K1157">
        <v>0</v>
      </c>
      <c r="L1157">
        <v>4.5199999999999996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Z1157">
        <v>0</v>
      </c>
      <c r="AA1157">
        <v>0</v>
      </c>
      <c r="AB1157">
        <v>1</v>
      </c>
      <c r="AC1157">
        <v>0</v>
      </c>
      <c r="AD1157">
        <v>1</v>
      </c>
      <c r="AE1157">
        <v>780</v>
      </c>
      <c r="AF1157">
        <v>2</v>
      </c>
      <c r="AG1157">
        <v>0</v>
      </c>
      <c r="AH1157">
        <v>1</v>
      </c>
      <c r="AI1157">
        <v>0</v>
      </c>
      <c r="AJ1157">
        <v>1</v>
      </c>
      <c r="AK1157">
        <v>500</v>
      </c>
      <c r="AL1157">
        <v>3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8.2706999999999979</v>
      </c>
      <c r="AX1157">
        <v>5.47</v>
      </c>
      <c r="AY1157">
        <v>758.226</v>
      </c>
      <c r="BB1157">
        <v>1436.27</v>
      </c>
      <c r="BC1157">
        <v>3.46</v>
      </c>
      <c r="BF1157" t="s">
        <v>194</v>
      </c>
    </row>
    <row r="1158" spans="1:58" x14ac:dyDescent="0.45">
      <c r="A1158">
        <v>11157</v>
      </c>
      <c r="B1158">
        <v>1</v>
      </c>
      <c r="C1158">
        <v>82.67</v>
      </c>
      <c r="D1158">
        <v>5.47</v>
      </c>
      <c r="E1158">
        <v>4.8099999999999996</v>
      </c>
      <c r="F1158">
        <v>1.03</v>
      </c>
      <c r="G1158">
        <v>0</v>
      </c>
      <c r="H1158">
        <v>1.5</v>
      </c>
      <c r="I1158">
        <v>0</v>
      </c>
      <c r="J1158">
        <v>0</v>
      </c>
      <c r="K1158">
        <v>0</v>
      </c>
      <c r="L1158">
        <v>4.5199999999999996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Z1158">
        <v>0</v>
      </c>
      <c r="AA1158">
        <v>0</v>
      </c>
      <c r="AB1158">
        <v>1</v>
      </c>
      <c r="AC1158">
        <v>0</v>
      </c>
      <c r="AD1158">
        <v>1</v>
      </c>
      <c r="AE1158">
        <v>790</v>
      </c>
      <c r="AF1158">
        <v>2</v>
      </c>
      <c r="AG1158">
        <v>0</v>
      </c>
      <c r="AH1158">
        <v>1</v>
      </c>
      <c r="AI1158">
        <v>0</v>
      </c>
      <c r="AJ1158">
        <v>1</v>
      </c>
      <c r="AK1158">
        <v>500</v>
      </c>
      <c r="AL1158">
        <v>3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8.2706999999999979</v>
      </c>
      <c r="AX1158">
        <v>5.47</v>
      </c>
      <c r="AY1158">
        <v>758.226</v>
      </c>
      <c r="BB1158">
        <v>1446.05</v>
      </c>
      <c r="BC1158">
        <v>3.27</v>
      </c>
      <c r="BF1158" t="s">
        <v>194</v>
      </c>
    </row>
    <row r="1159" spans="1:58" x14ac:dyDescent="0.45">
      <c r="A1159">
        <v>11158</v>
      </c>
      <c r="B1159">
        <v>1</v>
      </c>
      <c r="C1159">
        <v>82.67</v>
      </c>
      <c r="D1159">
        <v>5.47</v>
      </c>
      <c r="E1159">
        <v>4.8099999999999996</v>
      </c>
      <c r="F1159">
        <v>1.03</v>
      </c>
      <c r="G1159">
        <v>0</v>
      </c>
      <c r="H1159">
        <v>1.5</v>
      </c>
      <c r="I1159">
        <v>0</v>
      </c>
      <c r="J1159">
        <v>0</v>
      </c>
      <c r="K1159">
        <v>0</v>
      </c>
      <c r="L1159">
        <v>4.5199999999999996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Z1159">
        <v>0</v>
      </c>
      <c r="AA1159">
        <v>0</v>
      </c>
      <c r="AB1159">
        <v>1</v>
      </c>
      <c r="AC1159">
        <v>0</v>
      </c>
      <c r="AD1159">
        <v>1</v>
      </c>
      <c r="AE1159">
        <v>800</v>
      </c>
      <c r="AF1159">
        <v>2</v>
      </c>
      <c r="AG1159">
        <v>0</v>
      </c>
      <c r="AH1159">
        <v>1</v>
      </c>
      <c r="AI1159">
        <v>0</v>
      </c>
      <c r="AJ1159">
        <v>1</v>
      </c>
      <c r="AK1159">
        <v>500</v>
      </c>
      <c r="AL1159">
        <v>3</v>
      </c>
      <c r="AM1159">
        <v>0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8.2706999999999979</v>
      </c>
      <c r="AX1159">
        <v>5.47</v>
      </c>
      <c r="AY1159">
        <v>758.226</v>
      </c>
      <c r="BB1159">
        <v>1454.21</v>
      </c>
      <c r="BC1159">
        <v>3.54</v>
      </c>
      <c r="BF1159" t="s">
        <v>194</v>
      </c>
    </row>
    <row r="1160" spans="1:58" x14ac:dyDescent="0.45">
      <c r="A1160">
        <v>11159</v>
      </c>
      <c r="B1160">
        <v>1</v>
      </c>
      <c r="C1160">
        <v>82.67</v>
      </c>
      <c r="D1160">
        <v>5.47</v>
      </c>
      <c r="E1160">
        <v>4.8099999999999996</v>
      </c>
      <c r="F1160">
        <v>1.03</v>
      </c>
      <c r="G1160">
        <v>0</v>
      </c>
      <c r="H1160">
        <v>1.5</v>
      </c>
      <c r="I1160">
        <v>0</v>
      </c>
      <c r="J1160">
        <v>0</v>
      </c>
      <c r="K1160">
        <v>0</v>
      </c>
      <c r="L1160">
        <v>4.5199999999999996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Z1160">
        <v>0</v>
      </c>
      <c r="AA1160">
        <v>0</v>
      </c>
      <c r="AB1160">
        <v>1</v>
      </c>
      <c r="AC1160">
        <v>0</v>
      </c>
      <c r="AD1160">
        <v>1</v>
      </c>
      <c r="AE1160">
        <v>810</v>
      </c>
      <c r="AF1160">
        <v>2</v>
      </c>
      <c r="AG1160">
        <v>0</v>
      </c>
      <c r="AH1160">
        <v>1</v>
      </c>
      <c r="AI1160">
        <v>0</v>
      </c>
      <c r="AJ1160">
        <v>1</v>
      </c>
      <c r="AK1160">
        <v>500</v>
      </c>
      <c r="AL1160">
        <v>3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8.2706999999999979</v>
      </c>
      <c r="AX1160">
        <v>5.47</v>
      </c>
      <c r="AY1160">
        <v>758.226</v>
      </c>
      <c r="BB1160">
        <v>1460.74</v>
      </c>
      <c r="BC1160">
        <v>3.58</v>
      </c>
      <c r="BF1160" t="s">
        <v>194</v>
      </c>
    </row>
    <row r="1161" spans="1:58" x14ac:dyDescent="0.45">
      <c r="A1161">
        <v>11160</v>
      </c>
      <c r="B1161">
        <v>1</v>
      </c>
      <c r="C1161">
        <v>82.67</v>
      </c>
      <c r="D1161">
        <v>5.47</v>
      </c>
      <c r="E1161">
        <v>4.8099999999999996</v>
      </c>
      <c r="F1161">
        <v>1.03</v>
      </c>
      <c r="G1161">
        <v>0</v>
      </c>
      <c r="H1161">
        <v>1.5</v>
      </c>
      <c r="I1161">
        <v>0</v>
      </c>
      <c r="J1161">
        <v>0</v>
      </c>
      <c r="K1161">
        <v>0</v>
      </c>
      <c r="L1161">
        <v>4.5199999999999996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Z1161">
        <v>0</v>
      </c>
      <c r="AA1161">
        <v>0</v>
      </c>
      <c r="AB1161">
        <v>1</v>
      </c>
      <c r="AC1161">
        <v>0</v>
      </c>
      <c r="AD1161">
        <v>1</v>
      </c>
      <c r="AE1161">
        <v>820</v>
      </c>
      <c r="AF1161">
        <v>2</v>
      </c>
      <c r="AG1161">
        <v>0</v>
      </c>
      <c r="AH1161">
        <v>1</v>
      </c>
      <c r="AI1161">
        <v>0</v>
      </c>
      <c r="AJ1161">
        <v>1</v>
      </c>
      <c r="AK1161">
        <v>500</v>
      </c>
      <c r="AL1161">
        <v>3</v>
      </c>
      <c r="AM1161">
        <v>0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8.2706999999999979</v>
      </c>
      <c r="AX1161">
        <v>5.47</v>
      </c>
      <c r="AY1161">
        <v>758.226</v>
      </c>
      <c r="BB1161">
        <v>1460.8</v>
      </c>
      <c r="BC1161">
        <v>3.31</v>
      </c>
      <c r="BF1161" t="s">
        <v>194</v>
      </c>
    </row>
    <row r="1162" spans="1:58" x14ac:dyDescent="0.45">
      <c r="A1162">
        <v>11161</v>
      </c>
      <c r="B1162">
        <v>1</v>
      </c>
      <c r="C1162">
        <v>82.67</v>
      </c>
      <c r="D1162">
        <v>5.47</v>
      </c>
      <c r="E1162">
        <v>4.8099999999999996</v>
      </c>
      <c r="F1162">
        <v>1.03</v>
      </c>
      <c r="G1162">
        <v>0</v>
      </c>
      <c r="H1162">
        <v>1.5</v>
      </c>
      <c r="I1162">
        <v>0</v>
      </c>
      <c r="J1162">
        <v>0</v>
      </c>
      <c r="K1162">
        <v>0</v>
      </c>
      <c r="L1162">
        <v>4.5199999999999996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830</v>
      </c>
      <c r="AF1162">
        <v>2</v>
      </c>
      <c r="AG1162">
        <v>0</v>
      </c>
      <c r="AH1162">
        <v>1</v>
      </c>
      <c r="AI1162">
        <v>0</v>
      </c>
      <c r="AJ1162">
        <v>1</v>
      </c>
      <c r="AK1162">
        <v>500</v>
      </c>
      <c r="AL1162">
        <v>3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8.2706999999999979</v>
      </c>
      <c r="AX1162">
        <v>5.47</v>
      </c>
      <c r="AY1162">
        <v>758.226</v>
      </c>
      <c r="BB1162">
        <v>1469.76</v>
      </c>
      <c r="BC1162">
        <v>3.53</v>
      </c>
      <c r="BF1162" t="s">
        <v>194</v>
      </c>
    </row>
    <row r="1163" spans="1:58" x14ac:dyDescent="0.45">
      <c r="A1163">
        <v>11162</v>
      </c>
      <c r="B1163">
        <v>1</v>
      </c>
      <c r="C1163">
        <v>82.67</v>
      </c>
      <c r="D1163">
        <v>5.47</v>
      </c>
      <c r="E1163">
        <v>4.8099999999999996</v>
      </c>
      <c r="F1163">
        <v>1.03</v>
      </c>
      <c r="G1163">
        <v>0</v>
      </c>
      <c r="H1163">
        <v>1.5</v>
      </c>
      <c r="I1163">
        <v>0</v>
      </c>
      <c r="J1163">
        <v>0</v>
      </c>
      <c r="K1163">
        <v>0</v>
      </c>
      <c r="L1163">
        <v>4.5199999999999996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Z1163">
        <v>0</v>
      </c>
      <c r="AA1163">
        <v>0</v>
      </c>
      <c r="AB1163">
        <v>1</v>
      </c>
      <c r="AC1163">
        <v>0</v>
      </c>
      <c r="AD1163">
        <v>1</v>
      </c>
      <c r="AE1163">
        <v>840</v>
      </c>
      <c r="AF1163">
        <v>2</v>
      </c>
      <c r="AG1163">
        <v>0</v>
      </c>
      <c r="AH1163">
        <v>1</v>
      </c>
      <c r="AI1163">
        <v>0</v>
      </c>
      <c r="AJ1163">
        <v>1</v>
      </c>
      <c r="AK1163">
        <v>500</v>
      </c>
      <c r="AL1163">
        <v>3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8.2706999999999979</v>
      </c>
      <c r="AX1163">
        <v>5.47</v>
      </c>
      <c r="AY1163">
        <v>758.226</v>
      </c>
      <c r="BB1163">
        <v>1473.05</v>
      </c>
      <c r="BC1163">
        <v>3.41</v>
      </c>
      <c r="BF1163" t="s">
        <v>194</v>
      </c>
    </row>
    <row r="1164" spans="1:58" x14ac:dyDescent="0.45">
      <c r="A1164">
        <v>11163</v>
      </c>
      <c r="B1164">
        <v>1</v>
      </c>
      <c r="C1164">
        <v>82.67</v>
      </c>
      <c r="D1164">
        <v>5.47</v>
      </c>
      <c r="E1164">
        <v>4.8099999999999996</v>
      </c>
      <c r="F1164">
        <v>1.03</v>
      </c>
      <c r="G1164">
        <v>0</v>
      </c>
      <c r="H1164">
        <v>1.5</v>
      </c>
      <c r="I1164">
        <v>0</v>
      </c>
      <c r="J1164">
        <v>0</v>
      </c>
      <c r="K1164">
        <v>0</v>
      </c>
      <c r="L1164">
        <v>4.5199999999999996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Z1164">
        <v>0</v>
      </c>
      <c r="AA1164">
        <v>0</v>
      </c>
      <c r="AB1164">
        <v>1</v>
      </c>
      <c r="AC1164">
        <v>0</v>
      </c>
      <c r="AD1164">
        <v>1</v>
      </c>
      <c r="AE1164">
        <v>850</v>
      </c>
      <c r="AF1164">
        <v>2</v>
      </c>
      <c r="AG1164">
        <v>0</v>
      </c>
      <c r="AH1164">
        <v>1</v>
      </c>
      <c r="AI1164">
        <v>0</v>
      </c>
      <c r="AJ1164">
        <v>1</v>
      </c>
      <c r="AK1164">
        <v>500</v>
      </c>
      <c r="AL1164">
        <v>3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8.2706999999999979</v>
      </c>
      <c r="AX1164">
        <v>5.47</v>
      </c>
      <c r="AY1164">
        <v>758.226</v>
      </c>
      <c r="BB1164">
        <v>1482.83</v>
      </c>
      <c r="BC1164">
        <v>3.3</v>
      </c>
      <c r="BF1164" t="s">
        <v>194</v>
      </c>
    </row>
    <row r="1165" spans="1:58" x14ac:dyDescent="0.45">
      <c r="A1165">
        <v>11164</v>
      </c>
      <c r="B1165">
        <v>1</v>
      </c>
      <c r="C1165">
        <v>82.67</v>
      </c>
      <c r="D1165">
        <v>5.47</v>
      </c>
      <c r="E1165">
        <v>4.8099999999999996</v>
      </c>
      <c r="F1165">
        <v>1.03</v>
      </c>
      <c r="G1165">
        <v>0</v>
      </c>
      <c r="H1165">
        <v>1.5</v>
      </c>
      <c r="I1165">
        <v>0</v>
      </c>
      <c r="J1165">
        <v>0</v>
      </c>
      <c r="K1165">
        <v>0</v>
      </c>
      <c r="L1165">
        <v>4.5199999999999996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Z1165">
        <v>0</v>
      </c>
      <c r="AA1165">
        <v>0</v>
      </c>
      <c r="AB1165">
        <v>1</v>
      </c>
      <c r="AC1165">
        <v>0</v>
      </c>
      <c r="AD1165">
        <v>1</v>
      </c>
      <c r="AE1165">
        <v>860</v>
      </c>
      <c r="AF1165">
        <v>2</v>
      </c>
      <c r="AG1165">
        <v>0</v>
      </c>
      <c r="AH1165">
        <v>1</v>
      </c>
      <c r="AI1165">
        <v>0</v>
      </c>
      <c r="AJ1165">
        <v>1</v>
      </c>
      <c r="AK1165">
        <v>500</v>
      </c>
      <c r="AL1165">
        <v>3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8.2706999999999979</v>
      </c>
      <c r="AX1165">
        <v>5.47</v>
      </c>
      <c r="AY1165">
        <v>758.226</v>
      </c>
      <c r="BB1165">
        <v>1492.81</v>
      </c>
      <c r="BC1165">
        <v>3.32</v>
      </c>
      <c r="BF1165" t="s">
        <v>194</v>
      </c>
    </row>
    <row r="1166" spans="1:58" x14ac:dyDescent="0.45">
      <c r="A1166">
        <v>11165</v>
      </c>
      <c r="B1166">
        <v>1</v>
      </c>
      <c r="C1166">
        <v>82.67</v>
      </c>
      <c r="D1166">
        <v>5.47</v>
      </c>
      <c r="E1166">
        <v>4.8099999999999996</v>
      </c>
      <c r="F1166">
        <v>1.03</v>
      </c>
      <c r="G1166">
        <v>0</v>
      </c>
      <c r="H1166">
        <v>1.5</v>
      </c>
      <c r="I1166">
        <v>0</v>
      </c>
      <c r="J1166">
        <v>0</v>
      </c>
      <c r="K1166">
        <v>0</v>
      </c>
      <c r="L1166">
        <v>4.5199999999999996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Z1166">
        <v>0</v>
      </c>
      <c r="AA1166">
        <v>0</v>
      </c>
      <c r="AB1166">
        <v>1</v>
      </c>
      <c r="AC1166">
        <v>0</v>
      </c>
      <c r="AD1166">
        <v>1</v>
      </c>
      <c r="AE1166">
        <v>710</v>
      </c>
      <c r="AF1166">
        <v>2</v>
      </c>
      <c r="AG1166">
        <v>0</v>
      </c>
      <c r="AH1166">
        <v>1</v>
      </c>
      <c r="AI1166">
        <v>0</v>
      </c>
      <c r="AJ1166">
        <v>1</v>
      </c>
      <c r="AK1166">
        <v>550</v>
      </c>
      <c r="AL1166">
        <v>3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8.2706999999999979</v>
      </c>
      <c r="AX1166">
        <v>5.47</v>
      </c>
      <c r="AY1166">
        <v>758.226</v>
      </c>
      <c r="BB1166">
        <v>1056.45</v>
      </c>
      <c r="BC1166">
        <v>13.14</v>
      </c>
      <c r="BF1166" t="s">
        <v>194</v>
      </c>
    </row>
    <row r="1167" spans="1:58" x14ac:dyDescent="0.45">
      <c r="A1167">
        <v>11166</v>
      </c>
      <c r="B1167">
        <v>1</v>
      </c>
      <c r="C1167">
        <v>82.67</v>
      </c>
      <c r="D1167">
        <v>5.47</v>
      </c>
      <c r="E1167">
        <v>4.8099999999999996</v>
      </c>
      <c r="F1167">
        <v>1.03</v>
      </c>
      <c r="G1167">
        <v>0</v>
      </c>
      <c r="H1167">
        <v>1.5</v>
      </c>
      <c r="I1167">
        <v>0</v>
      </c>
      <c r="J1167">
        <v>0</v>
      </c>
      <c r="K1167">
        <v>0</v>
      </c>
      <c r="L1167">
        <v>4.5199999999999996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720</v>
      </c>
      <c r="AF1167">
        <v>2</v>
      </c>
      <c r="AG1167">
        <v>0</v>
      </c>
      <c r="AH1167">
        <v>1</v>
      </c>
      <c r="AI1167">
        <v>0</v>
      </c>
      <c r="AJ1167">
        <v>1</v>
      </c>
      <c r="AK1167">
        <v>550</v>
      </c>
      <c r="AL1167">
        <v>3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8.2706999999999979</v>
      </c>
      <c r="AX1167">
        <v>5.47</v>
      </c>
      <c r="AY1167">
        <v>758.226</v>
      </c>
      <c r="BB1167">
        <v>1113</v>
      </c>
      <c r="BC1167">
        <v>12.59</v>
      </c>
      <c r="BF1167" t="s">
        <v>194</v>
      </c>
    </row>
    <row r="1168" spans="1:58" x14ac:dyDescent="0.45">
      <c r="A1168">
        <v>11167</v>
      </c>
      <c r="B1168">
        <v>1</v>
      </c>
      <c r="C1168">
        <v>82.67</v>
      </c>
      <c r="D1168">
        <v>5.47</v>
      </c>
      <c r="E1168">
        <v>4.8099999999999996</v>
      </c>
      <c r="F1168">
        <v>1.03</v>
      </c>
      <c r="G1168">
        <v>0</v>
      </c>
      <c r="H1168">
        <v>1.5</v>
      </c>
      <c r="I1168">
        <v>0</v>
      </c>
      <c r="J1168">
        <v>0</v>
      </c>
      <c r="K1168">
        <v>0</v>
      </c>
      <c r="L1168">
        <v>4.5199999999999996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Z1168">
        <v>0</v>
      </c>
      <c r="AA1168">
        <v>0</v>
      </c>
      <c r="AB1168">
        <v>1</v>
      </c>
      <c r="AC1168">
        <v>0</v>
      </c>
      <c r="AD1168">
        <v>1</v>
      </c>
      <c r="AE1168">
        <v>730</v>
      </c>
      <c r="AF1168">
        <v>2</v>
      </c>
      <c r="AG1168">
        <v>0</v>
      </c>
      <c r="AH1168">
        <v>1</v>
      </c>
      <c r="AI1168">
        <v>0</v>
      </c>
      <c r="AJ1168">
        <v>1</v>
      </c>
      <c r="AK1168">
        <v>550</v>
      </c>
      <c r="AL1168">
        <v>3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8.2706999999999979</v>
      </c>
      <c r="AX1168">
        <v>5.47</v>
      </c>
      <c r="AY1168">
        <v>758.226</v>
      </c>
      <c r="BB1168">
        <v>1160.26</v>
      </c>
      <c r="BC1168">
        <v>11.55</v>
      </c>
      <c r="BF1168" t="s">
        <v>194</v>
      </c>
    </row>
    <row r="1169" spans="1:58" x14ac:dyDescent="0.45">
      <c r="A1169">
        <v>11168</v>
      </c>
      <c r="B1169">
        <v>1</v>
      </c>
      <c r="C1169">
        <v>82.67</v>
      </c>
      <c r="D1169">
        <v>5.47</v>
      </c>
      <c r="E1169">
        <v>4.8099999999999996</v>
      </c>
      <c r="F1169">
        <v>1.03</v>
      </c>
      <c r="G1169">
        <v>0</v>
      </c>
      <c r="H1169">
        <v>1.5</v>
      </c>
      <c r="I1169">
        <v>0</v>
      </c>
      <c r="J1169">
        <v>0</v>
      </c>
      <c r="K1169">
        <v>0</v>
      </c>
      <c r="L1169">
        <v>4.5199999999999996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Z1169">
        <v>0</v>
      </c>
      <c r="AA1169">
        <v>0</v>
      </c>
      <c r="AB1169">
        <v>1</v>
      </c>
      <c r="AC1169">
        <v>0</v>
      </c>
      <c r="AD1169">
        <v>1</v>
      </c>
      <c r="AE1169">
        <v>740</v>
      </c>
      <c r="AF1169">
        <v>2</v>
      </c>
      <c r="AG1169">
        <v>0</v>
      </c>
      <c r="AH1169">
        <v>1</v>
      </c>
      <c r="AI1169">
        <v>0</v>
      </c>
      <c r="AJ1169">
        <v>1</v>
      </c>
      <c r="AK1169">
        <v>550</v>
      </c>
      <c r="AL1169">
        <v>3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8.2706999999999979</v>
      </c>
      <c r="AX1169">
        <v>5.47</v>
      </c>
      <c r="AY1169">
        <v>758.226</v>
      </c>
      <c r="BB1169">
        <v>1200.71</v>
      </c>
      <c r="BC1169">
        <v>10.38</v>
      </c>
      <c r="BF1169" t="s">
        <v>194</v>
      </c>
    </row>
    <row r="1170" spans="1:58" x14ac:dyDescent="0.45">
      <c r="A1170">
        <v>11169</v>
      </c>
      <c r="B1170">
        <v>1</v>
      </c>
      <c r="C1170">
        <v>82.67</v>
      </c>
      <c r="D1170">
        <v>5.47</v>
      </c>
      <c r="E1170">
        <v>4.8099999999999996</v>
      </c>
      <c r="F1170">
        <v>1.03</v>
      </c>
      <c r="G1170">
        <v>0</v>
      </c>
      <c r="H1170">
        <v>1.5</v>
      </c>
      <c r="I1170">
        <v>0</v>
      </c>
      <c r="J1170">
        <v>0</v>
      </c>
      <c r="K1170">
        <v>0</v>
      </c>
      <c r="L1170">
        <v>4.5199999999999996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Z1170">
        <v>0</v>
      </c>
      <c r="AA1170">
        <v>0</v>
      </c>
      <c r="AB1170">
        <v>1</v>
      </c>
      <c r="AC1170">
        <v>0</v>
      </c>
      <c r="AD1170">
        <v>1</v>
      </c>
      <c r="AE1170">
        <v>750</v>
      </c>
      <c r="AF1170">
        <v>2</v>
      </c>
      <c r="AG1170">
        <v>0</v>
      </c>
      <c r="AH1170">
        <v>1</v>
      </c>
      <c r="AI1170">
        <v>0</v>
      </c>
      <c r="AJ1170">
        <v>1</v>
      </c>
      <c r="AK1170">
        <v>550</v>
      </c>
      <c r="AL1170">
        <v>3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8.2706999999999979</v>
      </c>
      <c r="AX1170">
        <v>5.47</v>
      </c>
      <c r="AY1170">
        <v>758.226</v>
      </c>
      <c r="BB1170">
        <v>1251.8499999999999</v>
      </c>
      <c r="BC1170">
        <v>8.42</v>
      </c>
      <c r="BF1170" t="s">
        <v>194</v>
      </c>
    </row>
    <row r="1171" spans="1:58" x14ac:dyDescent="0.45">
      <c r="A1171">
        <v>11170</v>
      </c>
      <c r="B1171">
        <v>1</v>
      </c>
      <c r="C1171">
        <v>82.67</v>
      </c>
      <c r="D1171">
        <v>5.47</v>
      </c>
      <c r="E1171">
        <v>4.8099999999999996</v>
      </c>
      <c r="F1171">
        <v>1.03</v>
      </c>
      <c r="G1171">
        <v>0</v>
      </c>
      <c r="H1171">
        <v>1.5</v>
      </c>
      <c r="I1171">
        <v>0</v>
      </c>
      <c r="J1171">
        <v>0</v>
      </c>
      <c r="K1171">
        <v>0</v>
      </c>
      <c r="L1171">
        <v>4.5199999999999996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Z1171">
        <v>0</v>
      </c>
      <c r="AA1171">
        <v>0</v>
      </c>
      <c r="AB1171">
        <v>1</v>
      </c>
      <c r="AC1171">
        <v>0</v>
      </c>
      <c r="AD1171">
        <v>1</v>
      </c>
      <c r="AE1171">
        <v>760</v>
      </c>
      <c r="AF1171">
        <v>2</v>
      </c>
      <c r="AG1171">
        <v>0</v>
      </c>
      <c r="AH1171">
        <v>1</v>
      </c>
      <c r="AI1171">
        <v>0</v>
      </c>
      <c r="AJ1171">
        <v>1</v>
      </c>
      <c r="AK1171">
        <v>550</v>
      </c>
      <c r="AL1171">
        <v>3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8.2706999999999979</v>
      </c>
      <c r="AX1171">
        <v>5.47</v>
      </c>
      <c r="AY1171">
        <v>758.226</v>
      </c>
      <c r="BB1171">
        <v>1253.9000000000001</v>
      </c>
      <c r="BC1171">
        <v>5.91</v>
      </c>
      <c r="BF1171" t="s">
        <v>194</v>
      </c>
    </row>
    <row r="1172" spans="1:58" x14ac:dyDescent="0.45">
      <c r="A1172">
        <v>11171</v>
      </c>
      <c r="B1172">
        <v>1</v>
      </c>
      <c r="C1172">
        <v>82.67</v>
      </c>
      <c r="D1172">
        <v>5.47</v>
      </c>
      <c r="E1172">
        <v>4.8099999999999996</v>
      </c>
      <c r="F1172">
        <v>1.03</v>
      </c>
      <c r="G1172">
        <v>0</v>
      </c>
      <c r="H1172">
        <v>1.5</v>
      </c>
      <c r="I1172">
        <v>0</v>
      </c>
      <c r="J1172">
        <v>0</v>
      </c>
      <c r="K1172">
        <v>0</v>
      </c>
      <c r="L1172">
        <v>4.5199999999999996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Z1172">
        <v>0</v>
      </c>
      <c r="AA1172">
        <v>0</v>
      </c>
      <c r="AB1172">
        <v>1</v>
      </c>
      <c r="AC1172">
        <v>0</v>
      </c>
      <c r="AD1172">
        <v>1</v>
      </c>
      <c r="AE1172">
        <v>770</v>
      </c>
      <c r="AF1172">
        <v>2</v>
      </c>
      <c r="AG1172">
        <v>0</v>
      </c>
      <c r="AH1172">
        <v>1</v>
      </c>
      <c r="AI1172">
        <v>0</v>
      </c>
      <c r="AJ1172">
        <v>1</v>
      </c>
      <c r="AK1172">
        <v>550</v>
      </c>
      <c r="AL1172">
        <v>3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8.2706999999999979</v>
      </c>
      <c r="AX1172">
        <v>5.47</v>
      </c>
      <c r="AY1172">
        <v>758.226</v>
      </c>
      <c r="BB1172">
        <v>1284.99</v>
      </c>
      <c r="BC1172">
        <v>5.1100000000000003</v>
      </c>
      <c r="BF1172" t="s">
        <v>194</v>
      </c>
    </row>
    <row r="1173" spans="1:58" x14ac:dyDescent="0.45">
      <c r="A1173">
        <v>11172</v>
      </c>
      <c r="B1173">
        <v>1</v>
      </c>
      <c r="C1173">
        <v>82.67</v>
      </c>
      <c r="D1173">
        <v>5.47</v>
      </c>
      <c r="E1173">
        <v>4.8099999999999996</v>
      </c>
      <c r="F1173">
        <v>1.03</v>
      </c>
      <c r="G1173">
        <v>0</v>
      </c>
      <c r="H1173">
        <v>1.5</v>
      </c>
      <c r="I1173">
        <v>0</v>
      </c>
      <c r="J1173">
        <v>0</v>
      </c>
      <c r="K1173">
        <v>0</v>
      </c>
      <c r="L1173">
        <v>4.5199999999999996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Z1173">
        <v>0</v>
      </c>
      <c r="AA1173">
        <v>0</v>
      </c>
      <c r="AB1173">
        <v>1</v>
      </c>
      <c r="AC1173">
        <v>0</v>
      </c>
      <c r="AD1173">
        <v>1</v>
      </c>
      <c r="AE1173">
        <v>780</v>
      </c>
      <c r="AF1173">
        <v>2</v>
      </c>
      <c r="AG1173">
        <v>0</v>
      </c>
      <c r="AH1173">
        <v>1</v>
      </c>
      <c r="AI1173">
        <v>0</v>
      </c>
      <c r="AJ1173">
        <v>1</v>
      </c>
      <c r="AK1173">
        <v>550</v>
      </c>
      <c r="AL1173">
        <v>3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8.2706999999999979</v>
      </c>
      <c r="AX1173">
        <v>5.47</v>
      </c>
      <c r="AY1173">
        <v>758.226</v>
      </c>
      <c r="BB1173">
        <v>1300.6099999999999</v>
      </c>
      <c r="BC1173">
        <v>4.05</v>
      </c>
      <c r="BF1173" t="s">
        <v>194</v>
      </c>
    </row>
    <row r="1174" spans="1:58" x14ac:dyDescent="0.45">
      <c r="A1174">
        <v>11173</v>
      </c>
      <c r="B1174">
        <v>1</v>
      </c>
      <c r="C1174">
        <v>82.67</v>
      </c>
      <c r="D1174">
        <v>5.47</v>
      </c>
      <c r="E1174">
        <v>4.8099999999999996</v>
      </c>
      <c r="F1174">
        <v>1.03</v>
      </c>
      <c r="G1174">
        <v>0</v>
      </c>
      <c r="H1174">
        <v>1.5</v>
      </c>
      <c r="I1174">
        <v>0</v>
      </c>
      <c r="J1174">
        <v>0</v>
      </c>
      <c r="K1174">
        <v>0</v>
      </c>
      <c r="L1174">
        <v>4.5199999999999996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Z1174">
        <v>0</v>
      </c>
      <c r="AA1174">
        <v>0</v>
      </c>
      <c r="AB1174">
        <v>1</v>
      </c>
      <c r="AC1174">
        <v>0</v>
      </c>
      <c r="AD1174">
        <v>1</v>
      </c>
      <c r="AE1174">
        <v>790</v>
      </c>
      <c r="AF1174">
        <v>2</v>
      </c>
      <c r="AG1174">
        <v>0</v>
      </c>
      <c r="AH1174">
        <v>1</v>
      </c>
      <c r="AI1174">
        <v>0</v>
      </c>
      <c r="AJ1174">
        <v>1</v>
      </c>
      <c r="AK1174">
        <v>550</v>
      </c>
      <c r="AL1174">
        <v>3</v>
      </c>
      <c r="AM1174">
        <v>0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8.2706999999999979</v>
      </c>
      <c r="AX1174">
        <v>5.47</v>
      </c>
      <c r="AY1174">
        <v>758.226</v>
      </c>
      <c r="BB1174">
        <v>1336.48</v>
      </c>
      <c r="BC1174">
        <v>3.76</v>
      </c>
      <c r="BE1174" t="s">
        <v>353</v>
      </c>
      <c r="BF1174" t="s">
        <v>194</v>
      </c>
    </row>
    <row r="1175" spans="1:58" x14ac:dyDescent="0.45">
      <c r="A1175">
        <v>11174</v>
      </c>
      <c r="B1175">
        <v>1</v>
      </c>
      <c r="C1175">
        <v>82.67</v>
      </c>
      <c r="D1175">
        <v>5.47</v>
      </c>
      <c r="E1175">
        <v>4.8099999999999996</v>
      </c>
      <c r="F1175">
        <v>1.03</v>
      </c>
      <c r="G1175">
        <v>0</v>
      </c>
      <c r="H1175">
        <v>1.5</v>
      </c>
      <c r="I1175">
        <v>0</v>
      </c>
      <c r="J1175">
        <v>0</v>
      </c>
      <c r="K1175">
        <v>0</v>
      </c>
      <c r="L1175">
        <v>4.5199999999999996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Z1175">
        <v>0</v>
      </c>
      <c r="AA1175">
        <v>0</v>
      </c>
      <c r="AB1175">
        <v>1</v>
      </c>
      <c r="AC1175">
        <v>0</v>
      </c>
      <c r="AD1175">
        <v>1</v>
      </c>
      <c r="AE1175">
        <v>800</v>
      </c>
      <c r="AF1175">
        <v>2</v>
      </c>
      <c r="AG1175">
        <v>0</v>
      </c>
      <c r="AH1175">
        <v>1</v>
      </c>
      <c r="AI1175">
        <v>0</v>
      </c>
      <c r="AJ1175">
        <v>1</v>
      </c>
      <c r="AK1175">
        <v>550</v>
      </c>
      <c r="AL1175">
        <v>3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8.2706999999999979</v>
      </c>
      <c r="AX1175">
        <v>5.47</v>
      </c>
      <c r="AY1175">
        <v>758.226</v>
      </c>
      <c r="BB1175">
        <v>1377.68</v>
      </c>
      <c r="BC1175">
        <v>3.7</v>
      </c>
      <c r="BE1175" t="s">
        <v>353</v>
      </c>
      <c r="BF1175" t="s">
        <v>194</v>
      </c>
    </row>
    <row r="1176" spans="1:58" x14ac:dyDescent="0.45">
      <c r="A1176">
        <v>11175</v>
      </c>
      <c r="B1176">
        <v>1</v>
      </c>
      <c r="C1176">
        <v>82.67</v>
      </c>
      <c r="D1176">
        <v>5.47</v>
      </c>
      <c r="E1176">
        <v>4.8099999999999996</v>
      </c>
      <c r="F1176">
        <v>1.03</v>
      </c>
      <c r="G1176">
        <v>0</v>
      </c>
      <c r="H1176">
        <v>1.5</v>
      </c>
      <c r="I1176">
        <v>0</v>
      </c>
      <c r="J1176">
        <v>0</v>
      </c>
      <c r="K1176">
        <v>0</v>
      </c>
      <c r="L1176">
        <v>4.5199999999999996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Z1176">
        <v>0</v>
      </c>
      <c r="AA1176">
        <v>0</v>
      </c>
      <c r="AB1176">
        <v>1</v>
      </c>
      <c r="AC1176">
        <v>0</v>
      </c>
      <c r="AD1176">
        <v>1</v>
      </c>
      <c r="AE1176">
        <v>810</v>
      </c>
      <c r="AF1176">
        <v>2</v>
      </c>
      <c r="AG1176">
        <v>0</v>
      </c>
      <c r="AH1176">
        <v>1</v>
      </c>
      <c r="AI1176">
        <v>0</v>
      </c>
      <c r="AJ1176">
        <v>1</v>
      </c>
      <c r="AK1176">
        <v>550</v>
      </c>
      <c r="AL1176">
        <v>3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8.2706999999999979</v>
      </c>
      <c r="AX1176">
        <v>5.47</v>
      </c>
      <c r="AY1176">
        <v>758.226</v>
      </c>
      <c r="BB1176">
        <v>1354.34</v>
      </c>
      <c r="BC1176">
        <v>3.61</v>
      </c>
      <c r="BE1176" t="s">
        <v>353</v>
      </c>
      <c r="BF1176" t="s">
        <v>194</v>
      </c>
    </row>
    <row r="1177" spans="1:58" x14ac:dyDescent="0.45">
      <c r="A1177">
        <v>11176</v>
      </c>
      <c r="B1177">
        <v>1</v>
      </c>
      <c r="C1177">
        <v>82.67</v>
      </c>
      <c r="D1177">
        <v>5.47</v>
      </c>
      <c r="E1177">
        <v>4.8099999999999996</v>
      </c>
      <c r="F1177">
        <v>1.03</v>
      </c>
      <c r="G1177">
        <v>0</v>
      </c>
      <c r="H1177">
        <v>1.5</v>
      </c>
      <c r="I1177">
        <v>0</v>
      </c>
      <c r="J1177">
        <v>0</v>
      </c>
      <c r="K1177">
        <v>0</v>
      </c>
      <c r="L1177">
        <v>4.5199999999999996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820</v>
      </c>
      <c r="AF1177">
        <v>2</v>
      </c>
      <c r="AG1177">
        <v>0</v>
      </c>
      <c r="AH1177">
        <v>1</v>
      </c>
      <c r="AI1177">
        <v>0</v>
      </c>
      <c r="AJ1177">
        <v>1</v>
      </c>
      <c r="AK1177">
        <v>550</v>
      </c>
      <c r="AL1177">
        <v>3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8.2706999999999979</v>
      </c>
      <c r="AX1177">
        <v>5.47</v>
      </c>
      <c r="AY1177">
        <v>758.226</v>
      </c>
      <c r="BB1177">
        <v>1361.94</v>
      </c>
      <c r="BC1177">
        <v>3.52</v>
      </c>
      <c r="BE1177" t="s">
        <v>353</v>
      </c>
      <c r="BF1177" t="s">
        <v>194</v>
      </c>
    </row>
    <row r="1178" spans="1:58" x14ac:dyDescent="0.45">
      <c r="A1178">
        <v>11177</v>
      </c>
      <c r="B1178">
        <v>1</v>
      </c>
      <c r="C1178">
        <v>82.67</v>
      </c>
      <c r="D1178">
        <v>5.47</v>
      </c>
      <c r="E1178">
        <v>4.8099999999999996</v>
      </c>
      <c r="F1178">
        <v>1.03</v>
      </c>
      <c r="G1178">
        <v>0</v>
      </c>
      <c r="H1178">
        <v>1.5</v>
      </c>
      <c r="I1178">
        <v>0</v>
      </c>
      <c r="J1178">
        <v>0</v>
      </c>
      <c r="K1178">
        <v>0</v>
      </c>
      <c r="L1178">
        <v>4.5199999999999996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Z1178">
        <v>0</v>
      </c>
      <c r="AA1178">
        <v>0</v>
      </c>
      <c r="AB1178">
        <v>1</v>
      </c>
      <c r="AC1178">
        <v>0</v>
      </c>
      <c r="AD1178">
        <v>1</v>
      </c>
      <c r="AE1178">
        <v>830</v>
      </c>
      <c r="AF1178">
        <v>2</v>
      </c>
      <c r="AG1178">
        <v>0</v>
      </c>
      <c r="AH1178">
        <v>1</v>
      </c>
      <c r="AI1178">
        <v>0</v>
      </c>
      <c r="AJ1178">
        <v>1</v>
      </c>
      <c r="AK1178">
        <v>550</v>
      </c>
      <c r="AL1178">
        <v>3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8.2706999999999979</v>
      </c>
      <c r="AX1178">
        <v>5.47</v>
      </c>
      <c r="AY1178">
        <v>758.226</v>
      </c>
      <c r="BB1178">
        <v>1370.3</v>
      </c>
      <c r="BC1178">
        <v>3.44</v>
      </c>
      <c r="BE1178" t="s">
        <v>353</v>
      </c>
      <c r="BF1178" t="s">
        <v>194</v>
      </c>
    </row>
    <row r="1179" spans="1:58" x14ac:dyDescent="0.45">
      <c r="A1179">
        <v>11178</v>
      </c>
      <c r="B1179">
        <v>1</v>
      </c>
      <c r="C1179">
        <v>82.67</v>
      </c>
      <c r="D1179">
        <v>5.47</v>
      </c>
      <c r="E1179">
        <v>4.8099999999999996</v>
      </c>
      <c r="F1179">
        <v>1.03</v>
      </c>
      <c r="G1179">
        <v>0</v>
      </c>
      <c r="H1179">
        <v>1.5</v>
      </c>
      <c r="I1179">
        <v>0</v>
      </c>
      <c r="J1179">
        <v>0</v>
      </c>
      <c r="K1179">
        <v>0</v>
      </c>
      <c r="L1179">
        <v>4.5199999999999996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Z1179">
        <v>0</v>
      </c>
      <c r="AA1179">
        <v>0</v>
      </c>
      <c r="AB1179">
        <v>1</v>
      </c>
      <c r="AC1179">
        <v>0</v>
      </c>
      <c r="AD1179">
        <v>1</v>
      </c>
      <c r="AE1179">
        <v>840</v>
      </c>
      <c r="AF1179">
        <v>2</v>
      </c>
      <c r="AG1179">
        <v>0</v>
      </c>
      <c r="AH1179">
        <v>1</v>
      </c>
      <c r="AI1179">
        <v>0</v>
      </c>
      <c r="AJ1179">
        <v>1</v>
      </c>
      <c r="AK1179">
        <v>550</v>
      </c>
      <c r="AL1179">
        <v>3</v>
      </c>
      <c r="AM1179">
        <v>0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8.2706999999999979</v>
      </c>
      <c r="AX1179">
        <v>5.47</v>
      </c>
      <c r="AY1179">
        <v>758.226</v>
      </c>
      <c r="BB1179">
        <v>1390.12</v>
      </c>
      <c r="BC1179">
        <v>3.4</v>
      </c>
      <c r="BE1179" t="s">
        <v>353</v>
      </c>
      <c r="BF1179" t="s">
        <v>194</v>
      </c>
    </row>
    <row r="1180" spans="1:58" x14ac:dyDescent="0.45">
      <c r="A1180">
        <v>11179</v>
      </c>
      <c r="B1180">
        <v>1</v>
      </c>
      <c r="C1180">
        <v>82.67</v>
      </c>
      <c r="D1180">
        <v>5.47</v>
      </c>
      <c r="E1180">
        <v>4.8099999999999996</v>
      </c>
      <c r="F1180">
        <v>1.03</v>
      </c>
      <c r="G1180">
        <v>0</v>
      </c>
      <c r="H1180">
        <v>1.5</v>
      </c>
      <c r="I1180">
        <v>0</v>
      </c>
      <c r="J1180">
        <v>0</v>
      </c>
      <c r="K1180">
        <v>0</v>
      </c>
      <c r="L1180">
        <v>4.5199999999999996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Z1180">
        <v>0</v>
      </c>
      <c r="AA1180">
        <v>0</v>
      </c>
      <c r="AB1180">
        <v>1</v>
      </c>
      <c r="AC1180">
        <v>0</v>
      </c>
      <c r="AD1180">
        <v>1</v>
      </c>
      <c r="AE1180">
        <v>850</v>
      </c>
      <c r="AF1180">
        <v>2</v>
      </c>
      <c r="AG1180">
        <v>0</v>
      </c>
      <c r="AH1180">
        <v>1</v>
      </c>
      <c r="AI1180">
        <v>0</v>
      </c>
      <c r="AJ1180">
        <v>1</v>
      </c>
      <c r="AK1180">
        <v>550</v>
      </c>
      <c r="AL1180">
        <v>3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8.2706999999999979</v>
      </c>
      <c r="AX1180">
        <v>5.47</v>
      </c>
      <c r="AY1180">
        <v>758.226</v>
      </c>
      <c r="BB1180">
        <v>1409.56</v>
      </c>
      <c r="BC1180">
        <v>3.39</v>
      </c>
      <c r="BE1180" t="s">
        <v>353</v>
      </c>
      <c r="BF1180" t="s">
        <v>194</v>
      </c>
    </row>
    <row r="1181" spans="1:58" x14ac:dyDescent="0.45">
      <c r="A1181">
        <v>11180</v>
      </c>
      <c r="B1181">
        <v>1</v>
      </c>
      <c r="C1181">
        <v>82.67</v>
      </c>
      <c r="D1181">
        <v>5.47</v>
      </c>
      <c r="E1181">
        <v>4.8099999999999996</v>
      </c>
      <c r="F1181">
        <v>1.03</v>
      </c>
      <c r="G1181">
        <v>0</v>
      </c>
      <c r="H1181">
        <v>1.5</v>
      </c>
      <c r="I1181">
        <v>0</v>
      </c>
      <c r="J1181">
        <v>0</v>
      </c>
      <c r="K1181">
        <v>0</v>
      </c>
      <c r="L1181">
        <v>4.5199999999999996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Z1181">
        <v>0</v>
      </c>
      <c r="AA1181">
        <v>0</v>
      </c>
      <c r="AB1181">
        <v>1</v>
      </c>
      <c r="AC1181">
        <v>0</v>
      </c>
      <c r="AD1181">
        <v>1</v>
      </c>
      <c r="AE1181">
        <v>860</v>
      </c>
      <c r="AF1181">
        <v>2</v>
      </c>
      <c r="AG1181">
        <v>0</v>
      </c>
      <c r="AH1181">
        <v>1</v>
      </c>
      <c r="AI1181">
        <v>0</v>
      </c>
      <c r="AJ1181">
        <v>1</v>
      </c>
      <c r="AK1181">
        <v>550</v>
      </c>
      <c r="AL1181">
        <v>3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8.2706999999999979</v>
      </c>
      <c r="AX1181">
        <v>5.47</v>
      </c>
      <c r="AY1181">
        <v>758.226</v>
      </c>
      <c r="BB1181">
        <v>1423.7</v>
      </c>
      <c r="BC1181">
        <v>3.33</v>
      </c>
      <c r="BE1181" t="s">
        <v>353</v>
      </c>
      <c r="BF1181" t="s">
        <v>194</v>
      </c>
    </row>
    <row r="1182" spans="1:58" x14ac:dyDescent="0.45">
      <c r="A1182">
        <v>11181</v>
      </c>
      <c r="B1182">
        <v>1</v>
      </c>
      <c r="C1182">
        <v>82.8</v>
      </c>
      <c r="D1182">
        <v>6.2</v>
      </c>
      <c r="E1182">
        <v>0</v>
      </c>
      <c r="F1182">
        <v>1.5</v>
      </c>
      <c r="G1182">
        <v>0</v>
      </c>
      <c r="H1182">
        <v>0</v>
      </c>
      <c r="I1182">
        <v>0</v>
      </c>
      <c r="J1182">
        <v>2.6</v>
      </c>
      <c r="K1182">
        <v>2.7</v>
      </c>
      <c r="L1182">
        <v>4.2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Z1182">
        <v>0</v>
      </c>
      <c r="AA1182">
        <v>0</v>
      </c>
      <c r="AB1182">
        <v>1</v>
      </c>
      <c r="AC1182">
        <v>0</v>
      </c>
      <c r="AD1182">
        <v>0</v>
      </c>
      <c r="AJ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1.1560000000000006</v>
      </c>
      <c r="AX1182">
        <v>6.6333333333333337</v>
      </c>
      <c r="AY1182">
        <v>819.03</v>
      </c>
      <c r="BA1182">
        <v>1073</v>
      </c>
      <c r="BB1182">
        <v>1097</v>
      </c>
      <c r="BC1182">
        <v>14</v>
      </c>
      <c r="BE1182" t="s">
        <v>353</v>
      </c>
      <c r="BF1182" t="s">
        <v>196</v>
      </c>
    </row>
    <row r="1183" spans="1:58" x14ac:dyDescent="0.45">
      <c r="A1183">
        <v>11182</v>
      </c>
      <c r="B1183">
        <v>1</v>
      </c>
      <c r="C1183">
        <v>82.8</v>
      </c>
      <c r="D1183">
        <v>6.2</v>
      </c>
      <c r="E1183">
        <v>0</v>
      </c>
      <c r="F1183">
        <v>1.5</v>
      </c>
      <c r="G1183">
        <v>0</v>
      </c>
      <c r="H1183">
        <v>0</v>
      </c>
      <c r="I1183">
        <v>0</v>
      </c>
      <c r="J1183">
        <v>2.6</v>
      </c>
      <c r="K1183">
        <v>2.7</v>
      </c>
      <c r="L1183">
        <v>4.2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Z1183">
        <v>0</v>
      </c>
      <c r="AA1183">
        <v>0</v>
      </c>
      <c r="AB1183">
        <v>1</v>
      </c>
      <c r="AC1183">
        <v>0</v>
      </c>
      <c r="AD1183">
        <v>1</v>
      </c>
      <c r="AE1183">
        <v>910</v>
      </c>
      <c r="AF1183">
        <v>1</v>
      </c>
      <c r="AG1183">
        <v>0</v>
      </c>
      <c r="AH1183">
        <v>1</v>
      </c>
      <c r="AI1183">
        <v>0</v>
      </c>
      <c r="AJ1183">
        <v>1</v>
      </c>
      <c r="AK1183">
        <v>590</v>
      </c>
      <c r="AL1183">
        <v>4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1.1560000000000006</v>
      </c>
      <c r="AX1183">
        <v>6.6333333333333337</v>
      </c>
      <c r="AY1183">
        <v>819.03</v>
      </c>
      <c r="BA1183">
        <v>1258</v>
      </c>
      <c r="BB1183">
        <v>1331</v>
      </c>
      <c r="BC1183">
        <v>9.8000000000000007</v>
      </c>
      <c r="BE1183" t="s">
        <v>353</v>
      </c>
      <c r="BF1183" t="s">
        <v>196</v>
      </c>
    </row>
    <row r="1184" spans="1:58" x14ac:dyDescent="0.45">
      <c r="A1184">
        <v>11183</v>
      </c>
      <c r="B1184">
        <v>1</v>
      </c>
      <c r="C1184">
        <v>82.8</v>
      </c>
      <c r="D1184">
        <v>6.2</v>
      </c>
      <c r="E1184">
        <v>0</v>
      </c>
      <c r="F1184">
        <v>1.5</v>
      </c>
      <c r="G1184">
        <v>0</v>
      </c>
      <c r="H1184">
        <v>0</v>
      </c>
      <c r="I1184">
        <v>0</v>
      </c>
      <c r="J1184">
        <v>2.6</v>
      </c>
      <c r="K1184">
        <v>2.7</v>
      </c>
      <c r="L1184">
        <v>4.2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910</v>
      </c>
      <c r="AF1184">
        <v>1</v>
      </c>
      <c r="AJ1184">
        <v>1</v>
      </c>
      <c r="AK1184">
        <v>590</v>
      </c>
      <c r="AL1184">
        <v>4</v>
      </c>
      <c r="AM1184">
        <v>0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1.1560000000000006</v>
      </c>
      <c r="AX1184">
        <v>6.6333333333333337</v>
      </c>
      <c r="AY1184">
        <v>819.03</v>
      </c>
      <c r="BA1184">
        <v>1113</v>
      </c>
      <c r="BB1184">
        <v>1188</v>
      </c>
      <c r="BC1184">
        <v>13</v>
      </c>
      <c r="BE1184" t="s">
        <v>353</v>
      </c>
      <c r="BF1184" t="s">
        <v>196</v>
      </c>
    </row>
    <row r="1185" spans="1:58" x14ac:dyDescent="0.45">
      <c r="A1185">
        <v>11184</v>
      </c>
      <c r="B1185">
        <v>1</v>
      </c>
      <c r="C1185">
        <v>82.8</v>
      </c>
      <c r="D1185">
        <v>6.2</v>
      </c>
      <c r="E1185">
        <v>0</v>
      </c>
      <c r="F1185">
        <v>1.5</v>
      </c>
      <c r="G1185">
        <v>0</v>
      </c>
      <c r="H1185">
        <v>0</v>
      </c>
      <c r="I1185">
        <v>0</v>
      </c>
      <c r="J1185">
        <v>2.6</v>
      </c>
      <c r="K1185">
        <v>2.7</v>
      </c>
      <c r="L1185">
        <v>4.2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Z1185">
        <v>0</v>
      </c>
      <c r="AA1185">
        <v>0</v>
      </c>
      <c r="AB1185">
        <v>1</v>
      </c>
      <c r="AC1185">
        <v>0</v>
      </c>
      <c r="AD1185">
        <v>1</v>
      </c>
      <c r="AE1185">
        <v>910</v>
      </c>
      <c r="AF1185">
        <v>1</v>
      </c>
      <c r="AG1185">
        <v>0</v>
      </c>
      <c r="AH1185">
        <v>0</v>
      </c>
      <c r="AI1185">
        <v>1</v>
      </c>
      <c r="AJ1185">
        <v>1</v>
      </c>
      <c r="AK1185">
        <v>590</v>
      </c>
      <c r="AL1185">
        <v>4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1.1560000000000006</v>
      </c>
      <c r="AX1185">
        <v>6.6333333333333337</v>
      </c>
      <c r="AY1185">
        <v>819.03</v>
      </c>
      <c r="BA1185">
        <v>1001</v>
      </c>
      <c r="BB1185">
        <v>1048</v>
      </c>
      <c r="BC1185">
        <v>20.3</v>
      </c>
      <c r="BE1185" t="s">
        <v>353</v>
      </c>
      <c r="BF1185" t="s">
        <v>196</v>
      </c>
    </row>
    <row r="1186" spans="1:58" x14ac:dyDescent="0.45">
      <c r="A1186">
        <v>11185</v>
      </c>
      <c r="B1186">
        <v>0</v>
      </c>
      <c r="C1186">
        <v>81.05</v>
      </c>
      <c r="D1186">
        <v>5.01</v>
      </c>
      <c r="E1186">
        <v>4.9800000000000004</v>
      </c>
      <c r="F1186">
        <v>2.99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4.97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860</v>
      </c>
      <c r="AF1186">
        <v>2</v>
      </c>
      <c r="AG1186">
        <v>0</v>
      </c>
      <c r="AH1186">
        <v>0</v>
      </c>
      <c r="AI1186">
        <v>1</v>
      </c>
      <c r="AJ1186">
        <v>1</v>
      </c>
      <c r="AK1186">
        <v>610</v>
      </c>
      <c r="AL1186">
        <v>3</v>
      </c>
      <c r="AM1186">
        <v>0</v>
      </c>
      <c r="AN1186">
        <v>1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8.0806000000000004</v>
      </c>
      <c r="AX1186">
        <v>5.1766666666666667</v>
      </c>
      <c r="AY1186">
        <v>743.46299999999997</v>
      </c>
      <c r="BE1186" t="s">
        <v>353</v>
      </c>
      <c r="BF1186" t="s">
        <v>199</v>
      </c>
    </row>
    <row r="1187" spans="1:58" x14ac:dyDescent="0.45">
      <c r="A1187">
        <v>11186</v>
      </c>
      <c r="B1187">
        <v>0</v>
      </c>
      <c r="C1187">
        <v>81.05</v>
      </c>
      <c r="D1187">
        <v>5.01</v>
      </c>
      <c r="E1187">
        <v>4.9800000000000004</v>
      </c>
      <c r="F1187">
        <v>2.99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4.97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Z1187">
        <v>0</v>
      </c>
      <c r="AA1187">
        <v>0</v>
      </c>
      <c r="AB1187">
        <v>1</v>
      </c>
      <c r="AC1187">
        <v>0</v>
      </c>
      <c r="AD1187">
        <v>1</v>
      </c>
      <c r="AE1187">
        <v>860</v>
      </c>
      <c r="AF1187">
        <v>2</v>
      </c>
      <c r="AG1187">
        <v>0</v>
      </c>
      <c r="AH1187">
        <v>0</v>
      </c>
      <c r="AI1187">
        <v>1</v>
      </c>
      <c r="AJ1187">
        <v>1</v>
      </c>
      <c r="AK1187">
        <v>640</v>
      </c>
      <c r="AL1187">
        <v>3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8.0806000000000004</v>
      </c>
      <c r="AX1187">
        <v>5.1766666666666667</v>
      </c>
      <c r="AY1187">
        <v>743.46299999999997</v>
      </c>
      <c r="BE1187" t="s">
        <v>353</v>
      </c>
      <c r="BF1187" t="s">
        <v>199</v>
      </c>
    </row>
    <row r="1188" spans="1:58" x14ac:dyDescent="0.45">
      <c r="A1188">
        <v>11187</v>
      </c>
      <c r="B1188">
        <v>0</v>
      </c>
      <c r="C1188">
        <v>81.05</v>
      </c>
      <c r="D1188">
        <v>5.01</v>
      </c>
      <c r="E1188">
        <v>4.9800000000000004</v>
      </c>
      <c r="F1188">
        <v>2.99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4.97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860</v>
      </c>
      <c r="AF1188">
        <v>2</v>
      </c>
      <c r="AG1188">
        <v>0</v>
      </c>
      <c r="AH1188">
        <v>0</v>
      </c>
      <c r="AI1188">
        <v>1</v>
      </c>
      <c r="AJ1188">
        <v>1</v>
      </c>
      <c r="AK1188">
        <v>670</v>
      </c>
      <c r="AL1188">
        <v>3</v>
      </c>
      <c r="AM1188">
        <v>0</v>
      </c>
      <c r="AN1188">
        <v>1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8.0806000000000004</v>
      </c>
      <c r="AX1188">
        <v>5.1766666666666667</v>
      </c>
      <c r="AY1188">
        <v>743.46299999999997</v>
      </c>
      <c r="BE1188" t="s">
        <v>353</v>
      </c>
      <c r="BF1188" t="s">
        <v>199</v>
      </c>
    </row>
    <row r="1189" spans="1:58" x14ac:dyDescent="0.45">
      <c r="A1189">
        <v>11188</v>
      </c>
      <c r="B1189">
        <v>0</v>
      </c>
      <c r="C1189">
        <v>93.352599999999995</v>
      </c>
      <c r="D1189">
        <v>2.61</v>
      </c>
      <c r="E1189">
        <v>0</v>
      </c>
      <c r="F1189">
        <v>0</v>
      </c>
      <c r="G1189">
        <v>0</v>
      </c>
      <c r="H1189">
        <v>1.7000000000000001E-2</v>
      </c>
      <c r="I1189">
        <v>0</v>
      </c>
      <c r="J1189">
        <v>3.07</v>
      </c>
      <c r="K1189">
        <v>0.02</v>
      </c>
      <c r="L1189">
        <v>0.86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1050</v>
      </c>
      <c r="Z1189">
        <v>0</v>
      </c>
      <c r="AA1189">
        <v>0</v>
      </c>
      <c r="AB1189">
        <v>1</v>
      </c>
      <c r="AC1189">
        <v>0</v>
      </c>
      <c r="AD1189">
        <v>1</v>
      </c>
      <c r="AE1189">
        <v>950</v>
      </c>
      <c r="AF1189">
        <v>1</v>
      </c>
      <c r="AG1189">
        <v>0</v>
      </c>
      <c r="AH1189">
        <v>0</v>
      </c>
      <c r="AI1189">
        <v>1</v>
      </c>
      <c r="AJ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-1.6950999999999998</v>
      </c>
      <c r="AX1189">
        <v>3.1216666666666666</v>
      </c>
      <c r="AY1189">
        <v>857.86620000000005</v>
      </c>
      <c r="BF1189" t="s">
        <v>202</v>
      </c>
    </row>
    <row r="1190" spans="1:58" x14ac:dyDescent="0.45">
      <c r="A1190">
        <v>11189</v>
      </c>
      <c r="B1190">
        <v>0</v>
      </c>
      <c r="C1190">
        <v>93.352599999999995</v>
      </c>
      <c r="D1190">
        <v>2.61</v>
      </c>
      <c r="E1190">
        <v>0</v>
      </c>
      <c r="F1190">
        <v>0</v>
      </c>
      <c r="G1190">
        <v>0</v>
      </c>
      <c r="H1190">
        <v>1.7000000000000001E-2</v>
      </c>
      <c r="I1190">
        <v>0</v>
      </c>
      <c r="J1190">
        <v>3.07</v>
      </c>
      <c r="K1190">
        <v>0.02</v>
      </c>
      <c r="L1190">
        <v>0.86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1050</v>
      </c>
      <c r="Z1190">
        <v>0</v>
      </c>
      <c r="AA1190">
        <v>0</v>
      </c>
      <c r="AB1190">
        <v>1</v>
      </c>
      <c r="AC1190">
        <v>0</v>
      </c>
      <c r="AD1190">
        <v>1</v>
      </c>
      <c r="AE1190">
        <v>950</v>
      </c>
      <c r="AF1190">
        <v>1</v>
      </c>
      <c r="AG1190">
        <v>0</v>
      </c>
      <c r="AH1190">
        <v>0</v>
      </c>
      <c r="AI1190">
        <v>1</v>
      </c>
      <c r="AJ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-1.6950999999999998</v>
      </c>
      <c r="AX1190">
        <v>3.1216666666666666</v>
      </c>
      <c r="AY1190">
        <v>857.86620000000005</v>
      </c>
      <c r="BF1190" t="s">
        <v>202</v>
      </c>
    </row>
    <row r="1191" spans="1:58" x14ac:dyDescent="0.45">
      <c r="A1191">
        <v>11190</v>
      </c>
      <c r="B1191">
        <v>0</v>
      </c>
      <c r="C1191">
        <v>93.352599999999995</v>
      </c>
      <c r="D1191">
        <v>2.61</v>
      </c>
      <c r="E1191">
        <v>0</v>
      </c>
      <c r="F1191">
        <v>0</v>
      </c>
      <c r="G1191">
        <v>0</v>
      </c>
      <c r="H1191">
        <v>1.7000000000000001E-2</v>
      </c>
      <c r="I1191">
        <v>0</v>
      </c>
      <c r="J1191">
        <v>3.07</v>
      </c>
      <c r="K1191">
        <v>0.02</v>
      </c>
      <c r="L1191">
        <v>0.86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1050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950</v>
      </c>
      <c r="AF1191">
        <v>1</v>
      </c>
      <c r="AG1191">
        <v>0</v>
      </c>
      <c r="AH1191">
        <v>0</v>
      </c>
      <c r="AI1191">
        <v>1</v>
      </c>
      <c r="AJ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-1.6950999999999998</v>
      </c>
      <c r="AX1191">
        <v>3.1216666666666666</v>
      </c>
      <c r="AY1191">
        <v>857.86620000000005</v>
      </c>
      <c r="BF1191" t="s">
        <v>202</v>
      </c>
    </row>
    <row r="1192" spans="1:58" x14ac:dyDescent="0.45">
      <c r="A1192">
        <v>11191</v>
      </c>
      <c r="B1192">
        <v>0</v>
      </c>
      <c r="C1192">
        <v>93.352599999999995</v>
      </c>
      <c r="D1192">
        <v>2.61</v>
      </c>
      <c r="E1192">
        <v>0</v>
      </c>
      <c r="F1192">
        <v>0</v>
      </c>
      <c r="G1192">
        <v>0</v>
      </c>
      <c r="H1192">
        <v>1.7000000000000001E-2</v>
      </c>
      <c r="I1192">
        <v>0</v>
      </c>
      <c r="J1192">
        <v>3.07</v>
      </c>
      <c r="K1192">
        <v>0.02</v>
      </c>
      <c r="L1192">
        <v>0.86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1050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950</v>
      </c>
      <c r="AF1192">
        <v>1</v>
      </c>
      <c r="AG1192">
        <v>0</v>
      </c>
      <c r="AH1192">
        <v>0</v>
      </c>
      <c r="AI1192">
        <v>1</v>
      </c>
      <c r="AJ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-1.6950999999999998</v>
      </c>
      <c r="AX1192">
        <v>3.1216666666666666</v>
      </c>
      <c r="AY1192">
        <v>857.86620000000005</v>
      </c>
      <c r="BF1192" t="s">
        <v>202</v>
      </c>
    </row>
    <row r="1193" spans="1:58" x14ac:dyDescent="0.45">
      <c r="A1193">
        <v>11192</v>
      </c>
      <c r="B1193">
        <v>0</v>
      </c>
      <c r="C1193">
        <v>93.352599999999995</v>
      </c>
      <c r="D1193">
        <v>2.61</v>
      </c>
      <c r="E1193">
        <v>0</v>
      </c>
      <c r="F1193">
        <v>0</v>
      </c>
      <c r="G1193">
        <v>0</v>
      </c>
      <c r="H1193">
        <v>1.7000000000000001E-2</v>
      </c>
      <c r="I1193">
        <v>0</v>
      </c>
      <c r="J1193">
        <v>3.07</v>
      </c>
      <c r="K1193">
        <v>0.02</v>
      </c>
      <c r="L1193">
        <v>0.86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1050</v>
      </c>
      <c r="Z1193">
        <v>0</v>
      </c>
      <c r="AA1193">
        <v>0</v>
      </c>
      <c r="AB1193">
        <v>1</v>
      </c>
      <c r="AC1193">
        <v>0</v>
      </c>
      <c r="AD1193">
        <v>1</v>
      </c>
      <c r="AE1193">
        <v>950</v>
      </c>
      <c r="AF1193">
        <v>1</v>
      </c>
      <c r="AG1193">
        <v>0</v>
      </c>
      <c r="AH1193">
        <v>0</v>
      </c>
      <c r="AI1193">
        <v>1</v>
      </c>
      <c r="AJ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-1.6950999999999998</v>
      </c>
      <c r="AX1193">
        <v>3.1216666666666666</v>
      </c>
      <c r="AY1193">
        <v>857.86620000000005</v>
      </c>
      <c r="BF1193" t="s">
        <v>202</v>
      </c>
    </row>
    <row r="1194" spans="1:58" x14ac:dyDescent="0.45">
      <c r="A1194">
        <v>11193</v>
      </c>
      <c r="B1194">
        <v>1</v>
      </c>
      <c r="C1194">
        <v>87.11</v>
      </c>
      <c r="D1194">
        <v>6.11</v>
      </c>
      <c r="E1194">
        <v>0</v>
      </c>
      <c r="F1194">
        <v>1.71</v>
      </c>
      <c r="G1194">
        <v>0</v>
      </c>
      <c r="H1194">
        <v>0</v>
      </c>
      <c r="I1194">
        <v>0</v>
      </c>
      <c r="J1194">
        <v>1.01</v>
      </c>
      <c r="K1194">
        <v>1.03</v>
      </c>
      <c r="L1194">
        <v>2.1</v>
      </c>
      <c r="M1194">
        <v>0.93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Z1194">
        <v>0</v>
      </c>
      <c r="AA1194">
        <v>0</v>
      </c>
      <c r="AB1194">
        <v>1</v>
      </c>
      <c r="AC1194">
        <v>0</v>
      </c>
      <c r="AD1194">
        <v>1</v>
      </c>
      <c r="AE1194">
        <v>910</v>
      </c>
      <c r="AF1194">
        <v>2</v>
      </c>
      <c r="AG1194">
        <v>1</v>
      </c>
      <c r="AH1194">
        <v>0</v>
      </c>
      <c r="AI1194">
        <v>0</v>
      </c>
      <c r="AJ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-0.98559999999999981</v>
      </c>
      <c r="AX1194">
        <v>6.5883333333333329</v>
      </c>
      <c r="AY1194">
        <v>851.12699999999984</v>
      </c>
      <c r="BB1194">
        <v>1144</v>
      </c>
      <c r="BC1194">
        <v>15</v>
      </c>
      <c r="BF1194" t="s">
        <v>203</v>
      </c>
    </row>
    <row r="1195" spans="1:58" x14ac:dyDescent="0.45">
      <c r="A1195">
        <v>11194</v>
      </c>
      <c r="B1195">
        <v>1</v>
      </c>
      <c r="C1195">
        <v>87.11</v>
      </c>
      <c r="D1195">
        <v>6.11</v>
      </c>
      <c r="E1195">
        <v>0</v>
      </c>
      <c r="F1195">
        <v>1.71</v>
      </c>
      <c r="G1195">
        <v>0</v>
      </c>
      <c r="H1195">
        <v>0</v>
      </c>
      <c r="I1195">
        <v>0</v>
      </c>
      <c r="J1195">
        <v>1.01</v>
      </c>
      <c r="K1195">
        <v>1.03</v>
      </c>
      <c r="L1195">
        <v>2.1</v>
      </c>
      <c r="M1195">
        <v>0.93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Z1195">
        <v>0</v>
      </c>
      <c r="AA1195">
        <v>0</v>
      </c>
      <c r="AB1195">
        <v>1</v>
      </c>
      <c r="AC1195">
        <v>0</v>
      </c>
      <c r="AD1195">
        <v>1</v>
      </c>
      <c r="AE1195">
        <v>930</v>
      </c>
      <c r="AF1195">
        <v>2</v>
      </c>
      <c r="AG1195">
        <v>1</v>
      </c>
      <c r="AH1195">
        <v>0</v>
      </c>
      <c r="AI1195">
        <v>0</v>
      </c>
      <c r="AJ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-0.98559999999999981</v>
      </c>
      <c r="AX1195">
        <v>6.5883333333333329</v>
      </c>
      <c r="AY1195">
        <v>851.12699999999984</v>
      </c>
      <c r="BB1195">
        <v>1205</v>
      </c>
      <c r="BC1195">
        <v>11</v>
      </c>
      <c r="BF1195" t="s">
        <v>203</v>
      </c>
    </row>
    <row r="1196" spans="1:58" x14ac:dyDescent="0.45">
      <c r="A1196">
        <v>11195</v>
      </c>
      <c r="B1196">
        <v>1</v>
      </c>
      <c r="C1196">
        <v>87.11</v>
      </c>
      <c r="D1196">
        <v>6.11</v>
      </c>
      <c r="E1196">
        <v>0</v>
      </c>
      <c r="F1196">
        <v>1.71</v>
      </c>
      <c r="G1196">
        <v>0</v>
      </c>
      <c r="H1196">
        <v>0</v>
      </c>
      <c r="I1196">
        <v>0</v>
      </c>
      <c r="J1196">
        <v>1.01</v>
      </c>
      <c r="K1196">
        <v>1.03</v>
      </c>
      <c r="L1196">
        <v>2.1</v>
      </c>
      <c r="M1196">
        <v>0.93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Z1196">
        <v>0</v>
      </c>
      <c r="AA1196">
        <v>0</v>
      </c>
      <c r="AB1196">
        <v>1</v>
      </c>
      <c r="AC1196">
        <v>0</v>
      </c>
      <c r="AD1196">
        <v>1</v>
      </c>
      <c r="AE1196">
        <v>950</v>
      </c>
      <c r="AF1196">
        <v>2</v>
      </c>
      <c r="AG1196">
        <v>1</v>
      </c>
      <c r="AH1196">
        <v>0</v>
      </c>
      <c r="AI1196">
        <v>0</v>
      </c>
      <c r="AJ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-0.98559999999999981</v>
      </c>
      <c r="AX1196">
        <v>6.5883333333333329</v>
      </c>
      <c r="AY1196">
        <v>851.12699999999984</v>
      </c>
      <c r="BB1196">
        <v>1322</v>
      </c>
      <c r="BC1196">
        <v>7</v>
      </c>
      <c r="BF1196" t="s">
        <v>203</v>
      </c>
    </row>
    <row r="1197" spans="1:58" x14ac:dyDescent="0.45">
      <c r="A1197">
        <v>11196</v>
      </c>
      <c r="B1197">
        <v>1</v>
      </c>
      <c r="C1197">
        <v>87.11</v>
      </c>
      <c r="D1197">
        <v>6.11</v>
      </c>
      <c r="E1197">
        <v>0</v>
      </c>
      <c r="F1197">
        <v>1.71</v>
      </c>
      <c r="G1197">
        <v>0</v>
      </c>
      <c r="H1197">
        <v>0</v>
      </c>
      <c r="I1197">
        <v>0</v>
      </c>
      <c r="J1197">
        <v>1.01</v>
      </c>
      <c r="K1197">
        <v>1.03</v>
      </c>
      <c r="L1197">
        <v>2.1</v>
      </c>
      <c r="M1197">
        <v>0.93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Z1197">
        <v>0</v>
      </c>
      <c r="AA1197">
        <v>0</v>
      </c>
      <c r="AB1197">
        <v>1</v>
      </c>
      <c r="AC1197">
        <v>0</v>
      </c>
      <c r="AD1197">
        <v>1</v>
      </c>
      <c r="AE1197">
        <v>970</v>
      </c>
      <c r="AF1197">
        <v>2</v>
      </c>
      <c r="AG1197">
        <v>1</v>
      </c>
      <c r="AH1197">
        <v>0</v>
      </c>
      <c r="AI1197">
        <v>0</v>
      </c>
      <c r="AJ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-0.98559999999999981</v>
      </c>
      <c r="AX1197">
        <v>6.5883333333333329</v>
      </c>
      <c r="AY1197">
        <v>851.12699999999984</v>
      </c>
      <c r="BB1197">
        <v>1215</v>
      </c>
      <c r="BC1197">
        <v>2.4500000000000002</v>
      </c>
      <c r="BF1197" t="s">
        <v>203</v>
      </c>
    </row>
    <row r="1198" spans="1:58" x14ac:dyDescent="0.45">
      <c r="A1198">
        <v>11197</v>
      </c>
      <c r="B1198">
        <v>1</v>
      </c>
      <c r="C1198">
        <v>87.11</v>
      </c>
      <c r="D1198">
        <v>6.11</v>
      </c>
      <c r="E1198">
        <v>0</v>
      </c>
      <c r="F1198">
        <v>1.71</v>
      </c>
      <c r="G1198">
        <v>0</v>
      </c>
      <c r="H1198">
        <v>0</v>
      </c>
      <c r="I1198">
        <v>0</v>
      </c>
      <c r="J1198">
        <v>1.01</v>
      </c>
      <c r="K1198">
        <v>1.03</v>
      </c>
      <c r="L1198">
        <v>2.1</v>
      </c>
      <c r="M1198">
        <v>0.93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990</v>
      </c>
      <c r="AF1198">
        <v>2</v>
      </c>
      <c r="AG1198">
        <v>1</v>
      </c>
      <c r="AH1198">
        <v>0</v>
      </c>
      <c r="AI1198">
        <v>0</v>
      </c>
      <c r="AJ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-0.98559999999999981</v>
      </c>
      <c r="AX1198">
        <v>6.5883333333333329</v>
      </c>
      <c r="AY1198">
        <v>851.12699999999984</v>
      </c>
      <c r="BB1198">
        <v>1213</v>
      </c>
      <c r="BC1198">
        <v>2.4500000000000002</v>
      </c>
      <c r="BF1198" t="s">
        <v>203</v>
      </c>
    </row>
    <row r="1199" spans="1:58" x14ac:dyDescent="0.45">
      <c r="A1199">
        <v>11198</v>
      </c>
      <c r="B1199">
        <v>1</v>
      </c>
      <c r="C1199">
        <v>87.11</v>
      </c>
      <c r="D1199">
        <v>6.11</v>
      </c>
      <c r="E1199">
        <v>0</v>
      </c>
      <c r="F1199">
        <v>1.71</v>
      </c>
      <c r="G1199">
        <v>0</v>
      </c>
      <c r="H1199">
        <v>0</v>
      </c>
      <c r="I1199">
        <v>0</v>
      </c>
      <c r="J1199">
        <v>1.01</v>
      </c>
      <c r="K1199">
        <v>1.03</v>
      </c>
      <c r="L1199">
        <v>2.1</v>
      </c>
      <c r="M1199">
        <v>0.93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1010</v>
      </c>
      <c r="AF1199">
        <v>2</v>
      </c>
      <c r="AG1199">
        <v>1</v>
      </c>
      <c r="AH1199">
        <v>0</v>
      </c>
      <c r="AI1199">
        <v>0</v>
      </c>
      <c r="AJ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-0.98559999999999981</v>
      </c>
      <c r="AX1199">
        <v>6.5883333333333329</v>
      </c>
      <c r="AY1199">
        <v>851.12699999999984</v>
      </c>
      <c r="BB1199">
        <v>1210</v>
      </c>
      <c r="BC1199">
        <v>1.98</v>
      </c>
      <c r="BF1199" t="s">
        <v>203</v>
      </c>
    </row>
    <row r="1200" spans="1:58" x14ac:dyDescent="0.45">
      <c r="A1200">
        <v>11199</v>
      </c>
      <c r="B1200">
        <v>1</v>
      </c>
      <c r="C1200">
        <v>80.477999999999994</v>
      </c>
      <c r="D1200">
        <v>5.01</v>
      </c>
      <c r="E1200">
        <v>4.9800000000000004</v>
      </c>
      <c r="F1200">
        <v>2.99</v>
      </c>
      <c r="G1200">
        <v>0</v>
      </c>
      <c r="H1200">
        <v>0.37</v>
      </c>
      <c r="I1200">
        <v>0</v>
      </c>
      <c r="J1200">
        <v>1</v>
      </c>
      <c r="K1200">
        <v>0</v>
      </c>
      <c r="L1200">
        <v>4.97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Z1200">
        <v>0</v>
      </c>
      <c r="AA1200">
        <v>0</v>
      </c>
      <c r="AB1200">
        <v>1</v>
      </c>
      <c r="AC1200">
        <v>0</v>
      </c>
      <c r="AD1200">
        <v>1</v>
      </c>
      <c r="AE1200">
        <v>760</v>
      </c>
      <c r="AF1200">
        <v>0.5</v>
      </c>
      <c r="AG1200">
        <v>0</v>
      </c>
      <c r="AH1200">
        <v>1</v>
      </c>
      <c r="AI1200">
        <v>0</v>
      </c>
      <c r="AJ1200">
        <v>1</v>
      </c>
      <c r="AK1200">
        <v>600</v>
      </c>
      <c r="AL1200">
        <v>6</v>
      </c>
      <c r="AM1200">
        <v>0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9.1536000000000008</v>
      </c>
      <c r="AX1200">
        <v>5.1766666666666667</v>
      </c>
      <c r="AY1200">
        <v>737.76499999999999</v>
      </c>
      <c r="BA1200">
        <v>1028</v>
      </c>
      <c r="BB1200">
        <v>1274</v>
      </c>
      <c r="BC1200">
        <v>4</v>
      </c>
      <c r="BF1200" t="s">
        <v>208</v>
      </c>
    </row>
    <row r="1201" spans="1:58" x14ac:dyDescent="0.45">
      <c r="A1201">
        <v>11200</v>
      </c>
      <c r="B1201">
        <v>1</v>
      </c>
      <c r="C1201">
        <v>80.477999999999994</v>
      </c>
      <c r="D1201">
        <v>5.01</v>
      </c>
      <c r="E1201">
        <v>4.9800000000000004</v>
      </c>
      <c r="F1201">
        <v>2.99</v>
      </c>
      <c r="G1201">
        <v>0</v>
      </c>
      <c r="H1201">
        <v>0.37</v>
      </c>
      <c r="I1201">
        <v>0</v>
      </c>
      <c r="J1201">
        <v>1</v>
      </c>
      <c r="K1201">
        <v>0</v>
      </c>
      <c r="L1201">
        <v>4.97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Z1201">
        <v>0</v>
      </c>
      <c r="AA1201">
        <v>0</v>
      </c>
      <c r="AB1201">
        <v>1</v>
      </c>
      <c r="AC1201">
        <v>0</v>
      </c>
      <c r="AD1201">
        <v>1</v>
      </c>
      <c r="AE1201">
        <v>730</v>
      </c>
      <c r="AF1201">
        <v>0.5</v>
      </c>
      <c r="AG1201">
        <v>0</v>
      </c>
      <c r="AH1201">
        <v>1</v>
      </c>
      <c r="AI1201">
        <v>0</v>
      </c>
      <c r="AJ1201">
        <v>1</v>
      </c>
      <c r="AK1201">
        <v>600</v>
      </c>
      <c r="AL1201">
        <v>6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9.1536000000000008</v>
      </c>
      <c r="AX1201">
        <v>5.1766666666666667</v>
      </c>
      <c r="AY1201">
        <v>737.76499999999999</v>
      </c>
      <c r="BA1201">
        <v>1175</v>
      </c>
      <c r="BB1201">
        <v>1240</v>
      </c>
      <c r="BC1201">
        <v>4.5999999999999996</v>
      </c>
      <c r="BF1201" t="s">
        <v>208</v>
      </c>
    </row>
    <row r="1202" spans="1:58" x14ac:dyDescent="0.45">
      <c r="A1202">
        <v>11201</v>
      </c>
      <c r="B1202">
        <v>1</v>
      </c>
      <c r="C1202">
        <v>80.477999999999994</v>
      </c>
      <c r="D1202">
        <v>5.01</v>
      </c>
      <c r="E1202">
        <v>4.9800000000000004</v>
      </c>
      <c r="F1202">
        <v>2.99</v>
      </c>
      <c r="G1202">
        <v>0</v>
      </c>
      <c r="H1202">
        <v>0.37</v>
      </c>
      <c r="I1202">
        <v>0</v>
      </c>
      <c r="J1202">
        <v>1</v>
      </c>
      <c r="K1202">
        <v>0</v>
      </c>
      <c r="L1202">
        <v>4.97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Z1202">
        <v>0</v>
      </c>
      <c r="AA1202">
        <v>0</v>
      </c>
      <c r="AB1202">
        <v>1</v>
      </c>
      <c r="AC1202">
        <v>0</v>
      </c>
      <c r="AD1202">
        <v>1</v>
      </c>
      <c r="AE1202">
        <v>700</v>
      </c>
      <c r="AF1202">
        <v>0.5</v>
      </c>
      <c r="AG1202">
        <v>0</v>
      </c>
      <c r="AH1202">
        <v>1</v>
      </c>
      <c r="AI1202">
        <v>0</v>
      </c>
      <c r="AJ1202">
        <v>1</v>
      </c>
      <c r="AK1202">
        <v>600</v>
      </c>
      <c r="AL1202">
        <v>6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9.1536000000000008</v>
      </c>
      <c r="AX1202">
        <v>5.1766666666666667</v>
      </c>
      <c r="AY1202">
        <v>737.76499999999999</v>
      </c>
      <c r="BA1202">
        <v>1128</v>
      </c>
      <c r="BB1202">
        <v>1194</v>
      </c>
      <c r="BC1202">
        <v>7.3</v>
      </c>
      <c r="BF1202" t="s">
        <v>208</v>
      </c>
    </row>
    <row r="1203" spans="1:58" x14ac:dyDescent="0.45">
      <c r="A1203">
        <v>11202</v>
      </c>
      <c r="B1203">
        <v>0</v>
      </c>
      <c r="C1203">
        <v>82.656999999999996</v>
      </c>
      <c r="D1203">
        <v>5.0199999999999996</v>
      </c>
      <c r="E1203">
        <v>0</v>
      </c>
      <c r="F1203">
        <v>3.93</v>
      </c>
      <c r="G1203">
        <v>0</v>
      </c>
      <c r="H1203">
        <v>0.05</v>
      </c>
      <c r="I1203">
        <v>0</v>
      </c>
      <c r="J1203">
        <v>1.95</v>
      </c>
      <c r="K1203">
        <v>0</v>
      </c>
      <c r="L1203">
        <v>3.88</v>
      </c>
      <c r="M1203">
        <v>2.37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820</v>
      </c>
      <c r="Y1203">
        <v>20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820</v>
      </c>
      <c r="AF1203">
        <v>4</v>
      </c>
      <c r="AG1203">
        <v>1</v>
      </c>
      <c r="AH1203">
        <v>0</v>
      </c>
      <c r="AI1203">
        <v>0</v>
      </c>
      <c r="AJ1203">
        <v>1</v>
      </c>
      <c r="AK1203">
        <v>630</v>
      </c>
      <c r="AL1203">
        <v>8</v>
      </c>
      <c r="AM1203">
        <v>0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5.2929999999999993</v>
      </c>
      <c r="AX1203">
        <v>6.1349999999999998</v>
      </c>
      <c r="AY1203">
        <v>803.85799999999995</v>
      </c>
      <c r="BF1203" t="s">
        <v>211</v>
      </c>
    </row>
    <row r="1204" spans="1:58" x14ac:dyDescent="0.45">
      <c r="A1204">
        <v>11203</v>
      </c>
      <c r="B1204">
        <v>0</v>
      </c>
      <c r="C1204">
        <v>82.656999999999996</v>
      </c>
      <c r="D1204">
        <v>5.0199999999999996</v>
      </c>
      <c r="E1204">
        <v>0</v>
      </c>
      <c r="F1204">
        <v>3.93</v>
      </c>
      <c r="G1204">
        <v>0</v>
      </c>
      <c r="H1204">
        <v>0.05</v>
      </c>
      <c r="I1204">
        <v>0</v>
      </c>
      <c r="J1204">
        <v>1.95</v>
      </c>
      <c r="K1204">
        <v>0</v>
      </c>
      <c r="L1204">
        <v>3.88</v>
      </c>
      <c r="M1204">
        <v>2.37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820</v>
      </c>
      <c r="Y1204">
        <v>40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820</v>
      </c>
      <c r="AF1204">
        <v>4</v>
      </c>
      <c r="AG1204">
        <v>1</v>
      </c>
      <c r="AH1204">
        <v>0</v>
      </c>
      <c r="AI1204">
        <v>0</v>
      </c>
      <c r="AJ1204">
        <v>1</v>
      </c>
      <c r="AK1204">
        <v>630</v>
      </c>
      <c r="AL1204">
        <v>8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5.2929999999999993</v>
      </c>
      <c r="AX1204">
        <v>6.1349999999999998</v>
      </c>
      <c r="AY1204">
        <v>803.85799999999995</v>
      </c>
      <c r="BF1204" t="s">
        <v>211</v>
      </c>
    </row>
    <row r="1205" spans="1:58" x14ac:dyDescent="0.45">
      <c r="A1205">
        <v>11204</v>
      </c>
      <c r="B1205">
        <v>0</v>
      </c>
      <c r="C1205">
        <v>82.656999999999996</v>
      </c>
      <c r="D1205">
        <v>5.0199999999999996</v>
      </c>
      <c r="E1205">
        <v>0</v>
      </c>
      <c r="F1205">
        <v>3.93</v>
      </c>
      <c r="G1205">
        <v>0</v>
      </c>
      <c r="H1205">
        <v>0.05</v>
      </c>
      <c r="I1205">
        <v>0</v>
      </c>
      <c r="J1205">
        <v>1.95</v>
      </c>
      <c r="K1205">
        <v>0</v>
      </c>
      <c r="L1205">
        <v>3.88</v>
      </c>
      <c r="M1205">
        <v>2.37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820</v>
      </c>
      <c r="Y1205">
        <v>60</v>
      </c>
      <c r="Z1205">
        <v>0</v>
      </c>
      <c r="AA1205">
        <v>0</v>
      </c>
      <c r="AB1205">
        <v>1</v>
      </c>
      <c r="AC1205">
        <v>0</v>
      </c>
      <c r="AD1205">
        <v>1</v>
      </c>
      <c r="AE1205">
        <v>820</v>
      </c>
      <c r="AF1205">
        <v>4</v>
      </c>
      <c r="AG1205">
        <v>1</v>
      </c>
      <c r="AH1205">
        <v>0</v>
      </c>
      <c r="AI1205">
        <v>0</v>
      </c>
      <c r="AJ1205">
        <v>1</v>
      </c>
      <c r="AK1205">
        <v>630</v>
      </c>
      <c r="AL1205">
        <v>8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5.2929999999999993</v>
      </c>
      <c r="AX1205">
        <v>6.1349999999999998</v>
      </c>
      <c r="AY1205">
        <v>803.85799999999995</v>
      </c>
      <c r="BF1205" t="s">
        <v>211</v>
      </c>
    </row>
    <row r="1206" spans="1:58" x14ac:dyDescent="0.45">
      <c r="A1206">
        <v>20001</v>
      </c>
      <c r="B1206">
        <v>1</v>
      </c>
      <c r="C1206">
        <v>93</v>
      </c>
      <c r="D1206">
        <v>0</v>
      </c>
      <c r="E1206">
        <v>0</v>
      </c>
      <c r="F1206">
        <v>0</v>
      </c>
      <c r="G1206">
        <v>0</v>
      </c>
      <c r="H1206">
        <v>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J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20.3</v>
      </c>
      <c r="AX1206">
        <v>0</v>
      </c>
      <c r="AY1206">
        <v>774.2</v>
      </c>
      <c r="AZ1206">
        <v>130</v>
      </c>
      <c r="BA1206">
        <v>1874</v>
      </c>
      <c r="BB1206">
        <v>1990</v>
      </c>
      <c r="BC1206">
        <v>7.9</v>
      </c>
      <c r="BF1206" t="s">
        <v>359</v>
      </c>
    </row>
    <row r="1207" spans="1:58" x14ac:dyDescent="0.45">
      <c r="A1207">
        <v>20002</v>
      </c>
      <c r="B1207">
        <v>1</v>
      </c>
      <c r="C1207">
        <v>92</v>
      </c>
      <c r="D1207">
        <v>0</v>
      </c>
      <c r="E1207">
        <v>0</v>
      </c>
      <c r="F1207">
        <v>0</v>
      </c>
      <c r="G1207">
        <v>0</v>
      </c>
      <c r="H1207">
        <v>7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J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20.580000000000002</v>
      </c>
      <c r="AX1207">
        <v>0</v>
      </c>
      <c r="AY1207">
        <v>774.2</v>
      </c>
      <c r="AZ1207">
        <v>124</v>
      </c>
      <c r="BA1207">
        <v>1785</v>
      </c>
      <c r="BB1207">
        <v>1972</v>
      </c>
      <c r="BC1207">
        <v>10</v>
      </c>
      <c r="BF1207" t="s">
        <v>360</v>
      </c>
    </row>
    <row r="1208" spans="1:58" x14ac:dyDescent="0.45">
      <c r="A1208">
        <v>20003</v>
      </c>
      <c r="B1208">
        <v>1</v>
      </c>
      <c r="C1208">
        <v>89</v>
      </c>
      <c r="D1208">
        <v>0</v>
      </c>
      <c r="E1208">
        <v>0</v>
      </c>
      <c r="F1208">
        <v>0</v>
      </c>
      <c r="G1208">
        <v>0</v>
      </c>
      <c r="H1208">
        <v>7</v>
      </c>
      <c r="I1208">
        <v>0</v>
      </c>
      <c r="J1208">
        <v>0</v>
      </c>
      <c r="K1208">
        <v>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J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21.42</v>
      </c>
      <c r="AX1208">
        <v>0</v>
      </c>
      <c r="AY1208">
        <v>774.2</v>
      </c>
      <c r="AZ1208">
        <v>115</v>
      </c>
      <c r="BA1208">
        <v>1539</v>
      </c>
      <c r="BB1208">
        <v>2093</v>
      </c>
      <c r="BC1208">
        <v>24.3</v>
      </c>
      <c r="BF1208" t="s">
        <v>359</v>
      </c>
    </row>
    <row r="1209" spans="1:58" x14ac:dyDescent="0.45">
      <c r="A1209">
        <v>20004</v>
      </c>
      <c r="B1209">
        <v>1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7</v>
      </c>
      <c r="I1209">
        <v>0</v>
      </c>
      <c r="J1209">
        <v>0</v>
      </c>
      <c r="K1209">
        <v>6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J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21.98</v>
      </c>
      <c r="AX1209">
        <v>0</v>
      </c>
      <c r="AY1209">
        <v>774.2</v>
      </c>
      <c r="AZ1209">
        <v>97</v>
      </c>
      <c r="BA1209">
        <v>1144</v>
      </c>
      <c r="BB1209">
        <v>2014</v>
      </c>
      <c r="BC1209">
        <v>32.1</v>
      </c>
      <c r="BF1209" t="s">
        <v>359</v>
      </c>
    </row>
    <row r="1210" spans="1:58" x14ac:dyDescent="0.45">
      <c r="A1210">
        <v>20005</v>
      </c>
      <c r="B1210">
        <v>0</v>
      </c>
      <c r="C1210">
        <v>88.238399999999999</v>
      </c>
      <c r="D1210">
        <v>0</v>
      </c>
      <c r="E1210">
        <v>0</v>
      </c>
      <c r="F1210">
        <v>0</v>
      </c>
      <c r="G1210">
        <v>11.5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9.5999999999999992E-3</v>
      </c>
      <c r="S1210">
        <v>9.5999999999999992E-3</v>
      </c>
      <c r="T1210">
        <v>0.252</v>
      </c>
      <c r="U1210">
        <v>0</v>
      </c>
      <c r="V1210">
        <v>1</v>
      </c>
      <c r="W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J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19.55</v>
      </c>
      <c r="AX1210">
        <v>2.6159999999999999E-2</v>
      </c>
      <c r="AY1210">
        <v>912.99599999999998</v>
      </c>
      <c r="AZ1210">
        <v>96</v>
      </c>
      <c r="BA1210">
        <v>932</v>
      </c>
      <c r="BB1210">
        <v>973</v>
      </c>
      <c r="BC1210">
        <v>2.6</v>
      </c>
      <c r="BD1210">
        <v>291</v>
      </c>
      <c r="BF1210" t="s">
        <v>361</v>
      </c>
    </row>
    <row r="1211" spans="1:58" x14ac:dyDescent="0.45">
      <c r="A1211">
        <v>20006</v>
      </c>
      <c r="B1211">
        <v>0</v>
      </c>
      <c r="C1211">
        <v>86.421899999999994</v>
      </c>
      <c r="D1211">
        <v>0</v>
      </c>
      <c r="E1211">
        <v>0</v>
      </c>
      <c r="F1211">
        <v>0</v>
      </c>
      <c r="G1211">
        <v>13.3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8.0999999999999996E-3</v>
      </c>
      <c r="S1211">
        <v>8.0999999999999996E-3</v>
      </c>
      <c r="T1211">
        <v>0.27</v>
      </c>
      <c r="U1211">
        <v>0</v>
      </c>
      <c r="V1211">
        <v>1</v>
      </c>
      <c r="W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J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22.61</v>
      </c>
      <c r="AX1211">
        <v>2.7810000000000001E-2</v>
      </c>
      <c r="AY1211">
        <v>915.21</v>
      </c>
      <c r="AZ1211">
        <v>99</v>
      </c>
      <c r="BB1211">
        <v>938</v>
      </c>
      <c r="BC1211">
        <v>0.65</v>
      </c>
      <c r="BF1211" t="s">
        <v>361</v>
      </c>
    </row>
    <row r="1212" spans="1:58" x14ac:dyDescent="0.45">
      <c r="A1212">
        <v>20007</v>
      </c>
      <c r="B1212">
        <v>0</v>
      </c>
      <c r="C1212">
        <v>87.271000000000001</v>
      </c>
      <c r="D1212">
        <v>0</v>
      </c>
      <c r="E1212">
        <v>0</v>
      </c>
      <c r="F1212">
        <v>0</v>
      </c>
      <c r="G1212">
        <v>12.65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2.3999999999999998E-3</v>
      </c>
      <c r="S1212">
        <v>4.3E-3</v>
      </c>
      <c r="T1212">
        <v>7.4700000000000003E-2</v>
      </c>
      <c r="U1212">
        <v>0</v>
      </c>
      <c r="V1212">
        <v>1</v>
      </c>
      <c r="W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J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21.504999999999999</v>
      </c>
      <c r="AX1212">
        <v>7.9000000000000008E-3</v>
      </c>
      <c r="AY1212">
        <v>891.18809999999996</v>
      </c>
      <c r="AZ1212">
        <v>100</v>
      </c>
      <c r="BB1212">
        <v>939</v>
      </c>
      <c r="BC1212">
        <v>13</v>
      </c>
      <c r="BD1212">
        <v>312</v>
      </c>
      <c r="BF1212" t="s">
        <v>362</v>
      </c>
    </row>
    <row r="1213" spans="1:58" x14ac:dyDescent="0.45">
      <c r="A1213">
        <v>20008</v>
      </c>
      <c r="B1213">
        <v>0</v>
      </c>
      <c r="C1213">
        <v>84.312700000000007</v>
      </c>
      <c r="D1213">
        <v>0</v>
      </c>
      <c r="E1213">
        <v>0</v>
      </c>
      <c r="F1213">
        <v>0</v>
      </c>
      <c r="G1213">
        <v>15.4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1.23E-2</v>
      </c>
      <c r="S1213">
        <v>1.23E-2</v>
      </c>
      <c r="T1213">
        <v>0.27500000000000002</v>
      </c>
      <c r="U1213">
        <v>0</v>
      </c>
      <c r="V1213">
        <v>1</v>
      </c>
      <c r="W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J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26.18</v>
      </c>
      <c r="AX1213">
        <v>2.8729999999999999E-2</v>
      </c>
      <c r="AY1213">
        <v>915.82500000000005</v>
      </c>
      <c r="AZ1213">
        <v>98</v>
      </c>
      <c r="BB1213">
        <v>677</v>
      </c>
      <c r="BF1213" t="s">
        <v>363</v>
      </c>
    </row>
    <row r="1214" spans="1:58" x14ac:dyDescent="0.45">
      <c r="A1214">
        <v>20009</v>
      </c>
      <c r="B1214">
        <v>0</v>
      </c>
      <c r="C1214">
        <v>82.576499999999996</v>
      </c>
      <c r="D1214">
        <v>0</v>
      </c>
      <c r="E1214">
        <v>0</v>
      </c>
      <c r="F1214">
        <v>0</v>
      </c>
      <c r="G1214">
        <v>17.100000000000001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7.4999999999999997E-3</v>
      </c>
      <c r="S1214">
        <v>7.4999999999999997E-3</v>
      </c>
      <c r="T1214">
        <v>0.316</v>
      </c>
      <c r="U1214">
        <v>0</v>
      </c>
      <c r="V1214">
        <v>1</v>
      </c>
      <c r="W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J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29.07</v>
      </c>
      <c r="AX1214">
        <v>3.2350000000000004E-2</v>
      </c>
      <c r="AY1214">
        <v>920.86800000000005</v>
      </c>
      <c r="AZ1214">
        <v>103</v>
      </c>
      <c r="BB1214">
        <v>339</v>
      </c>
      <c r="BD1214">
        <v>317</v>
      </c>
      <c r="BF1214" t="s">
        <v>363</v>
      </c>
    </row>
    <row r="1215" spans="1:58" x14ac:dyDescent="0.45">
      <c r="A1215">
        <v>20010</v>
      </c>
      <c r="B1215">
        <v>0</v>
      </c>
      <c r="C1215">
        <v>82.288800000000009</v>
      </c>
      <c r="D1215">
        <v>0</v>
      </c>
      <c r="E1215">
        <v>0</v>
      </c>
      <c r="F1215">
        <v>0</v>
      </c>
      <c r="G1215">
        <v>17.649999999999999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7.3000000000000001E-3</v>
      </c>
      <c r="S1215">
        <v>2.0999999999999999E-3</v>
      </c>
      <c r="T1215">
        <v>5.91E-2</v>
      </c>
      <c r="U1215">
        <v>0</v>
      </c>
      <c r="V1215">
        <v>1</v>
      </c>
      <c r="W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J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30.004999999999995</v>
      </c>
      <c r="AX1215">
        <v>6.1199999999999996E-3</v>
      </c>
      <c r="AY1215">
        <v>889.26930000000004</v>
      </c>
      <c r="AZ1215">
        <v>105</v>
      </c>
      <c r="BB1215">
        <v>246</v>
      </c>
      <c r="BC1215">
        <v>0.1</v>
      </c>
      <c r="BD1215">
        <v>336</v>
      </c>
      <c r="BF1215" t="s">
        <v>362</v>
      </c>
    </row>
    <row r="1216" spans="1:58" x14ac:dyDescent="0.45">
      <c r="A1216">
        <v>20011</v>
      </c>
      <c r="B1216">
        <v>0</v>
      </c>
      <c r="C1216">
        <v>94.321899999999999</v>
      </c>
      <c r="D1216">
        <v>0</v>
      </c>
      <c r="E1216">
        <v>0</v>
      </c>
      <c r="F1216">
        <v>0</v>
      </c>
      <c r="G1216">
        <v>5.6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3.5999999999999999E-3</v>
      </c>
      <c r="S1216">
        <v>4.4999999999999997E-3</v>
      </c>
      <c r="T1216">
        <v>7.3599999999999999E-2</v>
      </c>
      <c r="U1216">
        <v>0</v>
      </c>
      <c r="V1216">
        <v>0</v>
      </c>
      <c r="W1216">
        <v>1</v>
      </c>
      <c r="X1216">
        <v>900</v>
      </c>
      <c r="Z1216">
        <v>0</v>
      </c>
      <c r="AA1216">
        <v>1</v>
      </c>
      <c r="AB1216">
        <v>1</v>
      </c>
      <c r="AC1216">
        <v>0</v>
      </c>
      <c r="AD1216">
        <v>1</v>
      </c>
      <c r="AE1216">
        <v>1000</v>
      </c>
      <c r="AF1216">
        <v>6</v>
      </c>
      <c r="AJ1216">
        <v>1</v>
      </c>
      <c r="AK1216">
        <v>900</v>
      </c>
      <c r="AL1216">
        <v>1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9.52</v>
      </c>
      <c r="AX1216">
        <v>7.8100000000000001E-3</v>
      </c>
      <c r="AY1216">
        <v>891.05280000000005</v>
      </c>
      <c r="AZ1216">
        <v>129</v>
      </c>
      <c r="BD1216">
        <v>469</v>
      </c>
      <c r="BF1216" t="s">
        <v>362</v>
      </c>
    </row>
    <row r="1217" spans="1:58" x14ac:dyDescent="0.45">
      <c r="A1217">
        <v>20012</v>
      </c>
      <c r="B1217">
        <v>0</v>
      </c>
      <c r="C1217">
        <v>92.200599999999994</v>
      </c>
      <c r="D1217">
        <v>0</v>
      </c>
      <c r="E1217">
        <v>0</v>
      </c>
      <c r="F1217">
        <v>0</v>
      </c>
      <c r="G1217">
        <v>7.56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6.4000000000000003E-3</v>
      </c>
      <c r="S1217">
        <v>6.4000000000000003E-3</v>
      </c>
      <c r="T1217">
        <v>0.23300000000000001</v>
      </c>
      <c r="U1217">
        <v>0</v>
      </c>
      <c r="V1217">
        <v>1</v>
      </c>
      <c r="W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J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12.851999999999999</v>
      </c>
      <c r="AX1217">
        <v>2.3939999999999999E-2</v>
      </c>
      <c r="AY1217">
        <v>910.65899999999999</v>
      </c>
      <c r="AZ1217">
        <v>87</v>
      </c>
      <c r="BA1217">
        <v>1094</v>
      </c>
      <c r="BB1217">
        <v>1162</v>
      </c>
      <c r="BC1217">
        <v>1.5</v>
      </c>
      <c r="BF1217" t="s">
        <v>363</v>
      </c>
    </row>
    <row r="1218" spans="1:58" x14ac:dyDescent="0.45">
      <c r="A1218">
        <v>20013</v>
      </c>
      <c r="B1218">
        <v>0</v>
      </c>
      <c r="C1218">
        <v>90.453699999999998</v>
      </c>
      <c r="D1218">
        <v>0</v>
      </c>
      <c r="E1218">
        <v>0</v>
      </c>
      <c r="F1218">
        <v>0</v>
      </c>
      <c r="G1218">
        <v>9.4700000000000006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3.0999999999999999E-3</v>
      </c>
      <c r="S1218">
        <v>3.5999999999999999E-3</v>
      </c>
      <c r="T1218">
        <v>7.2700000000000001E-2</v>
      </c>
      <c r="U1218">
        <v>0</v>
      </c>
      <c r="V1218">
        <v>1</v>
      </c>
      <c r="W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J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16.099</v>
      </c>
      <c r="AX1218">
        <v>7.6300000000000005E-3</v>
      </c>
      <c r="AY1218">
        <v>890.94209999999998</v>
      </c>
      <c r="AZ1218">
        <v>94</v>
      </c>
      <c r="BB1218">
        <v>1048</v>
      </c>
      <c r="BC1218">
        <v>19</v>
      </c>
      <c r="BD1218">
        <v>338</v>
      </c>
      <c r="BF1218" t="s">
        <v>362</v>
      </c>
    </row>
    <row r="1219" spans="1:58" x14ac:dyDescent="0.45">
      <c r="A1219">
        <v>20014</v>
      </c>
      <c r="B1219">
        <v>0</v>
      </c>
      <c r="C1219">
        <v>90.457899999999995</v>
      </c>
      <c r="D1219">
        <v>0</v>
      </c>
      <c r="E1219">
        <v>0</v>
      </c>
      <c r="F1219">
        <v>0</v>
      </c>
      <c r="G1219">
        <v>9.2899999999999991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8.0999999999999996E-3</v>
      </c>
      <c r="S1219">
        <v>8.0999999999999996E-3</v>
      </c>
      <c r="T1219">
        <v>0.24399999999999999</v>
      </c>
      <c r="U1219">
        <v>0</v>
      </c>
      <c r="V1219">
        <v>1</v>
      </c>
      <c r="W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J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15.792999999999997</v>
      </c>
      <c r="AX1219">
        <v>2.521E-2</v>
      </c>
      <c r="AY1219">
        <v>912.01199999999994</v>
      </c>
      <c r="AZ1219">
        <v>89</v>
      </c>
      <c r="BA1219">
        <v>992</v>
      </c>
      <c r="BB1219">
        <v>1046</v>
      </c>
      <c r="BC1219">
        <v>4.7</v>
      </c>
      <c r="BF1219" t="s">
        <v>363</v>
      </c>
    </row>
    <row r="1220" spans="1:58" x14ac:dyDescent="0.45">
      <c r="A1220">
        <v>20015</v>
      </c>
      <c r="B1220">
        <v>0</v>
      </c>
      <c r="C1220">
        <v>91.942999999999998</v>
      </c>
      <c r="D1220">
        <v>0</v>
      </c>
      <c r="E1220">
        <v>0</v>
      </c>
      <c r="F1220">
        <v>0</v>
      </c>
      <c r="G1220">
        <v>5.07</v>
      </c>
      <c r="H1220">
        <v>0</v>
      </c>
      <c r="I1220">
        <v>0</v>
      </c>
      <c r="J1220">
        <v>0</v>
      </c>
      <c r="K1220">
        <v>0</v>
      </c>
      <c r="L1220">
        <v>2.92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1.54E-2</v>
      </c>
      <c r="S1220">
        <v>0</v>
      </c>
      <c r="T1220">
        <v>6.7000000000000004E-2</v>
      </c>
      <c r="U1220">
        <v>0</v>
      </c>
      <c r="V1220">
        <v>0</v>
      </c>
      <c r="W1220">
        <v>1</v>
      </c>
      <c r="X1220">
        <v>900</v>
      </c>
      <c r="Z1220">
        <v>0</v>
      </c>
      <c r="AA1220">
        <v>1</v>
      </c>
      <c r="AB1220">
        <v>1</v>
      </c>
      <c r="AC1220">
        <v>0</v>
      </c>
      <c r="AD1220">
        <v>1</v>
      </c>
      <c r="AE1220">
        <v>1000</v>
      </c>
      <c r="AF1220">
        <v>6</v>
      </c>
      <c r="AG1220">
        <v>1</v>
      </c>
      <c r="AH1220">
        <v>0</v>
      </c>
      <c r="AI1220">
        <v>0</v>
      </c>
      <c r="AJ1220">
        <v>1</v>
      </c>
      <c r="AK1220">
        <v>900</v>
      </c>
      <c r="AL1220">
        <v>6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11.539</v>
      </c>
      <c r="AX1220">
        <v>6.7000000000000002E-3</v>
      </c>
      <c r="AY1220">
        <v>862.50099999999998</v>
      </c>
      <c r="AZ1220">
        <v>100</v>
      </c>
      <c r="BA1220">
        <v>855</v>
      </c>
      <c r="BB1220">
        <v>920</v>
      </c>
      <c r="BC1220">
        <v>18</v>
      </c>
      <c r="BD1220">
        <v>372</v>
      </c>
      <c r="BF1220" t="s">
        <v>364</v>
      </c>
    </row>
    <row r="1221" spans="1:58" x14ac:dyDescent="0.45">
      <c r="A1221">
        <v>20016</v>
      </c>
      <c r="B1221">
        <v>0</v>
      </c>
      <c r="C1221">
        <v>91.0154</v>
      </c>
      <c r="D1221">
        <v>0</v>
      </c>
      <c r="E1221">
        <v>0</v>
      </c>
      <c r="F1221">
        <v>0</v>
      </c>
      <c r="G1221">
        <v>4.99</v>
      </c>
      <c r="H1221">
        <v>0</v>
      </c>
      <c r="I1221">
        <v>0</v>
      </c>
      <c r="J1221">
        <v>0</v>
      </c>
      <c r="K1221">
        <v>0</v>
      </c>
      <c r="L1221">
        <v>3.98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1.46E-2</v>
      </c>
      <c r="S1221">
        <v>0</v>
      </c>
      <c r="T1221">
        <v>1.46E-2</v>
      </c>
      <c r="U1221">
        <v>0</v>
      </c>
      <c r="V1221">
        <v>0</v>
      </c>
      <c r="W1221">
        <v>1</v>
      </c>
      <c r="X1221">
        <v>900</v>
      </c>
      <c r="Z1221">
        <v>0</v>
      </c>
      <c r="AA1221">
        <v>1</v>
      </c>
      <c r="AB1221">
        <v>1</v>
      </c>
      <c r="AC1221">
        <v>0</v>
      </c>
      <c r="AD1221">
        <v>1</v>
      </c>
      <c r="AE1221">
        <v>1000</v>
      </c>
      <c r="AF1221">
        <v>6</v>
      </c>
      <c r="AG1221">
        <v>1</v>
      </c>
      <c r="AH1221">
        <v>0</v>
      </c>
      <c r="AI1221">
        <v>0</v>
      </c>
      <c r="AJ1221">
        <v>1</v>
      </c>
      <c r="AK1221">
        <v>900</v>
      </c>
      <c r="AL1221">
        <v>6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12.463000000000001</v>
      </c>
      <c r="AX1221">
        <v>1.4599999999999999E-3</v>
      </c>
      <c r="AY1221">
        <v>845.98580000000004</v>
      </c>
      <c r="AZ1221">
        <v>91</v>
      </c>
      <c r="BA1221">
        <v>815</v>
      </c>
      <c r="BB1221">
        <v>815</v>
      </c>
      <c r="BC1221">
        <v>34</v>
      </c>
      <c r="BF1221" t="s">
        <v>364</v>
      </c>
    </row>
    <row r="1222" spans="1:58" x14ac:dyDescent="0.45">
      <c r="A1222">
        <v>20017</v>
      </c>
      <c r="B1222">
        <v>0</v>
      </c>
      <c r="C1222">
        <v>90.700299999999999</v>
      </c>
      <c r="D1222">
        <v>0</v>
      </c>
      <c r="E1222">
        <v>0</v>
      </c>
      <c r="F1222">
        <v>0</v>
      </c>
      <c r="G1222">
        <v>6.32</v>
      </c>
      <c r="H1222">
        <v>0</v>
      </c>
      <c r="I1222">
        <v>0</v>
      </c>
      <c r="J1222">
        <v>0</v>
      </c>
      <c r="K1222">
        <v>0</v>
      </c>
      <c r="L1222">
        <v>2.97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1.44E-2</v>
      </c>
      <c r="S1222">
        <v>0</v>
      </c>
      <c r="T1222">
        <v>9.7000000000000003E-3</v>
      </c>
      <c r="U1222">
        <v>0</v>
      </c>
      <c r="V1222">
        <v>0</v>
      </c>
      <c r="W1222">
        <v>1</v>
      </c>
      <c r="X1222">
        <v>900</v>
      </c>
      <c r="Z1222">
        <v>0</v>
      </c>
      <c r="AA1222">
        <v>1</v>
      </c>
      <c r="AB1222">
        <v>1</v>
      </c>
      <c r="AC1222">
        <v>0</v>
      </c>
      <c r="AD1222">
        <v>1</v>
      </c>
      <c r="AE1222">
        <v>1000</v>
      </c>
      <c r="AF1222">
        <v>6</v>
      </c>
      <c r="AG1222">
        <v>1</v>
      </c>
      <c r="AH1222">
        <v>0</v>
      </c>
      <c r="AI1222">
        <v>0</v>
      </c>
      <c r="AJ1222">
        <v>1</v>
      </c>
      <c r="AK1222">
        <v>900</v>
      </c>
      <c r="AL1222">
        <v>6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13.714</v>
      </c>
      <c r="AX1222">
        <v>9.7000000000000005E-4</v>
      </c>
      <c r="AY1222">
        <v>854.97809999999993</v>
      </c>
      <c r="AZ1222">
        <v>91</v>
      </c>
      <c r="BA1222">
        <v>1200</v>
      </c>
      <c r="BB1222">
        <v>1220</v>
      </c>
      <c r="BC1222">
        <v>14</v>
      </c>
      <c r="BF1222" t="s">
        <v>364</v>
      </c>
    </row>
    <row r="1223" spans="1:58" x14ac:dyDescent="0.45">
      <c r="A1223">
        <v>20018</v>
      </c>
      <c r="B1223">
        <v>0</v>
      </c>
      <c r="C1223">
        <v>89.915599999999998</v>
      </c>
      <c r="D1223">
        <v>0</v>
      </c>
      <c r="E1223">
        <v>0</v>
      </c>
      <c r="F1223">
        <v>0</v>
      </c>
      <c r="G1223">
        <v>6.27</v>
      </c>
      <c r="H1223">
        <v>0</v>
      </c>
      <c r="I1223">
        <v>0</v>
      </c>
      <c r="J1223">
        <v>0</v>
      </c>
      <c r="K1223">
        <v>0</v>
      </c>
      <c r="L1223">
        <v>3.8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1.44E-2</v>
      </c>
      <c r="S1223">
        <v>0</v>
      </c>
      <c r="T1223">
        <v>1.44E-2</v>
      </c>
      <c r="U1223">
        <v>0</v>
      </c>
      <c r="V1223">
        <v>0</v>
      </c>
      <c r="W1223">
        <v>1</v>
      </c>
      <c r="X1223">
        <v>900</v>
      </c>
      <c r="Z1223">
        <v>0</v>
      </c>
      <c r="AA1223">
        <v>1</v>
      </c>
      <c r="AB1223">
        <v>1</v>
      </c>
      <c r="AC1223">
        <v>0</v>
      </c>
      <c r="AD1223">
        <v>1</v>
      </c>
      <c r="AE1223">
        <v>1000</v>
      </c>
      <c r="AF1223">
        <v>6</v>
      </c>
      <c r="AG1223">
        <v>1</v>
      </c>
      <c r="AH1223">
        <v>0</v>
      </c>
      <c r="AI1223">
        <v>0</v>
      </c>
      <c r="AJ1223">
        <v>1</v>
      </c>
      <c r="AK1223">
        <v>900</v>
      </c>
      <c r="AL1223">
        <v>6</v>
      </c>
      <c r="AM1223">
        <v>1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14.459</v>
      </c>
      <c r="AX1223">
        <v>1.4399999999999999E-3</v>
      </c>
      <c r="AY1223">
        <v>847.6712</v>
      </c>
      <c r="AZ1223">
        <v>89</v>
      </c>
      <c r="BA1223">
        <v>1090</v>
      </c>
      <c r="BB1223">
        <v>1105</v>
      </c>
      <c r="BC1223">
        <v>15</v>
      </c>
      <c r="BD1223">
        <v>336</v>
      </c>
      <c r="BF1223" t="s">
        <v>364</v>
      </c>
    </row>
    <row r="1224" spans="1:58" x14ac:dyDescent="0.45">
      <c r="A1224">
        <v>20019</v>
      </c>
      <c r="B1224">
        <v>1</v>
      </c>
      <c r="C1224">
        <v>89.98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10.02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J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10.02</v>
      </c>
      <c r="AX1224">
        <v>0</v>
      </c>
      <c r="AY1224">
        <v>786.81</v>
      </c>
      <c r="AZ1224">
        <v>112.99</v>
      </c>
      <c r="BA1224">
        <v>741</v>
      </c>
      <c r="BB1224">
        <v>663</v>
      </c>
      <c r="BC1224">
        <v>0.71</v>
      </c>
      <c r="BD1224">
        <v>474</v>
      </c>
      <c r="BF1224" t="s">
        <v>365</v>
      </c>
    </row>
    <row r="1225" spans="1:58" x14ac:dyDescent="0.45">
      <c r="A1225">
        <v>20020</v>
      </c>
      <c r="B1225">
        <v>1</v>
      </c>
      <c r="C1225">
        <v>89.17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10.83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J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10.83</v>
      </c>
      <c r="AX1225">
        <v>0</v>
      </c>
      <c r="AY1225">
        <v>779.11500000000001</v>
      </c>
      <c r="AZ1225">
        <v>105.17</v>
      </c>
      <c r="BB1225">
        <v>885</v>
      </c>
      <c r="BC1225">
        <v>0.35</v>
      </c>
      <c r="BD1225">
        <v>441</v>
      </c>
      <c r="BF1225" t="s">
        <v>365</v>
      </c>
    </row>
    <row r="1226" spans="1:58" x14ac:dyDescent="0.45">
      <c r="A1226">
        <v>20021</v>
      </c>
      <c r="B1226">
        <v>1</v>
      </c>
      <c r="C1226">
        <v>88.22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11.78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J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11.78</v>
      </c>
      <c r="AX1226">
        <v>0</v>
      </c>
      <c r="AY1226">
        <v>770.09</v>
      </c>
      <c r="AZ1226">
        <v>133.15</v>
      </c>
      <c r="BD1226">
        <v>390</v>
      </c>
      <c r="BF1226" t="s">
        <v>366</v>
      </c>
    </row>
    <row r="1227" spans="1:58" x14ac:dyDescent="0.45">
      <c r="A1227">
        <v>20022</v>
      </c>
      <c r="B1227">
        <v>1</v>
      </c>
      <c r="C1227">
        <v>87.11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12.89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J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12.89</v>
      </c>
      <c r="AX1227">
        <v>0</v>
      </c>
      <c r="AY1227">
        <v>759.54499999999996</v>
      </c>
      <c r="AZ1227">
        <v>104.47</v>
      </c>
      <c r="BB1227">
        <v>643</v>
      </c>
      <c r="BC1227">
        <v>0.09</v>
      </c>
      <c r="BD1227">
        <v>413</v>
      </c>
      <c r="BF1227" t="s">
        <v>365</v>
      </c>
    </row>
    <row r="1228" spans="1:58" x14ac:dyDescent="0.45">
      <c r="A1228">
        <v>20023</v>
      </c>
      <c r="B1228">
        <v>1</v>
      </c>
      <c r="C1228">
        <v>84.95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15.05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J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15.05</v>
      </c>
      <c r="AX1228">
        <v>0</v>
      </c>
      <c r="AY1228">
        <v>739.02499999999998</v>
      </c>
      <c r="AZ1228">
        <v>70.48</v>
      </c>
      <c r="BA1228">
        <v>542</v>
      </c>
      <c r="BB1228">
        <v>593</v>
      </c>
      <c r="BC1228">
        <v>0.14000000000000001</v>
      </c>
      <c r="BD1228">
        <v>350</v>
      </c>
      <c r="BF1228" t="s">
        <v>365</v>
      </c>
    </row>
    <row r="1229" spans="1:58" x14ac:dyDescent="0.45">
      <c r="A1229">
        <v>20024</v>
      </c>
      <c r="B1229">
        <v>1</v>
      </c>
      <c r="C1229">
        <v>96.944599999999994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3.0554000000000001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900</v>
      </c>
      <c r="AF1229">
        <v>8</v>
      </c>
      <c r="AJ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3.0554000000000001</v>
      </c>
      <c r="AX1229">
        <v>0</v>
      </c>
      <c r="AY1229">
        <v>852.97370000000001</v>
      </c>
      <c r="AZ1229">
        <v>83.8</v>
      </c>
      <c r="BF1229" t="s">
        <v>367</v>
      </c>
    </row>
    <row r="1230" spans="1:58" x14ac:dyDescent="0.45">
      <c r="A1230">
        <v>20025</v>
      </c>
      <c r="B1230">
        <v>1</v>
      </c>
      <c r="C1230">
        <v>92.5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7.5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J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7.5</v>
      </c>
      <c r="AX1230">
        <v>0</v>
      </c>
      <c r="AY1230">
        <v>810.75</v>
      </c>
      <c r="AZ1230">
        <v>70</v>
      </c>
      <c r="BA1230">
        <v>737</v>
      </c>
      <c r="BB1230">
        <v>1019</v>
      </c>
      <c r="BC1230">
        <v>16</v>
      </c>
      <c r="BD1230">
        <v>301</v>
      </c>
      <c r="BF1230" t="s">
        <v>368</v>
      </c>
    </row>
    <row r="1231" spans="1:58" x14ac:dyDescent="0.45">
      <c r="A1231">
        <v>20026</v>
      </c>
      <c r="B1231">
        <v>1</v>
      </c>
      <c r="C1231">
        <v>91.994399999999999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8.0055999999999994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Z1231">
        <v>1</v>
      </c>
      <c r="AA1231">
        <v>0</v>
      </c>
      <c r="AB1231">
        <v>0</v>
      </c>
      <c r="AC1231">
        <v>0</v>
      </c>
      <c r="AD1231">
        <v>1</v>
      </c>
      <c r="AE1231">
        <v>900</v>
      </c>
      <c r="AF1231">
        <v>8</v>
      </c>
      <c r="AJ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8.0055999999999994</v>
      </c>
      <c r="AX1231">
        <v>0</v>
      </c>
      <c r="AY1231">
        <v>805.94680000000005</v>
      </c>
      <c r="AZ1231">
        <v>82.98</v>
      </c>
      <c r="BF1231" t="s">
        <v>367</v>
      </c>
    </row>
    <row r="1232" spans="1:58" x14ac:dyDescent="0.45">
      <c r="A1232">
        <v>20027</v>
      </c>
      <c r="B1232">
        <v>1</v>
      </c>
      <c r="C1232">
        <v>92.5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7.5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J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7.5</v>
      </c>
      <c r="AX1232">
        <v>0</v>
      </c>
      <c r="AY1232">
        <v>810.75</v>
      </c>
      <c r="AZ1232">
        <v>70</v>
      </c>
      <c r="BB1232">
        <v>806</v>
      </c>
      <c r="BC1232">
        <v>42</v>
      </c>
      <c r="BF1232" t="s">
        <v>369</v>
      </c>
    </row>
    <row r="1233" spans="1:58" x14ac:dyDescent="0.45">
      <c r="A1233">
        <v>20028</v>
      </c>
      <c r="B1233">
        <v>1</v>
      </c>
      <c r="C1233">
        <v>78.099999999999994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10.8</v>
      </c>
      <c r="L1233">
        <v>11.1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J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14.124000000000001</v>
      </c>
      <c r="AX1233">
        <v>0</v>
      </c>
      <c r="AY1233">
        <v>776.55</v>
      </c>
      <c r="AZ1233">
        <v>56.9</v>
      </c>
      <c r="BD1233">
        <v>312</v>
      </c>
      <c r="BF1233" t="s">
        <v>366</v>
      </c>
    </row>
    <row r="1234" spans="1:58" x14ac:dyDescent="0.45">
      <c r="A1234">
        <v>20029</v>
      </c>
      <c r="B1234">
        <v>1</v>
      </c>
      <c r="C1234">
        <v>78.099999999999994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10.8</v>
      </c>
      <c r="L1234">
        <v>11.1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J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14.124000000000001</v>
      </c>
      <c r="AX1234">
        <v>0</v>
      </c>
      <c r="AY1234">
        <v>776.55</v>
      </c>
      <c r="AZ1234">
        <v>57</v>
      </c>
      <c r="BA1234">
        <v>654</v>
      </c>
      <c r="BB1234">
        <v>875</v>
      </c>
      <c r="BC1234">
        <v>0.61</v>
      </c>
      <c r="BF1234" t="s">
        <v>370</v>
      </c>
    </row>
    <row r="1235" spans="1:58" x14ac:dyDescent="0.45">
      <c r="A1235">
        <v>20030</v>
      </c>
      <c r="B1235">
        <v>1</v>
      </c>
      <c r="C1235">
        <v>80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8</v>
      </c>
      <c r="L1235">
        <v>12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Y1235">
        <v>80</v>
      </c>
      <c r="Z1235">
        <v>0</v>
      </c>
      <c r="AA1235">
        <v>0</v>
      </c>
      <c r="AB1235">
        <v>1</v>
      </c>
      <c r="AC1235">
        <v>0</v>
      </c>
      <c r="AD1235">
        <v>1</v>
      </c>
      <c r="AE1235">
        <v>780</v>
      </c>
      <c r="AF1235">
        <v>0</v>
      </c>
      <c r="AG1235">
        <v>1</v>
      </c>
      <c r="AH1235">
        <v>0</v>
      </c>
      <c r="AI1235">
        <v>0</v>
      </c>
      <c r="AJ1235">
        <v>1</v>
      </c>
      <c r="AK1235">
        <v>950</v>
      </c>
      <c r="AL1235">
        <v>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14.24</v>
      </c>
      <c r="AX1235">
        <v>0</v>
      </c>
      <c r="AY1235">
        <v>768</v>
      </c>
      <c r="AZ1235">
        <v>91</v>
      </c>
      <c r="BA1235">
        <v>528</v>
      </c>
      <c r="BB1235">
        <v>716</v>
      </c>
      <c r="BC1235">
        <v>33</v>
      </c>
      <c r="BF1235" t="s">
        <v>371</v>
      </c>
    </row>
    <row r="1236" spans="1:58" x14ac:dyDescent="0.45">
      <c r="A1236">
        <v>20031</v>
      </c>
      <c r="B1236">
        <v>0</v>
      </c>
      <c r="C1236">
        <v>93.2</v>
      </c>
      <c r="D1236">
        <v>0</v>
      </c>
      <c r="E1236">
        <v>0.45</v>
      </c>
      <c r="F1236">
        <v>0.02</v>
      </c>
      <c r="G1236">
        <v>0</v>
      </c>
      <c r="H1236">
        <v>0.05</v>
      </c>
      <c r="I1236">
        <v>0.09</v>
      </c>
      <c r="J1236">
        <v>0</v>
      </c>
      <c r="K1236">
        <v>2.79</v>
      </c>
      <c r="L1236">
        <v>3.15</v>
      </c>
      <c r="M1236">
        <v>0</v>
      </c>
      <c r="N1236">
        <v>0</v>
      </c>
      <c r="O1236">
        <v>0</v>
      </c>
      <c r="P1236">
        <v>0</v>
      </c>
      <c r="Q1236">
        <v>0.04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Z1236">
        <v>1</v>
      </c>
      <c r="AA1236">
        <v>0</v>
      </c>
      <c r="AB1236">
        <v>0</v>
      </c>
      <c r="AC1236">
        <v>0</v>
      </c>
      <c r="AD1236">
        <v>1</v>
      </c>
      <c r="AE1236">
        <v>1100</v>
      </c>
      <c r="AF1236">
        <v>7</v>
      </c>
      <c r="AJ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4.4096999999999991</v>
      </c>
      <c r="AX1236">
        <v>0</v>
      </c>
      <c r="AY1236">
        <v>846.68500000000017</v>
      </c>
      <c r="AZ1236">
        <v>102.6</v>
      </c>
      <c r="BD1236">
        <v>354</v>
      </c>
      <c r="BF1236" t="s">
        <v>372</v>
      </c>
    </row>
    <row r="1237" spans="1:58" x14ac:dyDescent="0.45">
      <c r="A1237">
        <v>20032</v>
      </c>
      <c r="B1237">
        <v>0</v>
      </c>
      <c r="C1237">
        <v>81.739999999999995</v>
      </c>
      <c r="D1237">
        <v>0</v>
      </c>
      <c r="E1237">
        <v>0</v>
      </c>
      <c r="F1237">
        <v>0.26</v>
      </c>
      <c r="G1237">
        <v>0</v>
      </c>
      <c r="H1237">
        <v>0</v>
      </c>
      <c r="I1237">
        <v>0</v>
      </c>
      <c r="J1237">
        <v>0</v>
      </c>
      <c r="K1237">
        <v>2.8</v>
      </c>
      <c r="L1237">
        <v>15</v>
      </c>
      <c r="M1237">
        <v>0</v>
      </c>
      <c r="N1237">
        <v>0</v>
      </c>
      <c r="O1237">
        <v>0</v>
      </c>
      <c r="P1237">
        <v>0</v>
      </c>
      <c r="Q1237">
        <v>0.2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J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16.2</v>
      </c>
      <c r="AX1237">
        <v>0</v>
      </c>
      <c r="AY1237">
        <v>741.01400000000001</v>
      </c>
      <c r="AZ1237">
        <v>80</v>
      </c>
      <c r="BF1237" t="s">
        <v>373</v>
      </c>
    </row>
    <row r="1238" spans="1:58" x14ac:dyDescent="0.45">
      <c r="A1238">
        <v>20033</v>
      </c>
      <c r="B1238">
        <v>0</v>
      </c>
      <c r="C1238">
        <v>84.8</v>
      </c>
      <c r="D1238">
        <v>0</v>
      </c>
      <c r="E1238">
        <v>0.59</v>
      </c>
      <c r="F1238">
        <v>0.03</v>
      </c>
      <c r="G1238">
        <v>0</v>
      </c>
      <c r="H1238">
        <v>0.05</v>
      </c>
      <c r="I1238">
        <v>0.11</v>
      </c>
      <c r="J1238">
        <v>0</v>
      </c>
      <c r="K1238">
        <v>4.55</v>
      </c>
      <c r="L1238">
        <v>5.75</v>
      </c>
      <c r="M1238">
        <v>3.93</v>
      </c>
      <c r="N1238">
        <v>0</v>
      </c>
      <c r="O1238">
        <v>0</v>
      </c>
      <c r="P1238">
        <v>0</v>
      </c>
      <c r="Q1238">
        <v>0.04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Z1238">
        <v>1</v>
      </c>
      <c r="AA1238">
        <v>0</v>
      </c>
      <c r="AB1238">
        <v>0</v>
      </c>
      <c r="AC1238">
        <v>0</v>
      </c>
      <c r="AD1238">
        <v>1</v>
      </c>
      <c r="AE1238">
        <v>1100</v>
      </c>
      <c r="AF1238">
        <v>7</v>
      </c>
      <c r="AJ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7.6122999999999994</v>
      </c>
      <c r="AX1238">
        <v>1.31</v>
      </c>
      <c r="AY1238">
        <v>836.71799999999996</v>
      </c>
      <c r="AZ1238">
        <v>104.6</v>
      </c>
      <c r="BD1238">
        <v>296</v>
      </c>
      <c r="BF1238" t="s">
        <v>374</v>
      </c>
    </row>
    <row r="1239" spans="1:58" x14ac:dyDescent="0.45">
      <c r="A1239">
        <v>20034</v>
      </c>
      <c r="B1239">
        <v>0</v>
      </c>
      <c r="C1239">
        <v>81.5</v>
      </c>
      <c r="D1239">
        <v>0</v>
      </c>
      <c r="E1239">
        <v>0.5</v>
      </c>
      <c r="F1239">
        <v>0.04</v>
      </c>
      <c r="G1239">
        <v>0</v>
      </c>
      <c r="H1239">
        <v>0.04</v>
      </c>
      <c r="I1239">
        <v>0.01</v>
      </c>
      <c r="J1239">
        <v>0</v>
      </c>
      <c r="K1239">
        <v>3.92</v>
      </c>
      <c r="L1239">
        <v>5.0599999999999996</v>
      </c>
      <c r="M1239">
        <v>8.06</v>
      </c>
      <c r="N1239">
        <v>0</v>
      </c>
      <c r="O1239">
        <v>0</v>
      </c>
      <c r="P1239">
        <v>0</v>
      </c>
      <c r="Q1239">
        <v>0.04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Z1239">
        <v>1</v>
      </c>
      <c r="AA1239">
        <v>0</v>
      </c>
      <c r="AB1239">
        <v>0</v>
      </c>
      <c r="AC1239">
        <v>0</v>
      </c>
      <c r="AD1239">
        <v>1</v>
      </c>
      <c r="AE1239">
        <v>1100</v>
      </c>
      <c r="AF1239">
        <v>7</v>
      </c>
      <c r="AJ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6.6725999999999992</v>
      </c>
      <c r="AX1239">
        <v>2.686666666666667</v>
      </c>
      <c r="AY1239">
        <v>861.71400000000006</v>
      </c>
      <c r="AZ1239">
        <v>98.2</v>
      </c>
      <c r="BD1239">
        <v>351</v>
      </c>
      <c r="BF1239" t="s">
        <v>374</v>
      </c>
    </row>
    <row r="1240" spans="1:58" x14ac:dyDescent="0.45">
      <c r="A1240">
        <v>20035</v>
      </c>
      <c r="B1240">
        <v>1</v>
      </c>
      <c r="C1240">
        <v>82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4</v>
      </c>
      <c r="K1240">
        <v>6</v>
      </c>
      <c r="L1240">
        <v>8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820</v>
      </c>
      <c r="Y1240">
        <v>80</v>
      </c>
      <c r="Z1240">
        <v>0</v>
      </c>
      <c r="AA1240">
        <v>0</v>
      </c>
      <c r="AB1240">
        <v>1</v>
      </c>
      <c r="AC1240">
        <v>0</v>
      </c>
      <c r="AD1240">
        <v>1</v>
      </c>
      <c r="AE1240">
        <v>950</v>
      </c>
      <c r="AF1240">
        <v>2</v>
      </c>
      <c r="AG1240">
        <v>1</v>
      </c>
      <c r="AH1240">
        <v>0</v>
      </c>
      <c r="AI1240">
        <v>0</v>
      </c>
      <c r="AJ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9.68</v>
      </c>
      <c r="AX1240">
        <v>0.66666666666666663</v>
      </c>
      <c r="AY1240">
        <v>778.4</v>
      </c>
      <c r="AZ1240">
        <v>72</v>
      </c>
      <c r="BA1240">
        <v>899</v>
      </c>
      <c r="BC1240">
        <v>15</v>
      </c>
      <c r="BF1240" t="s">
        <v>375</v>
      </c>
    </row>
    <row r="1241" spans="1:58" x14ac:dyDescent="0.45">
      <c r="A1241">
        <v>20036</v>
      </c>
      <c r="B1241">
        <v>1</v>
      </c>
      <c r="C1241">
        <v>84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3</v>
      </c>
      <c r="K1241">
        <v>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Z1241">
        <v>1</v>
      </c>
      <c r="AA1241">
        <v>0</v>
      </c>
      <c r="AB1241">
        <v>0</v>
      </c>
      <c r="AC1241">
        <v>0</v>
      </c>
      <c r="AD1241">
        <v>1</v>
      </c>
      <c r="AE1241">
        <v>1000</v>
      </c>
      <c r="AF1241">
        <v>24</v>
      </c>
      <c r="AG1241">
        <v>1</v>
      </c>
      <c r="AH1241">
        <v>0</v>
      </c>
      <c r="AI1241">
        <v>0</v>
      </c>
      <c r="AJ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1.4000000000000001</v>
      </c>
      <c r="AX1241">
        <v>0.5</v>
      </c>
      <c r="AY1241">
        <v>861.3</v>
      </c>
      <c r="AZ1241">
        <v>69</v>
      </c>
      <c r="BA1241">
        <v>947</v>
      </c>
      <c r="BC1241">
        <v>21</v>
      </c>
      <c r="BF1241" t="s">
        <v>375</v>
      </c>
    </row>
    <row r="1242" spans="1:58" x14ac:dyDescent="0.45">
      <c r="A1242">
        <v>20037</v>
      </c>
      <c r="B1242">
        <v>1</v>
      </c>
      <c r="C1242">
        <v>86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Z1242">
        <v>1</v>
      </c>
      <c r="AA1242">
        <v>0</v>
      </c>
      <c r="AB1242">
        <v>0</v>
      </c>
      <c r="AC1242">
        <v>0</v>
      </c>
      <c r="AD1242">
        <v>1</v>
      </c>
      <c r="AE1242">
        <v>1000</v>
      </c>
      <c r="AF1242">
        <v>24</v>
      </c>
      <c r="AG1242">
        <v>1</v>
      </c>
      <c r="AH1242">
        <v>0</v>
      </c>
      <c r="AI1242">
        <v>0</v>
      </c>
      <c r="AJ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1.1200000000000001</v>
      </c>
      <c r="AX1242">
        <v>0.33333333333333331</v>
      </c>
      <c r="AY1242">
        <v>868.2</v>
      </c>
      <c r="AZ1242">
        <v>35.4</v>
      </c>
      <c r="BA1242">
        <v>798</v>
      </c>
      <c r="BC1242">
        <v>15</v>
      </c>
      <c r="BF1242" t="s">
        <v>375</v>
      </c>
    </row>
    <row r="1243" spans="1:58" x14ac:dyDescent="0.45">
      <c r="A1243">
        <v>20038</v>
      </c>
      <c r="B1243">
        <v>1</v>
      </c>
      <c r="C1243">
        <v>83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12</v>
      </c>
      <c r="M1243">
        <v>0</v>
      </c>
      <c r="N1243">
        <v>0</v>
      </c>
      <c r="O1243">
        <v>5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Z1243">
        <v>1</v>
      </c>
      <c r="AA1243">
        <v>0</v>
      </c>
      <c r="AB1243">
        <v>0</v>
      </c>
      <c r="AC1243">
        <v>0</v>
      </c>
      <c r="AD1243">
        <v>1</v>
      </c>
      <c r="AE1243">
        <v>950</v>
      </c>
      <c r="AF1243">
        <v>1</v>
      </c>
      <c r="AG1243">
        <v>1</v>
      </c>
      <c r="AH1243">
        <v>0</v>
      </c>
      <c r="AI1243">
        <v>0</v>
      </c>
      <c r="AJ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13.1</v>
      </c>
      <c r="AX1243">
        <v>0</v>
      </c>
      <c r="AY1243">
        <v>768</v>
      </c>
      <c r="AZ1243">
        <v>74</v>
      </c>
      <c r="BD1243">
        <v>303</v>
      </c>
      <c r="BF1243" t="s">
        <v>376</v>
      </c>
    </row>
    <row r="1244" spans="1:58" x14ac:dyDescent="0.45">
      <c r="A1244">
        <v>20039</v>
      </c>
      <c r="B1244">
        <v>1</v>
      </c>
      <c r="C1244">
        <v>83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12</v>
      </c>
      <c r="M1244">
        <v>0</v>
      </c>
      <c r="N1244">
        <v>0</v>
      </c>
      <c r="O1244">
        <v>5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Z1244">
        <v>1</v>
      </c>
      <c r="AA1244">
        <v>0</v>
      </c>
      <c r="AB1244">
        <v>0</v>
      </c>
      <c r="AC1244">
        <v>0</v>
      </c>
      <c r="AD1244">
        <v>1</v>
      </c>
      <c r="AE1244">
        <v>950</v>
      </c>
      <c r="AF1244">
        <v>1</v>
      </c>
      <c r="AG1244">
        <v>1</v>
      </c>
      <c r="AH1244">
        <v>0</v>
      </c>
      <c r="AI1244">
        <v>0</v>
      </c>
      <c r="AJ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13.1</v>
      </c>
      <c r="AX1244">
        <v>0</v>
      </c>
      <c r="AY1244">
        <v>768</v>
      </c>
      <c r="AZ1244">
        <v>74</v>
      </c>
      <c r="BD1244">
        <v>303</v>
      </c>
      <c r="BF1244" t="s">
        <v>377</v>
      </c>
    </row>
    <row r="1245" spans="1:58" x14ac:dyDescent="0.45">
      <c r="A1245">
        <v>20040</v>
      </c>
      <c r="B1245">
        <v>1</v>
      </c>
      <c r="C1245">
        <v>83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5</v>
      </c>
      <c r="K1245">
        <v>0</v>
      </c>
      <c r="L1245">
        <v>12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Z1245">
        <v>1</v>
      </c>
      <c r="AA1245">
        <v>0</v>
      </c>
      <c r="AB1245">
        <v>0</v>
      </c>
      <c r="AC1245">
        <v>0</v>
      </c>
      <c r="AD1245">
        <v>1</v>
      </c>
      <c r="AE1245">
        <v>1000</v>
      </c>
      <c r="AF1245">
        <v>1</v>
      </c>
      <c r="AJ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12</v>
      </c>
      <c r="AX1245">
        <v>0.83333333333333337</v>
      </c>
      <c r="AY1245">
        <v>733.5</v>
      </c>
      <c r="AZ1245">
        <v>90.9</v>
      </c>
      <c r="BA1245">
        <v>956</v>
      </c>
      <c r="BB1245">
        <v>1028</v>
      </c>
      <c r="BC1245">
        <v>4.0999999999999996</v>
      </c>
      <c r="BD1245">
        <v>396</v>
      </c>
      <c r="BF1245" t="s">
        <v>378</v>
      </c>
    </row>
    <row r="1246" spans="1:58" x14ac:dyDescent="0.45">
      <c r="A1246">
        <v>20041</v>
      </c>
      <c r="B1246">
        <v>1</v>
      </c>
      <c r="C1246">
        <v>83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5</v>
      </c>
      <c r="K1246">
        <v>0</v>
      </c>
      <c r="L1246">
        <v>12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1000</v>
      </c>
      <c r="AF1246">
        <v>1</v>
      </c>
      <c r="AJ1246">
        <v>1</v>
      </c>
      <c r="AK1246">
        <v>780</v>
      </c>
      <c r="AL1246">
        <v>1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12</v>
      </c>
      <c r="AX1246">
        <v>0.83333333333333337</v>
      </c>
      <c r="AY1246">
        <v>733.5</v>
      </c>
      <c r="AZ1246">
        <v>78.599999999999994</v>
      </c>
      <c r="BA1246">
        <v>540</v>
      </c>
      <c r="BB1246">
        <v>695</v>
      </c>
      <c r="BC1246">
        <v>3.9</v>
      </c>
      <c r="BD1246">
        <v>427</v>
      </c>
      <c r="BF1246" t="s">
        <v>378</v>
      </c>
    </row>
    <row r="1247" spans="1:58" x14ac:dyDescent="0.45">
      <c r="A1247">
        <v>20042</v>
      </c>
      <c r="B1247">
        <v>1</v>
      </c>
      <c r="C1247">
        <v>83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</v>
      </c>
      <c r="K1247">
        <v>0</v>
      </c>
      <c r="L1247">
        <v>12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Z1247">
        <v>1</v>
      </c>
      <c r="AA1247">
        <v>0</v>
      </c>
      <c r="AB1247">
        <v>0</v>
      </c>
      <c r="AC1247">
        <v>0</v>
      </c>
      <c r="AD1247">
        <v>1</v>
      </c>
      <c r="AE1247">
        <v>1000</v>
      </c>
      <c r="AF1247">
        <v>1</v>
      </c>
      <c r="AJ1247">
        <v>1</v>
      </c>
      <c r="AK1247">
        <v>860</v>
      </c>
      <c r="AL1247">
        <v>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12</v>
      </c>
      <c r="AX1247">
        <v>0.83333333333333337</v>
      </c>
      <c r="AY1247">
        <v>733.5</v>
      </c>
      <c r="AZ1247">
        <v>64.5</v>
      </c>
      <c r="BA1247">
        <v>509</v>
      </c>
      <c r="BB1247">
        <v>628</v>
      </c>
      <c r="BC1247">
        <v>4.7</v>
      </c>
      <c r="BD1247">
        <v>442</v>
      </c>
      <c r="BF1247" t="s">
        <v>378</v>
      </c>
    </row>
    <row r="1248" spans="1:58" x14ac:dyDescent="0.45">
      <c r="A1248">
        <v>20043</v>
      </c>
      <c r="B1248">
        <v>0</v>
      </c>
      <c r="C1248">
        <v>81.873099999999994</v>
      </c>
      <c r="D1248">
        <v>2.93</v>
      </c>
      <c r="E1248">
        <v>0</v>
      </c>
      <c r="F1248">
        <v>0</v>
      </c>
      <c r="G1248">
        <v>0</v>
      </c>
      <c r="H1248">
        <v>4.2999999999999997E-2</v>
      </c>
      <c r="I1248">
        <v>0</v>
      </c>
      <c r="J1248">
        <v>0</v>
      </c>
      <c r="K1248">
        <v>0</v>
      </c>
      <c r="L1248">
        <v>14.97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6.0000000000000001E-3</v>
      </c>
      <c r="S1248">
        <v>1.29E-2</v>
      </c>
      <c r="T1248">
        <v>0.16500000000000001</v>
      </c>
      <c r="U1248">
        <v>0</v>
      </c>
      <c r="V1248">
        <v>1</v>
      </c>
      <c r="W1248">
        <v>0</v>
      </c>
      <c r="Z1248">
        <v>1</v>
      </c>
      <c r="AA1248">
        <v>0</v>
      </c>
      <c r="AB1248">
        <v>0</v>
      </c>
      <c r="AC1248">
        <v>0</v>
      </c>
      <c r="AD1248">
        <v>1</v>
      </c>
      <c r="AE1248">
        <v>785</v>
      </c>
      <c r="AF1248">
        <v>1</v>
      </c>
      <c r="AG1248">
        <v>1</v>
      </c>
      <c r="AH1248">
        <v>0</v>
      </c>
      <c r="AI1248">
        <v>0</v>
      </c>
      <c r="AJ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12.164700000000002</v>
      </c>
      <c r="AX1248">
        <v>2.9477900000000004</v>
      </c>
      <c r="AY1248">
        <v>765.57079999999996</v>
      </c>
      <c r="BC1248">
        <v>23</v>
      </c>
      <c r="BF1248" t="s">
        <v>379</v>
      </c>
    </row>
    <row r="1249" spans="1:58" x14ac:dyDescent="0.45">
      <c r="A1249">
        <v>20044</v>
      </c>
      <c r="B1249">
        <v>0</v>
      </c>
      <c r="C1249">
        <v>80.257199999999997</v>
      </c>
      <c r="D1249">
        <v>0</v>
      </c>
      <c r="E1249">
        <v>0</v>
      </c>
      <c r="F1249">
        <v>0</v>
      </c>
      <c r="G1249">
        <v>0</v>
      </c>
      <c r="H1249">
        <v>4.5999999999999999E-2</v>
      </c>
      <c r="I1249">
        <v>0</v>
      </c>
      <c r="J1249">
        <v>4.76</v>
      </c>
      <c r="K1249">
        <v>0</v>
      </c>
      <c r="L1249">
        <v>14.74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8.0000000000000002E-3</v>
      </c>
      <c r="S1249">
        <v>5.7999999999999996E-3</v>
      </c>
      <c r="T1249">
        <v>0.183</v>
      </c>
      <c r="U1249">
        <v>0</v>
      </c>
      <c r="V1249">
        <v>1</v>
      </c>
      <c r="W1249">
        <v>0</v>
      </c>
      <c r="Z1249">
        <v>1</v>
      </c>
      <c r="AA1249">
        <v>0</v>
      </c>
      <c r="AB1249">
        <v>0</v>
      </c>
      <c r="AC1249">
        <v>0</v>
      </c>
      <c r="AD1249">
        <v>1</v>
      </c>
      <c r="AE1249">
        <v>730</v>
      </c>
      <c r="AF1249">
        <v>1</v>
      </c>
      <c r="AG1249">
        <v>1</v>
      </c>
      <c r="AH1249">
        <v>0</v>
      </c>
      <c r="AI1249">
        <v>0</v>
      </c>
      <c r="AJ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14.8734</v>
      </c>
      <c r="AX1249">
        <v>0.81221333333333334</v>
      </c>
      <c r="AY1249">
        <v>730.92660000000001</v>
      </c>
      <c r="BC1249">
        <v>32</v>
      </c>
      <c r="BF1249" t="s">
        <v>379</v>
      </c>
    </row>
    <row r="1250" spans="1:58" x14ac:dyDescent="0.45">
      <c r="A1250">
        <v>20045</v>
      </c>
      <c r="B1250">
        <v>0</v>
      </c>
      <c r="C1250">
        <v>81.75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7</v>
      </c>
      <c r="K1250">
        <v>0</v>
      </c>
      <c r="L1250">
        <v>10</v>
      </c>
      <c r="M1250">
        <v>0</v>
      </c>
      <c r="N1250">
        <v>0</v>
      </c>
      <c r="O1250">
        <v>0</v>
      </c>
      <c r="P1250">
        <v>0</v>
      </c>
      <c r="Q1250">
        <v>1.25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J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10</v>
      </c>
      <c r="AX1250">
        <v>1.1666666666666667</v>
      </c>
      <c r="AY1250">
        <v>767.82500000000005</v>
      </c>
      <c r="AZ1250">
        <v>29.533999999999999</v>
      </c>
      <c r="BF1250" t="s">
        <v>380</v>
      </c>
    </row>
    <row r="1251" spans="1:58" x14ac:dyDescent="0.45">
      <c r="A1251">
        <v>20046</v>
      </c>
      <c r="B1251">
        <v>1</v>
      </c>
      <c r="C1251">
        <v>80</v>
      </c>
      <c r="D1251">
        <v>0</v>
      </c>
      <c r="E1251">
        <v>0</v>
      </c>
      <c r="F1251">
        <v>0</v>
      </c>
      <c r="G1251">
        <v>0</v>
      </c>
      <c r="H1251">
        <v>2</v>
      </c>
      <c r="I1251">
        <v>0</v>
      </c>
      <c r="J1251">
        <v>6</v>
      </c>
      <c r="K1251">
        <v>0</v>
      </c>
      <c r="L1251">
        <v>12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J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17.8</v>
      </c>
      <c r="AX1251">
        <v>1</v>
      </c>
      <c r="AY1251">
        <v>695.80000000000007</v>
      </c>
      <c r="AZ1251">
        <v>107.1</v>
      </c>
      <c r="BA1251">
        <v>1291</v>
      </c>
      <c r="BC1251">
        <v>1.3</v>
      </c>
      <c r="BD1251">
        <v>488</v>
      </c>
      <c r="BF1251" t="s">
        <v>381</v>
      </c>
    </row>
    <row r="1252" spans="1:58" x14ac:dyDescent="0.45">
      <c r="A1252">
        <v>20047</v>
      </c>
      <c r="B1252">
        <v>1</v>
      </c>
      <c r="C1252">
        <v>80</v>
      </c>
      <c r="D1252">
        <v>0</v>
      </c>
      <c r="E1252">
        <v>0</v>
      </c>
      <c r="F1252">
        <v>0</v>
      </c>
      <c r="G1252">
        <v>0</v>
      </c>
      <c r="H1252">
        <v>2</v>
      </c>
      <c r="I1252">
        <v>0</v>
      </c>
      <c r="J1252">
        <v>6</v>
      </c>
      <c r="K1252">
        <v>0</v>
      </c>
      <c r="L1252">
        <v>12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J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17.8</v>
      </c>
      <c r="AX1252">
        <v>1</v>
      </c>
      <c r="AY1252">
        <v>695.80000000000007</v>
      </c>
      <c r="AZ1252">
        <v>85.7</v>
      </c>
      <c r="BA1252">
        <v>1026</v>
      </c>
      <c r="BB1252">
        <v>1026</v>
      </c>
      <c r="BC1252">
        <v>12.7</v>
      </c>
      <c r="BD1252">
        <v>343</v>
      </c>
      <c r="BF1252" t="s">
        <v>381</v>
      </c>
    </row>
    <row r="1253" spans="1:58" x14ac:dyDescent="0.45">
      <c r="A1253">
        <v>20048</v>
      </c>
      <c r="B1253">
        <v>1</v>
      </c>
      <c r="C1253">
        <v>80</v>
      </c>
      <c r="D1253">
        <v>0</v>
      </c>
      <c r="E1253">
        <v>0</v>
      </c>
      <c r="F1253">
        <v>0</v>
      </c>
      <c r="G1253">
        <v>0</v>
      </c>
      <c r="H1253">
        <v>2</v>
      </c>
      <c r="I1253">
        <v>0</v>
      </c>
      <c r="J1253">
        <v>6</v>
      </c>
      <c r="K1253">
        <v>0</v>
      </c>
      <c r="L1253">
        <v>12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Z1253">
        <v>1</v>
      </c>
      <c r="AA1253">
        <v>0</v>
      </c>
      <c r="AB1253">
        <v>0</v>
      </c>
      <c r="AC1253">
        <v>0</v>
      </c>
      <c r="AD1253">
        <v>1</v>
      </c>
      <c r="AE1253">
        <v>1000</v>
      </c>
      <c r="AF1253">
        <v>1</v>
      </c>
      <c r="AJ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17.8</v>
      </c>
      <c r="AX1253">
        <v>1</v>
      </c>
      <c r="AY1253">
        <v>695.80000000000007</v>
      </c>
      <c r="AZ1253">
        <v>70.900000000000006</v>
      </c>
      <c r="BA1253">
        <v>988</v>
      </c>
      <c r="BB1253">
        <v>943</v>
      </c>
      <c r="BC1253">
        <v>12</v>
      </c>
      <c r="BD1253">
        <v>326</v>
      </c>
      <c r="BF1253" t="s">
        <v>381</v>
      </c>
    </row>
    <row r="1254" spans="1:58" x14ac:dyDescent="0.45">
      <c r="A1254">
        <v>20049</v>
      </c>
      <c r="B1254">
        <v>1</v>
      </c>
      <c r="C1254">
        <v>83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2</v>
      </c>
      <c r="K1254">
        <v>4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J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1.1200000000000001</v>
      </c>
      <c r="AX1254">
        <v>0.33333333333333331</v>
      </c>
      <c r="AY1254">
        <v>868.2</v>
      </c>
      <c r="AZ1254">
        <v>52</v>
      </c>
      <c r="BA1254">
        <v>483</v>
      </c>
      <c r="BC1254">
        <v>26</v>
      </c>
      <c r="BF1254" t="s">
        <v>375</v>
      </c>
    </row>
    <row r="1255" spans="1:58" x14ac:dyDescent="0.45">
      <c r="A1255">
        <v>20050</v>
      </c>
      <c r="B1255">
        <v>0</v>
      </c>
      <c r="C1255">
        <v>84.75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4</v>
      </c>
      <c r="K1255">
        <v>0</v>
      </c>
      <c r="L1255">
        <v>10</v>
      </c>
      <c r="M1255">
        <v>0</v>
      </c>
      <c r="N1255">
        <v>0</v>
      </c>
      <c r="O1255">
        <v>0</v>
      </c>
      <c r="P1255">
        <v>0</v>
      </c>
      <c r="Q1255">
        <v>1.25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J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10</v>
      </c>
      <c r="AX1255">
        <v>0.66666666666666663</v>
      </c>
      <c r="AY1255">
        <v>788.52499999999998</v>
      </c>
      <c r="AZ1255">
        <v>23.085999999999999</v>
      </c>
      <c r="BA1255">
        <v>825</v>
      </c>
      <c r="BF1255" t="s">
        <v>380</v>
      </c>
    </row>
    <row r="1256" spans="1:58" x14ac:dyDescent="0.45">
      <c r="A1256">
        <v>20051</v>
      </c>
      <c r="B1256">
        <v>0</v>
      </c>
      <c r="C1256">
        <v>78.75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10</v>
      </c>
      <c r="K1256">
        <v>0</v>
      </c>
      <c r="L1256">
        <v>10</v>
      </c>
      <c r="M1256">
        <v>0</v>
      </c>
      <c r="N1256">
        <v>0</v>
      </c>
      <c r="O1256">
        <v>0</v>
      </c>
      <c r="P1256">
        <v>0</v>
      </c>
      <c r="Q1256">
        <v>1.25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J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10</v>
      </c>
      <c r="AX1256">
        <v>1.6666666666666667</v>
      </c>
      <c r="AY1256">
        <v>747.125</v>
      </c>
      <c r="AZ1256">
        <v>28.370999999999999</v>
      </c>
      <c r="BF1256" t="s">
        <v>380</v>
      </c>
    </row>
    <row r="1257" spans="1:58" x14ac:dyDescent="0.45">
      <c r="A1257">
        <v>20052</v>
      </c>
      <c r="B1257">
        <v>0</v>
      </c>
      <c r="C1257">
        <v>77.77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6</v>
      </c>
      <c r="K1257">
        <v>0</v>
      </c>
      <c r="L1257">
        <v>11.5</v>
      </c>
      <c r="M1257">
        <v>4.5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0.05</v>
      </c>
      <c r="T1257">
        <v>0.18</v>
      </c>
      <c r="U1257">
        <v>0</v>
      </c>
      <c r="V1257">
        <v>0</v>
      </c>
      <c r="W1257">
        <v>1</v>
      </c>
      <c r="Y1257">
        <v>43.333333333333336</v>
      </c>
      <c r="Z1257">
        <v>0</v>
      </c>
      <c r="AA1257">
        <v>1</v>
      </c>
      <c r="AB1257">
        <v>0</v>
      </c>
      <c r="AC1257">
        <v>0</v>
      </c>
      <c r="AD1257">
        <v>1</v>
      </c>
      <c r="AE1257">
        <v>730</v>
      </c>
      <c r="AF1257">
        <v>0.25</v>
      </c>
      <c r="AJ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11.5</v>
      </c>
      <c r="AX1257">
        <v>2.5230000000000001</v>
      </c>
      <c r="AY1257">
        <v>772.39</v>
      </c>
      <c r="AZ1257">
        <v>79</v>
      </c>
      <c r="BF1257" t="s">
        <v>382</v>
      </c>
    </row>
    <row r="1258" spans="1:58" x14ac:dyDescent="0.45">
      <c r="A1258">
        <v>20053</v>
      </c>
      <c r="B1258">
        <v>0</v>
      </c>
      <c r="C1258">
        <v>77.77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6</v>
      </c>
      <c r="K1258">
        <v>0</v>
      </c>
      <c r="L1258">
        <v>11.5</v>
      </c>
      <c r="M1258">
        <v>4.5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0.05</v>
      </c>
      <c r="T1258">
        <v>0.18</v>
      </c>
      <c r="U1258">
        <v>0</v>
      </c>
      <c r="V1258">
        <v>0</v>
      </c>
      <c r="W1258">
        <v>1</v>
      </c>
      <c r="Y1258">
        <v>43.333333333333336</v>
      </c>
      <c r="Z1258">
        <v>0</v>
      </c>
      <c r="AA1258">
        <v>1</v>
      </c>
      <c r="AB1258">
        <v>0</v>
      </c>
      <c r="AC1258">
        <v>0</v>
      </c>
      <c r="AD1258">
        <v>1</v>
      </c>
      <c r="AE1258">
        <v>730</v>
      </c>
      <c r="AF1258">
        <v>0.25</v>
      </c>
      <c r="AJ1258">
        <v>1</v>
      </c>
      <c r="AK1258">
        <v>510</v>
      </c>
      <c r="AL1258">
        <v>8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11.5</v>
      </c>
      <c r="AX1258">
        <v>2.5230000000000001</v>
      </c>
      <c r="AY1258">
        <v>772.39</v>
      </c>
      <c r="AZ1258">
        <v>108</v>
      </c>
      <c r="BF1258" t="s">
        <v>382</v>
      </c>
    </row>
    <row r="1259" spans="1:58" x14ac:dyDescent="0.45">
      <c r="A1259">
        <v>20054</v>
      </c>
      <c r="B1259">
        <v>1</v>
      </c>
      <c r="C1259">
        <v>78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Y1259">
        <v>85</v>
      </c>
      <c r="Z1259">
        <v>0</v>
      </c>
      <c r="AA1259">
        <v>1</v>
      </c>
      <c r="AB1259">
        <v>0</v>
      </c>
      <c r="AC1259">
        <v>0</v>
      </c>
      <c r="AD1259">
        <v>1</v>
      </c>
      <c r="AE1259">
        <v>1000</v>
      </c>
      <c r="AF1259">
        <v>10</v>
      </c>
      <c r="AJ1259">
        <v>1</v>
      </c>
      <c r="AK1259">
        <v>950</v>
      </c>
      <c r="AL1259">
        <v>1</v>
      </c>
      <c r="AM1259">
        <v>1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6.16</v>
      </c>
      <c r="AX1259">
        <v>0</v>
      </c>
      <c r="AY1259">
        <v>882</v>
      </c>
      <c r="AZ1259">
        <v>72</v>
      </c>
      <c r="BA1259">
        <v>400</v>
      </c>
      <c r="BB1259">
        <v>600</v>
      </c>
      <c r="BC1259">
        <v>31.5</v>
      </c>
      <c r="BF1259" t="s">
        <v>383</v>
      </c>
    </row>
    <row r="1260" spans="1:58" x14ac:dyDescent="0.45">
      <c r="A1260">
        <v>20055</v>
      </c>
      <c r="B1260">
        <v>1</v>
      </c>
      <c r="C1260">
        <v>61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Y1260">
        <v>89</v>
      </c>
      <c r="Z1260">
        <v>0</v>
      </c>
      <c r="AA1260">
        <v>1</v>
      </c>
      <c r="AB1260">
        <v>0</v>
      </c>
      <c r="AC1260">
        <v>0</v>
      </c>
      <c r="AD1260">
        <v>1</v>
      </c>
      <c r="AE1260">
        <v>950</v>
      </c>
      <c r="AF1260">
        <v>5</v>
      </c>
      <c r="AJ1260">
        <v>1</v>
      </c>
      <c r="AK1260">
        <v>800</v>
      </c>
      <c r="AL1260">
        <v>1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10.920000000000002</v>
      </c>
      <c r="AX1260">
        <v>0</v>
      </c>
      <c r="AY1260">
        <v>882</v>
      </c>
      <c r="AZ1260">
        <v>45</v>
      </c>
      <c r="BA1260">
        <v>156</v>
      </c>
      <c r="BB1260">
        <v>500</v>
      </c>
      <c r="BF1260" t="s">
        <v>384</v>
      </c>
    </row>
    <row r="1261" spans="1:58" x14ac:dyDescent="0.45">
      <c r="A1261">
        <v>20056</v>
      </c>
      <c r="B1261">
        <v>1</v>
      </c>
      <c r="C1261">
        <v>61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Y1261">
        <v>89</v>
      </c>
      <c r="Z1261">
        <v>0</v>
      </c>
      <c r="AA1261">
        <v>1</v>
      </c>
      <c r="AB1261">
        <v>0</v>
      </c>
      <c r="AC1261">
        <v>0</v>
      </c>
      <c r="AD1261">
        <v>1</v>
      </c>
      <c r="AE1261">
        <v>950</v>
      </c>
      <c r="AF1261">
        <v>5</v>
      </c>
      <c r="AJ1261">
        <v>1</v>
      </c>
      <c r="AK1261">
        <v>250</v>
      </c>
      <c r="AL1261">
        <v>0.5</v>
      </c>
      <c r="AM1261">
        <v>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10.920000000000002</v>
      </c>
      <c r="AX1261">
        <v>0</v>
      </c>
      <c r="AY1261">
        <v>882</v>
      </c>
      <c r="AZ1261">
        <v>39</v>
      </c>
      <c r="BA1261">
        <v>410</v>
      </c>
      <c r="BB1261">
        <v>745</v>
      </c>
      <c r="BF1261" t="s">
        <v>385</v>
      </c>
    </row>
    <row r="1262" spans="1:58" x14ac:dyDescent="0.45">
      <c r="A1262">
        <v>20057</v>
      </c>
      <c r="B1262">
        <v>1</v>
      </c>
      <c r="C1262">
        <v>55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45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Z1262">
        <v>0</v>
      </c>
      <c r="AA1262">
        <v>0</v>
      </c>
      <c r="AB1262">
        <v>0</v>
      </c>
      <c r="AC1262">
        <v>1</v>
      </c>
      <c r="AD1262">
        <v>0</v>
      </c>
      <c r="AJ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12.600000000000001</v>
      </c>
      <c r="AX1262">
        <v>0</v>
      </c>
      <c r="AY1262">
        <v>882</v>
      </c>
      <c r="AZ1262">
        <v>65</v>
      </c>
      <c r="BF1262" t="s">
        <v>386</v>
      </c>
    </row>
    <row r="1263" spans="1:58" x14ac:dyDescent="0.45">
      <c r="A1263">
        <v>20058</v>
      </c>
      <c r="B1263">
        <v>1</v>
      </c>
      <c r="C1263">
        <v>88.5</v>
      </c>
      <c r="D1263">
        <v>0</v>
      </c>
      <c r="E1263">
        <v>0</v>
      </c>
      <c r="F1263">
        <v>0</v>
      </c>
      <c r="G1263">
        <v>0</v>
      </c>
      <c r="H1263">
        <v>0.5</v>
      </c>
      <c r="I1263">
        <v>0</v>
      </c>
      <c r="J1263">
        <v>0</v>
      </c>
      <c r="K1263">
        <v>11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J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4.53</v>
      </c>
      <c r="AX1263">
        <v>0</v>
      </c>
      <c r="AY1263">
        <v>874.3</v>
      </c>
      <c r="AZ1263">
        <v>109</v>
      </c>
      <c r="BA1263">
        <v>796</v>
      </c>
      <c r="BC1263">
        <v>18</v>
      </c>
      <c r="BD1263">
        <v>278</v>
      </c>
      <c r="BF1263" t="s">
        <v>387</v>
      </c>
    </row>
    <row r="1264" spans="1:58" x14ac:dyDescent="0.45">
      <c r="A1264">
        <v>20059</v>
      </c>
      <c r="B1264">
        <v>1</v>
      </c>
      <c r="C1264">
        <v>85.5</v>
      </c>
      <c r="D1264">
        <v>0</v>
      </c>
      <c r="E1264">
        <v>0</v>
      </c>
      <c r="F1264">
        <v>0</v>
      </c>
      <c r="G1264">
        <v>0</v>
      </c>
      <c r="H1264">
        <v>3.5</v>
      </c>
      <c r="I1264">
        <v>0</v>
      </c>
      <c r="J1264">
        <v>0</v>
      </c>
      <c r="K1264">
        <v>11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Z1264">
        <v>1</v>
      </c>
      <c r="AA1264">
        <v>0</v>
      </c>
      <c r="AB1264">
        <v>0</v>
      </c>
      <c r="AC1264">
        <v>0</v>
      </c>
      <c r="AD1264">
        <v>1</v>
      </c>
      <c r="AE1264">
        <v>750</v>
      </c>
      <c r="AF1264">
        <v>0.16666666666666666</v>
      </c>
      <c r="AG1264">
        <v>1</v>
      </c>
      <c r="AH1264">
        <v>0</v>
      </c>
      <c r="AI1264">
        <v>0</v>
      </c>
      <c r="AJ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13.23</v>
      </c>
      <c r="AX1264">
        <v>0</v>
      </c>
      <c r="AY1264">
        <v>828.1</v>
      </c>
      <c r="AZ1264">
        <v>101</v>
      </c>
      <c r="BA1264">
        <v>932</v>
      </c>
      <c r="BC1264">
        <v>29</v>
      </c>
      <c r="BD1264">
        <v>303</v>
      </c>
      <c r="BF1264" t="s">
        <v>387</v>
      </c>
    </row>
    <row r="1265" spans="1:58" x14ac:dyDescent="0.45">
      <c r="A1265">
        <v>20060</v>
      </c>
      <c r="B1265">
        <v>1</v>
      </c>
      <c r="C1265">
        <v>83</v>
      </c>
      <c r="D1265">
        <v>0</v>
      </c>
      <c r="E1265">
        <v>0</v>
      </c>
      <c r="F1265">
        <v>0</v>
      </c>
      <c r="G1265">
        <v>0</v>
      </c>
      <c r="H1265">
        <v>6</v>
      </c>
      <c r="I1265">
        <v>0</v>
      </c>
      <c r="J1265">
        <v>0</v>
      </c>
      <c r="K1265">
        <v>11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J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20.479999999999997</v>
      </c>
      <c r="AX1265">
        <v>0</v>
      </c>
      <c r="AY1265">
        <v>789.6</v>
      </c>
      <c r="AZ1265">
        <v>89</v>
      </c>
      <c r="BA1265">
        <v>1137</v>
      </c>
      <c r="BC1265">
        <v>36</v>
      </c>
      <c r="BD1265">
        <v>357</v>
      </c>
      <c r="BF1265" t="s">
        <v>387</v>
      </c>
    </row>
    <row r="1266" spans="1:58" x14ac:dyDescent="0.45">
      <c r="A1266">
        <v>20061</v>
      </c>
      <c r="B1266">
        <v>1</v>
      </c>
      <c r="C1266">
        <v>80</v>
      </c>
      <c r="D1266">
        <v>0</v>
      </c>
      <c r="E1266">
        <v>0</v>
      </c>
      <c r="F1266">
        <v>0</v>
      </c>
      <c r="G1266">
        <v>0</v>
      </c>
      <c r="H1266">
        <v>9</v>
      </c>
      <c r="I1266">
        <v>0</v>
      </c>
      <c r="J1266">
        <v>0</v>
      </c>
      <c r="K1266">
        <v>11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J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29.18</v>
      </c>
      <c r="AX1266">
        <v>0</v>
      </c>
      <c r="AY1266">
        <v>743.4</v>
      </c>
      <c r="AZ1266">
        <v>82</v>
      </c>
      <c r="BA1266">
        <v>1078</v>
      </c>
      <c r="BC1266">
        <v>38</v>
      </c>
      <c r="BD1266">
        <v>334</v>
      </c>
      <c r="BF1266" t="s">
        <v>387</v>
      </c>
    </row>
    <row r="1267" spans="1:58" x14ac:dyDescent="0.45">
      <c r="A1267">
        <v>20062</v>
      </c>
      <c r="B1267">
        <v>1</v>
      </c>
      <c r="C1267">
        <v>82</v>
      </c>
      <c r="D1267">
        <v>0</v>
      </c>
      <c r="E1267">
        <v>0</v>
      </c>
      <c r="F1267">
        <v>0</v>
      </c>
      <c r="G1267">
        <v>0</v>
      </c>
      <c r="H1267">
        <v>7</v>
      </c>
      <c r="I1267">
        <v>0</v>
      </c>
      <c r="J1267">
        <v>0</v>
      </c>
      <c r="K1267">
        <v>11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J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23.380000000000003</v>
      </c>
      <c r="AX1267">
        <v>0</v>
      </c>
      <c r="AY1267">
        <v>774.2</v>
      </c>
      <c r="AZ1267">
        <v>86</v>
      </c>
      <c r="BA1267">
        <v>985</v>
      </c>
      <c r="BB1267">
        <v>2006</v>
      </c>
      <c r="BC1267">
        <v>41.5</v>
      </c>
      <c r="BF1267" t="s">
        <v>359</v>
      </c>
    </row>
    <row r="1268" spans="1:58" x14ac:dyDescent="0.45">
      <c r="A1268">
        <v>20063</v>
      </c>
      <c r="B1268">
        <v>1</v>
      </c>
      <c r="C1268">
        <v>82</v>
      </c>
      <c r="D1268">
        <v>0</v>
      </c>
      <c r="E1268">
        <v>0</v>
      </c>
      <c r="F1268">
        <v>0</v>
      </c>
      <c r="G1268">
        <v>0</v>
      </c>
      <c r="H1268">
        <v>3</v>
      </c>
      <c r="I1268">
        <v>0</v>
      </c>
      <c r="J1268">
        <v>0</v>
      </c>
      <c r="K1268">
        <v>15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Z1268">
        <v>1</v>
      </c>
      <c r="AA1268">
        <v>0</v>
      </c>
      <c r="AB1268">
        <v>0</v>
      </c>
      <c r="AC1268">
        <v>0</v>
      </c>
      <c r="AD1268">
        <v>1</v>
      </c>
      <c r="AE1268">
        <v>750</v>
      </c>
      <c r="AF1268">
        <v>0.16666666666666666</v>
      </c>
      <c r="AG1268">
        <v>1</v>
      </c>
      <c r="AH1268">
        <v>0</v>
      </c>
      <c r="AI1268">
        <v>0</v>
      </c>
      <c r="AJ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12.899999999999999</v>
      </c>
      <c r="AX1268">
        <v>0</v>
      </c>
      <c r="AY1268">
        <v>835.8</v>
      </c>
      <c r="AZ1268">
        <v>94</v>
      </c>
      <c r="BA1268">
        <v>695</v>
      </c>
      <c r="BF1268" t="s">
        <v>388</v>
      </c>
    </row>
    <row r="1269" spans="1:58" x14ac:dyDescent="0.45">
      <c r="A1269">
        <v>20064</v>
      </c>
      <c r="B1269">
        <v>1</v>
      </c>
      <c r="C1269">
        <v>78.5</v>
      </c>
      <c r="D1269">
        <v>0</v>
      </c>
      <c r="E1269">
        <v>0</v>
      </c>
      <c r="F1269">
        <v>0</v>
      </c>
      <c r="G1269">
        <v>0</v>
      </c>
      <c r="H1269">
        <v>2.5</v>
      </c>
      <c r="I1269">
        <v>0</v>
      </c>
      <c r="J1269">
        <v>0</v>
      </c>
      <c r="K1269">
        <v>19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Z1269">
        <v>1</v>
      </c>
      <c r="AA1269">
        <v>0</v>
      </c>
      <c r="AB1269">
        <v>0</v>
      </c>
      <c r="AC1269">
        <v>0</v>
      </c>
      <c r="AD1269">
        <v>1</v>
      </c>
      <c r="AE1269">
        <v>750</v>
      </c>
      <c r="AF1269">
        <v>0.16666666666666666</v>
      </c>
      <c r="AG1269">
        <v>1</v>
      </c>
      <c r="AH1269">
        <v>0</v>
      </c>
      <c r="AI1269">
        <v>0</v>
      </c>
      <c r="AJ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12.57</v>
      </c>
      <c r="AX1269">
        <v>0</v>
      </c>
      <c r="AY1269">
        <v>843.5</v>
      </c>
      <c r="AZ1269">
        <v>90</v>
      </c>
      <c r="BA1269">
        <v>672</v>
      </c>
      <c r="BF1269" t="s">
        <v>388</v>
      </c>
    </row>
    <row r="1270" spans="1:58" x14ac:dyDescent="0.45">
      <c r="A1270">
        <v>20065</v>
      </c>
      <c r="B1270">
        <v>1</v>
      </c>
      <c r="C1270">
        <v>75</v>
      </c>
      <c r="D1270">
        <v>0</v>
      </c>
      <c r="E1270">
        <v>0</v>
      </c>
      <c r="F1270">
        <v>0</v>
      </c>
      <c r="G1270">
        <v>0</v>
      </c>
      <c r="H1270">
        <v>2</v>
      </c>
      <c r="I1270">
        <v>0</v>
      </c>
      <c r="J1270">
        <v>0</v>
      </c>
      <c r="K1270">
        <v>23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Z1270">
        <v>1</v>
      </c>
      <c r="AA1270">
        <v>0</v>
      </c>
      <c r="AB1270">
        <v>0</v>
      </c>
      <c r="AC1270">
        <v>0</v>
      </c>
      <c r="AD1270">
        <v>1</v>
      </c>
      <c r="AE1270">
        <v>750</v>
      </c>
      <c r="AF1270">
        <v>0.16666666666666666</v>
      </c>
      <c r="AG1270">
        <v>1</v>
      </c>
      <c r="AH1270">
        <v>0</v>
      </c>
      <c r="AI1270">
        <v>0</v>
      </c>
      <c r="AJ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12.24</v>
      </c>
      <c r="AX1270">
        <v>0</v>
      </c>
      <c r="AY1270">
        <v>851.2</v>
      </c>
      <c r="AZ1270">
        <v>95</v>
      </c>
      <c r="BA1270">
        <v>604</v>
      </c>
      <c r="BF1270" t="s">
        <v>388</v>
      </c>
    </row>
    <row r="1271" spans="1:58" x14ac:dyDescent="0.45">
      <c r="A1271">
        <v>20066</v>
      </c>
      <c r="B1271">
        <v>1</v>
      </c>
      <c r="C1271">
        <v>70.7</v>
      </c>
      <c r="D1271">
        <v>0</v>
      </c>
      <c r="E1271">
        <v>0</v>
      </c>
      <c r="F1271">
        <v>0</v>
      </c>
      <c r="G1271">
        <v>0</v>
      </c>
      <c r="H1271">
        <v>2.12</v>
      </c>
      <c r="I1271">
        <v>0</v>
      </c>
      <c r="J1271">
        <v>0</v>
      </c>
      <c r="K1271">
        <v>27.18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Y1271">
        <v>84</v>
      </c>
      <c r="Z1271">
        <v>0</v>
      </c>
      <c r="AA1271">
        <v>1</v>
      </c>
      <c r="AB1271">
        <v>0</v>
      </c>
      <c r="AC1271">
        <v>0</v>
      </c>
      <c r="AD1271">
        <v>1</v>
      </c>
      <c r="AE1271">
        <v>1000</v>
      </c>
      <c r="AF1271">
        <v>1</v>
      </c>
      <c r="AJ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13.7584</v>
      </c>
      <c r="AX1271">
        <v>0</v>
      </c>
      <c r="AY1271">
        <v>849.35199999999998</v>
      </c>
      <c r="AZ1271">
        <v>83</v>
      </c>
      <c r="BF1271" t="s">
        <v>389</v>
      </c>
    </row>
    <row r="1272" spans="1:58" x14ac:dyDescent="0.45">
      <c r="A1272">
        <v>20067</v>
      </c>
      <c r="B1272">
        <v>1</v>
      </c>
      <c r="C1272">
        <v>71.5</v>
      </c>
      <c r="D1272">
        <v>0</v>
      </c>
      <c r="E1272">
        <v>0</v>
      </c>
      <c r="F1272">
        <v>0</v>
      </c>
      <c r="G1272">
        <v>0</v>
      </c>
      <c r="H1272">
        <v>1.5</v>
      </c>
      <c r="I1272">
        <v>0</v>
      </c>
      <c r="J1272">
        <v>0</v>
      </c>
      <c r="K1272">
        <v>27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Z1272">
        <v>1</v>
      </c>
      <c r="AA1272">
        <v>0</v>
      </c>
      <c r="AB1272">
        <v>0</v>
      </c>
      <c r="AC1272">
        <v>0</v>
      </c>
      <c r="AD1272">
        <v>1</v>
      </c>
      <c r="AE1272">
        <v>750</v>
      </c>
      <c r="AF1272">
        <v>0.16666666666666666</v>
      </c>
      <c r="AG1272">
        <v>1</v>
      </c>
      <c r="AH1272">
        <v>0</v>
      </c>
      <c r="AI1272">
        <v>0</v>
      </c>
      <c r="AJ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11.91</v>
      </c>
      <c r="AX1272">
        <v>0</v>
      </c>
      <c r="AY1272">
        <v>858.9</v>
      </c>
      <c r="AZ1272">
        <v>81</v>
      </c>
      <c r="BA1272">
        <v>496</v>
      </c>
      <c r="BF1272" t="s">
        <v>388</v>
      </c>
    </row>
    <row r="1273" spans="1:58" x14ac:dyDescent="0.45">
      <c r="A1273">
        <v>20068</v>
      </c>
      <c r="B1273">
        <v>1</v>
      </c>
      <c r="C1273">
        <v>68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31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Z1273">
        <v>1</v>
      </c>
      <c r="AA1273">
        <v>0</v>
      </c>
      <c r="AB1273">
        <v>0</v>
      </c>
      <c r="AC1273">
        <v>0</v>
      </c>
      <c r="AD1273">
        <v>1</v>
      </c>
      <c r="AE1273">
        <v>750</v>
      </c>
      <c r="AF1273">
        <v>0.16666666666666666</v>
      </c>
      <c r="AG1273">
        <v>1</v>
      </c>
      <c r="AH1273">
        <v>0</v>
      </c>
      <c r="AI1273">
        <v>0</v>
      </c>
      <c r="AJ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11.580000000000002</v>
      </c>
      <c r="AX1273">
        <v>0</v>
      </c>
      <c r="AY1273">
        <v>866.6</v>
      </c>
      <c r="AZ1273">
        <v>81</v>
      </c>
      <c r="BA1273">
        <v>477</v>
      </c>
      <c r="BF1273" t="s">
        <v>388</v>
      </c>
    </row>
    <row r="1274" spans="1:58" x14ac:dyDescent="0.45">
      <c r="A1274">
        <v>20069</v>
      </c>
      <c r="B1274">
        <v>1</v>
      </c>
      <c r="C1274">
        <v>84</v>
      </c>
      <c r="D1274">
        <v>0</v>
      </c>
      <c r="E1274">
        <v>0</v>
      </c>
      <c r="F1274">
        <v>0</v>
      </c>
      <c r="G1274">
        <v>0</v>
      </c>
      <c r="H1274">
        <v>7</v>
      </c>
      <c r="I1274">
        <v>0</v>
      </c>
      <c r="J1274">
        <v>0</v>
      </c>
      <c r="K1274">
        <v>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J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22.82</v>
      </c>
      <c r="AX1274">
        <v>0</v>
      </c>
      <c r="AY1274">
        <v>774.2</v>
      </c>
      <c r="AZ1274">
        <v>89</v>
      </c>
      <c r="BA1274">
        <v>1010</v>
      </c>
      <c r="BB1274">
        <v>2007</v>
      </c>
      <c r="BC1274">
        <v>40.5</v>
      </c>
      <c r="BF1274" t="s">
        <v>387</v>
      </c>
    </row>
    <row r="1275" spans="1:58" x14ac:dyDescent="0.45">
      <c r="A1275">
        <v>20070</v>
      </c>
      <c r="B1275">
        <v>1</v>
      </c>
      <c r="C1275">
        <v>70.3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19.5</v>
      </c>
      <c r="L1275">
        <v>10.199999999999999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J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15.66</v>
      </c>
      <c r="AX1275">
        <v>0</v>
      </c>
      <c r="AY1275">
        <v>785.1</v>
      </c>
      <c r="AZ1275">
        <v>62</v>
      </c>
      <c r="BA1275">
        <v>873</v>
      </c>
      <c r="BB1275">
        <v>685</v>
      </c>
      <c r="BC1275">
        <v>0.44</v>
      </c>
      <c r="BF1275" t="s">
        <v>370</v>
      </c>
    </row>
    <row r="1276" spans="1:58" x14ac:dyDescent="0.45">
      <c r="A1276">
        <v>20071</v>
      </c>
      <c r="B1276">
        <v>1</v>
      </c>
      <c r="C1276">
        <v>64.099999999999994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26.7</v>
      </c>
      <c r="L1276">
        <v>9.1999999999999993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J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16.676000000000002</v>
      </c>
      <c r="AX1276">
        <v>0</v>
      </c>
      <c r="AY1276">
        <v>794.6</v>
      </c>
      <c r="AZ1276">
        <v>71</v>
      </c>
      <c r="BA1276">
        <v>844</v>
      </c>
      <c r="BB1276">
        <v>875</v>
      </c>
      <c r="BC1276">
        <v>3.1</v>
      </c>
      <c r="BF1276" t="s">
        <v>370</v>
      </c>
    </row>
    <row r="1277" spans="1:58" x14ac:dyDescent="0.45">
      <c r="A1277">
        <v>20072</v>
      </c>
      <c r="B1277">
        <v>1</v>
      </c>
      <c r="C1277">
        <v>49.8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38.1</v>
      </c>
      <c r="L1277">
        <v>12.1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Z1277">
        <v>1</v>
      </c>
      <c r="AA1277">
        <v>0</v>
      </c>
      <c r="AB1277">
        <v>0</v>
      </c>
      <c r="AC1277">
        <v>0</v>
      </c>
      <c r="AD1277">
        <v>0</v>
      </c>
      <c r="AJ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22.768000000000001</v>
      </c>
      <c r="AX1277">
        <v>0</v>
      </c>
      <c r="AY1277">
        <v>767.05</v>
      </c>
      <c r="AZ1277">
        <v>54.5</v>
      </c>
      <c r="BA1277">
        <v>581</v>
      </c>
      <c r="BB1277">
        <v>663</v>
      </c>
      <c r="BD1277">
        <v>242</v>
      </c>
      <c r="BF1277" t="s">
        <v>390</v>
      </c>
    </row>
    <row r="1278" spans="1:58" x14ac:dyDescent="0.45">
      <c r="A1278">
        <v>20073</v>
      </c>
      <c r="B1278">
        <v>1</v>
      </c>
      <c r="C1278">
        <v>54.400000000000006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39.299999999999997</v>
      </c>
      <c r="L1278">
        <v>6.3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J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17.303999999999998</v>
      </c>
      <c r="AX1278">
        <v>0</v>
      </c>
      <c r="AY1278">
        <v>822.15</v>
      </c>
      <c r="AZ1278">
        <v>63.6</v>
      </c>
      <c r="BA1278">
        <v>554</v>
      </c>
      <c r="BB1278">
        <v>621</v>
      </c>
      <c r="BD1278">
        <v>211</v>
      </c>
      <c r="BF1278" t="s">
        <v>390</v>
      </c>
    </row>
    <row r="1279" spans="1:58" x14ac:dyDescent="0.45">
      <c r="A1279">
        <v>20074</v>
      </c>
      <c r="B1279">
        <v>1</v>
      </c>
      <c r="C1279">
        <v>52.099999999999994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38.700000000000003</v>
      </c>
      <c r="L1279">
        <v>9.1999999999999993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J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20.036000000000001</v>
      </c>
      <c r="AX1279">
        <v>0</v>
      </c>
      <c r="AY1279">
        <v>794.6</v>
      </c>
      <c r="AZ1279">
        <v>55.7</v>
      </c>
      <c r="BA1279">
        <v>578</v>
      </c>
      <c r="BB1279">
        <v>634</v>
      </c>
      <c r="BD1279">
        <v>218</v>
      </c>
      <c r="BF1279" t="s">
        <v>390</v>
      </c>
    </row>
    <row r="1280" spans="1:58" x14ac:dyDescent="0.45">
      <c r="A1280">
        <v>20075</v>
      </c>
      <c r="B1280">
        <v>1</v>
      </c>
      <c r="C1280">
        <v>56.9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39.9</v>
      </c>
      <c r="L1280">
        <v>3.2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J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14.372</v>
      </c>
      <c r="AX1280">
        <v>0</v>
      </c>
      <c r="AY1280">
        <v>851.6</v>
      </c>
      <c r="AZ1280">
        <v>67</v>
      </c>
      <c r="BA1280">
        <v>481</v>
      </c>
      <c r="BB1280">
        <v>535</v>
      </c>
      <c r="BD1280">
        <v>189</v>
      </c>
      <c r="BF1280" t="s">
        <v>390</v>
      </c>
    </row>
    <row r="1281" spans="1:58" x14ac:dyDescent="0.45">
      <c r="A1281">
        <v>20076</v>
      </c>
      <c r="B1281">
        <v>1</v>
      </c>
      <c r="C1281">
        <v>49.81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12.1</v>
      </c>
      <c r="L1281">
        <v>38.08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J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41.467999999999996</v>
      </c>
      <c r="AX1281">
        <v>0</v>
      </c>
      <c r="AY1281">
        <v>520.24</v>
      </c>
      <c r="AZ1281">
        <v>54.5</v>
      </c>
      <c r="BB1281">
        <v>663</v>
      </c>
      <c r="BD1281">
        <v>242</v>
      </c>
      <c r="BF1281" t="s">
        <v>390</v>
      </c>
    </row>
    <row r="1282" spans="1:58" x14ac:dyDescent="0.45">
      <c r="A1282">
        <v>20077</v>
      </c>
      <c r="B1282">
        <v>1</v>
      </c>
      <c r="C1282">
        <v>77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</v>
      </c>
      <c r="K1282">
        <v>15</v>
      </c>
      <c r="L1282">
        <v>3</v>
      </c>
      <c r="M1282">
        <v>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Y1282">
        <v>80</v>
      </c>
      <c r="Z1282">
        <v>0</v>
      </c>
      <c r="AA1282">
        <v>1</v>
      </c>
      <c r="AB1282">
        <v>0</v>
      </c>
      <c r="AC1282">
        <v>0</v>
      </c>
      <c r="AD1282">
        <v>1</v>
      </c>
      <c r="AE1282">
        <v>610</v>
      </c>
      <c r="AF1282">
        <v>0.5</v>
      </c>
      <c r="AJ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7.2</v>
      </c>
      <c r="AX1282">
        <v>1.1666666666666665</v>
      </c>
      <c r="AY1282">
        <v>841.19999999999993</v>
      </c>
      <c r="AZ1282">
        <v>38</v>
      </c>
      <c r="BF1282" t="s">
        <v>391</v>
      </c>
    </row>
    <row r="1283" spans="1:58" x14ac:dyDescent="0.45">
      <c r="A1283">
        <v>20078</v>
      </c>
      <c r="B1283">
        <v>0</v>
      </c>
      <c r="C1283">
        <v>61.87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38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0.13</v>
      </c>
      <c r="U1283">
        <v>0</v>
      </c>
      <c r="V1283">
        <v>0</v>
      </c>
      <c r="W1283">
        <v>1</v>
      </c>
      <c r="Y1283">
        <v>80</v>
      </c>
      <c r="Z1283">
        <v>0</v>
      </c>
      <c r="AA1283">
        <v>1</v>
      </c>
      <c r="AB1283">
        <v>0</v>
      </c>
      <c r="AC1283">
        <v>0</v>
      </c>
      <c r="AD1283">
        <v>0</v>
      </c>
      <c r="AJ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10.64</v>
      </c>
      <c r="AX1283">
        <v>1.3000000000000001E-2</v>
      </c>
      <c r="AY1283">
        <v>897.99</v>
      </c>
      <c r="AZ1283">
        <v>57</v>
      </c>
      <c r="BB1283">
        <v>490</v>
      </c>
      <c r="BC1283">
        <v>35.200000000000003</v>
      </c>
      <c r="BF1283" t="s">
        <v>391</v>
      </c>
    </row>
    <row r="1284" spans="1:58" x14ac:dyDescent="0.45">
      <c r="A1284">
        <v>20079</v>
      </c>
      <c r="B1284">
        <v>0</v>
      </c>
      <c r="C1284">
        <v>61.76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38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0.24</v>
      </c>
      <c r="U1284">
        <v>0</v>
      </c>
      <c r="V1284">
        <v>0</v>
      </c>
      <c r="W1284">
        <v>1</v>
      </c>
      <c r="Y1284">
        <v>80</v>
      </c>
      <c r="Z1284">
        <v>0</v>
      </c>
      <c r="AA1284">
        <v>1</v>
      </c>
      <c r="AB1284">
        <v>0</v>
      </c>
      <c r="AC1284">
        <v>0</v>
      </c>
      <c r="AD1284">
        <v>0</v>
      </c>
      <c r="AJ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10.64</v>
      </c>
      <c r="AX1284">
        <v>2.4E-2</v>
      </c>
      <c r="AY1284">
        <v>911.52</v>
      </c>
      <c r="AZ1284">
        <v>59</v>
      </c>
      <c r="BB1284">
        <v>590</v>
      </c>
      <c r="BC1284">
        <v>35.5</v>
      </c>
      <c r="BF1284" t="s">
        <v>391</v>
      </c>
    </row>
    <row r="1285" spans="1:58" x14ac:dyDescent="0.45">
      <c r="A1285">
        <v>20080</v>
      </c>
      <c r="B1285">
        <v>0</v>
      </c>
      <c r="C1285">
        <v>61.54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38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0.46</v>
      </c>
      <c r="U1285">
        <v>0</v>
      </c>
      <c r="V1285">
        <v>0</v>
      </c>
      <c r="W1285">
        <v>1</v>
      </c>
      <c r="Y1285">
        <v>80</v>
      </c>
      <c r="Z1285">
        <v>0</v>
      </c>
      <c r="AA1285">
        <v>1</v>
      </c>
      <c r="AB1285">
        <v>0</v>
      </c>
      <c r="AC1285">
        <v>0</v>
      </c>
      <c r="AD1285">
        <v>0</v>
      </c>
      <c r="AJ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10.64</v>
      </c>
      <c r="AX1285">
        <v>4.5999999999999999E-2</v>
      </c>
      <c r="AY1285">
        <v>938.58</v>
      </c>
      <c r="AZ1285">
        <v>62</v>
      </c>
      <c r="BB1285">
        <v>780</v>
      </c>
      <c r="BC1285">
        <v>25</v>
      </c>
      <c r="BF1285" t="s">
        <v>391</v>
      </c>
    </row>
    <row r="1286" spans="1:58" x14ac:dyDescent="0.45">
      <c r="A1286">
        <v>20081</v>
      </c>
      <c r="B1286">
        <v>1</v>
      </c>
      <c r="C1286">
        <v>90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J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2.8000000000000003</v>
      </c>
      <c r="AX1286">
        <v>0</v>
      </c>
      <c r="AY1286">
        <v>882</v>
      </c>
      <c r="AZ1286">
        <v>76</v>
      </c>
      <c r="BF1286" t="s">
        <v>392</v>
      </c>
    </row>
    <row r="1287" spans="1:58" x14ac:dyDescent="0.45">
      <c r="A1287">
        <v>20082</v>
      </c>
      <c r="B1287">
        <v>1</v>
      </c>
      <c r="C1287">
        <v>87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10</v>
      </c>
      <c r="L1287">
        <v>0</v>
      </c>
      <c r="M1287">
        <v>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J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2.8000000000000003</v>
      </c>
      <c r="AX1287">
        <v>1</v>
      </c>
      <c r="AY1287">
        <v>894.6</v>
      </c>
      <c r="AZ1287">
        <v>74</v>
      </c>
      <c r="BF1287" t="s">
        <v>392</v>
      </c>
    </row>
    <row r="1288" spans="1:58" x14ac:dyDescent="0.45">
      <c r="A1288">
        <v>20083</v>
      </c>
      <c r="B1288">
        <v>1</v>
      </c>
      <c r="C1288">
        <v>85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10</v>
      </c>
      <c r="L1288">
        <v>0</v>
      </c>
      <c r="M1288">
        <v>5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J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2.8000000000000003</v>
      </c>
      <c r="AX1288">
        <v>1.6666666666666667</v>
      </c>
      <c r="AY1288">
        <v>903</v>
      </c>
      <c r="AZ1288">
        <v>73.5</v>
      </c>
      <c r="BF1288" t="s">
        <v>392</v>
      </c>
    </row>
    <row r="1289" spans="1:58" x14ac:dyDescent="0.45">
      <c r="A1289">
        <v>20084</v>
      </c>
      <c r="B1289">
        <v>1</v>
      </c>
      <c r="C1289">
        <v>82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10</v>
      </c>
      <c r="L1289">
        <v>0</v>
      </c>
      <c r="M1289">
        <v>8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J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2.8000000000000003</v>
      </c>
      <c r="AX1289">
        <v>2.6666666666666665</v>
      </c>
      <c r="AY1289">
        <v>915.6</v>
      </c>
      <c r="AZ1289">
        <v>73</v>
      </c>
      <c r="BF1289" t="s">
        <v>392</v>
      </c>
    </row>
    <row r="1290" spans="1:58" x14ac:dyDescent="0.45">
      <c r="A1290">
        <v>20085</v>
      </c>
      <c r="B1290">
        <v>1</v>
      </c>
      <c r="C1290">
        <v>72.760000000000005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16.62</v>
      </c>
      <c r="L1290">
        <v>0</v>
      </c>
      <c r="M1290">
        <v>10.62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J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4.6536000000000008</v>
      </c>
      <c r="AX1290">
        <v>3.5399999999999996</v>
      </c>
      <c r="AY1290">
        <v>926.60400000000004</v>
      </c>
      <c r="AZ1290">
        <v>80</v>
      </c>
      <c r="BA1290">
        <v>787</v>
      </c>
      <c r="BC1290">
        <v>6.84</v>
      </c>
      <c r="BF1290" t="s">
        <v>383</v>
      </c>
    </row>
    <row r="1291" spans="1:58" x14ac:dyDescent="0.45">
      <c r="A1291">
        <v>20086</v>
      </c>
      <c r="B1291">
        <v>1</v>
      </c>
      <c r="C1291">
        <v>68.64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21.02</v>
      </c>
      <c r="L1291">
        <v>0</v>
      </c>
      <c r="M1291">
        <v>11.08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J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5.8856000000000002</v>
      </c>
      <c r="AX1291">
        <v>3.6933333333333334</v>
      </c>
      <c r="AY1291">
        <v>928.53600000000006</v>
      </c>
      <c r="AZ1291">
        <v>75</v>
      </c>
      <c r="BA1291">
        <v>772</v>
      </c>
      <c r="BC1291">
        <v>9.4600000000000009</v>
      </c>
      <c r="BF1291" t="s">
        <v>383</v>
      </c>
    </row>
    <row r="1292" spans="1:58" x14ac:dyDescent="0.45">
      <c r="A1292">
        <v>20087</v>
      </c>
      <c r="B1292">
        <v>1</v>
      </c>
      <c r="C1292">
        <v>72.8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16.600000000000001</v>
      </c>
      <c r="L1292">
        <v>0</v>
      </c>
      <c r="M1292">
        <v>10.6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J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4.6480000000000006</v>
      </c>
      <c r="AX1292">
        <v>3.5333333333333332</v>
      </c>
      <c r="AY1292">
        <v>926.52</v>
      </c>
      <c r="AZ1292">
        <v>80</v>
      </c>
      <c r="BA1292">
        <v>787</v>
      </c>
      <c r="BC1292">
        <v>6.84</v>
      </c>
      <c r="BD1292">
        <v>230</v>
      </c>
      <c r="BF1292" t="s">
        <v>383</v>
      </c>
    </row>
    <row r="1293" spans="1:58" x14ac:dyDescent="0.45">
      <c r="A1293">
        <v>20088</v>
      </c>
      <c r="B1293">
        <v>1</v>
      </c>
      <c r="C1293">
        <v>68.400000000000006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21.2</v>
      </c>
      <c r="L1293">
        <v>0</v>
      </c>
      <c r="M1293">
        <v>10.4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J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5.9359999999999999</v>
      </c>
      <c r="AX1293">
        <v>3.4666666666666668</v>
      </c>
      <c r="AY1293">
        <v>925.68000000000006</v>
      </c>
      <c r="AZ1293">
        <v>75</v>
      </c>
      <c r="BA1293">
        <v>435</v>
      </c>
      <c r="BC1293">
        <v>3.71</v>
      </c>
      <c r="BD1293">
        <v>218</v>
      </c>
      <c r="BF1293" t="s">
        <v>383</v>
      </c>
    </row>
    <row r="1294" spans="1:58" x14ac:dyDescent="0.45">
      <c r="A1294">
        <v>20089</v>
      </c>
      <c r="B1294">
        <v>1</v>
      </c>
      <c r="C1294">
        <v>64.5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25.4</v>
      </c>
      <c r="L1294">
        <v>0</v>
      </c>
      <c r="M1294">
        <v>10.1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J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7.1120000000000001</v>
      </c>
      <c r="AX1294">
        <v>3.3666666666666667</v>
      </c>
      <c r="AY1294">
        <v>924.42</v>
      </c>
      <c r="AZ1294">
        <v>62</v>
      </c>
      <c r="BA1294">
        <v>611</v>
      </c>
      <c r="BC1294">
        <v>5.3</v>
      </c>
      <c r="BD1294">
        <v>220</v>
      </c>
      <c r="BF1294" t="s">
        <v>383</v>
      </c>
    </row>
    <row r="1295" spans="1:58" x14ac:dyDescent="0.45">
      <c r="A1295">
        <v>20090</v>
      </c>
      <c r="B1295">
        <v>1</v>
      </c>
      <c r="C1295">
        <v>59.4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30.8</v>
      </c>
      <c r="L1295">
        <v>0</v>
      </c>
      <c r="M1295">
        <v>9.8000000000000007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J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8.6240000000000006</v>
      </c>
      <c r="AX1295">
        <v>3.2666666666666671</v>
      </c>
      <c r="AY1295">
        <v>923.16</v>
      </c>
      <c r="AZ1295">
        <v>61</v>
      </c>
      <c r="BA1295">
        <v>772</v>
      </c>
      <c r="BC1295">
        <v>9.4600000000000009</v>
      </c>
      <c r="BD1295">
        <v>226</v>
      </c>
      <c r="BF1295" t="s">
        <v>393</v>
      </c>
    </row>
    <row r="1296" spans="1:58" x14ac:dyDescent="0.45">
      <c r="A1296">
        <v>20091</v>
      </c>
      <c r="B1296">
        <v>1</v>
      </c>
      <c r="C1296">
        <v>63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33</v>
      </c>
      <c r="L1296">
        <v>0</v>
      </c>
      <c r="M1296">
        <v>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Y1296">
        <v>87</v>
      </c>
      <c r="Z1296">
        <v>0</v>
      </c>
      <c r="AA1296">
        <v>1</v>
      </c>
      <c r="AB1296">
        <v>0</v>
      </c>
      <c r="AC1296">
        <v>0</v>
      </c>
      <c r="AD1296">
        <v>1</v>
      </c>
      <c r="AE1296">
        <v>800</v>
      </c>
      <c r="AF1296">
        <v>1</v>
      </c>
      <c r="AG1296">
        <v>1</v>
      </c>
      <c r="AH1296">
        <v>0</v>
      </c>
      <c r="AI1296">
        <v>0</v>
      </c>
      <c r="AJ1296">
        <v>1</v>
      </c>
      <c r="AK1296">
        <v>400</v>
      </c>
      <c r="AL1296">
        <v>0.33333333333333331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9.24</v>
      </c>
      <c r="AX1296">
        <v>1.3333333333333333</v>
      </c>
      <c r="AY1296">
        <v>898.8</v>
      </c>
      <c r="AZ1296">
        <v>36</v>
      </c>
      <c r="BA1296">
        <v>763</v>
      </c>
      <c r="BB1296">
        <v>853</v>
      </c>
      <c r="BF1296" t="s">
        <v>394</v>
      </c>
    </row>
    <row r="1297" spans="1:58" x14ac:dyDescent="0.45">
      <c r="A1297">
        <v>20092</v>
      </c>
      <c r="B1297">
        <v>1</v>
      </c>
      <c r="C1297">
        <v>61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35</v>
      </c>
      <c r="L1297">
        <v>0</v>
      </c>
      <c r="M1297">
        <v>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J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9.8000000000000007</v>
      </c>
      <c r="AX1297">
        <v>1.3333333333333333</v>
      </c>
      <c r="AY1297">
        <v>898.8</v>
      </c>
      <c r="AZ1297">
        <v>44</v>
      </c>
      <c r="BF1297" t="s">
        <v>395</v>
      </c>
    </row>
    <row r="1298" spans="1:58" x14ac:dyDescent="0.45">
      <c r="A1298">
        <v>20093</v>
      </c>
      <c r="B1298">
        <v>1</v>
      </c>
      <c r="C1298">
        <v>57.1</v>
      </c>
      <c r="D1298">
        <v>0</v>
      </c>
      <c r="E1298">
        <v>0</v>
      </c>
      <c r="F1298">
        <v>0</v>
      </c>
      <c r="G1298">
        <v>0</v>
      </c>
      <c r="H1298">
        <v>7.9</v>
      </c>
      <c r="I1298">
        <v>0</v>
      </c>
      <c r="J1298">
        <v>0</v>
      </c>
      <c r="K1298">
        <v>35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Z1298">
        <v>1</v>
      </c>
      <c r="AA1298">
        <v>0</v>
      </c>
      <c r="AB1298">
        <v>0</v>
      </c>
      <c r="AC1298">
        <v>0</v>
      </c>
      <c r="AD1298">
        <v>1</v>
      </c>
      <c r="AE1298">
        <v>1150</v>
      </c>
      <c r="AF1298">
        <v>24</v>
      </c>
      <c r="AJ1298">
        <v>1</v>
      </c>
      <c r="AK1298">
        <v>950</v>
      </c>
      <c r="AL1298">
        <v>2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32.71</v>
      </c>
      <c r="AX1298">
        <v>0</v>
      </c>
      <c r="AY1298">
        <v>760.34</v>
      </c>
      <c r="AZ1298">
        <v>43</v>
      </c>
      <c r="BF1298" t="s">
        <v>394</v>
      </c>
    </row>
    <row r="1299" spans="1:58" x14ac:dyDescent="0.45">
      <c r="A1299">
        <v>20094</v>
      </c>
      <c r="B1299">
        <v>1</v>
      </c>
      <c r="C1299">
        <v>61</v>
      </c>
      <c r="D1299">
        <v>0</v>
      </c>
      <c r="E1299">
        <v>0</v>
      </c>
      <c r="F1299">
        <v>0</v>
      </c>
      <c r="G1299">
        <v>0</v>
      </c>
      <c r="H1299">
        <v>4</v>
      </c>
      <c r="I1299">
        <v>0</v>
      </c>
      <c r="J1299">
        <v>0</v>
      </c>
      <c r="K1299">
        <v>35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Z1299">
        <v>1</v>
      </c>
      <c r="AA1299">
        <v>0</v>
      </c>
      <c r="AB1299">
        <v>0</v>
      </c>
      <c r="AC1299">
        <v>0</v>
      </c>
      <c r="AD1299">
        <v>1</v>
      </c>
      <c r="AE1299">
        <v>1150</v>
      </c>
      <c r="AF1299">
        <v>24</v>
      </c>
      <c r="AJ1299">
        <v>1</v>
      </c>
      <c r="AK1299">
        <v>950</v>
      </c>
      <c r="AL1299">
        <v>2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21.4</v>
      </c>
      <c r="AX1299">
        <v>0</v>
      </c>
      <c r="AY1299">
        <v>820.4</v>
      </c>
      <c r="AZ1299">
        <v>36</v>
      </c>
      <c r="BF1299" t="s">
        <v>396</v>
      </c>
    </row>
    <row r="1300" spans="1:58" x14ac:dyDescent="0.45">
      <c r="A1300">
        <v>20095</v>
      </c>
      <c r="B1300">
        <v>1</v>
      </c>
      <c r="C1300">
        <v>64.02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25.16</v>
      </c>
      <c r="L1300">
        <v>0</v>
      </c>
      <c r="M1300">
        <v>10.82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Z1300">
        <v>1</v>
      </c>
      <c r="AA1300">
        <v>0</v>
      </c>
      <c r="AB1300">
        <v>0</v>
      </c>
      <c r="AC1300">
        <v>0</v>
      </c>
      <c r="AD1300">
        <v>0</v>
      </c>
      <c r="AJ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7.0448000000000004</v>
      </c>
      <c r="AX1300">
        <v>3.6066666666666669</v>
      </c>
      <c r="AY1300">
        <v>927.44399999999996</v>
      </c>
      <c r="AZ1300">
        <v>62</v>
      </c>
      <c r="BA1300">
        <v>611</v>
      </c>
      <c r="BC1300">
        <v>5.3</v>
      </c>
      <c r="BF1300" t="s">
        <v>393</v>
      </c>
    </row>
    <row r="1301" spans="1:58" x14ac:dyDescent="0.45">
      <c r="A1301">
        <v>20096</v>
      </c>
      <c r="B1301">
        <v>1</v>
      </c>
      <c r="C1301">
        <v>58.98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30.51</v>
      </c>
      <c r="L1301">
        <v>0</v>
      </c>
      <c r="M1301">
        <v>10.51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J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8.5428000000000015</v>
      </c>
      <c r="AX1301">
        <v>3.5033333333333334</v>
      </c>
      <c r="AY1301">
        <v>926.14200000000005</v>
      </c>
      <c r="AZ1301">
        <v>61</v>
      </c>
      <c r="BA1301">
        <v>435</v>
      </c>
      <c r="BC1301">
        <v>3.71</v>
      </c>
      <c r="BF1301" t="s">
        <v>393</v>
      </c>
    </row>
    <row r="1302" spans="1:58" x14ac:dyDescent="0.45">
      <c r="A1302">
        <v>20097</v>
      </c>
      <c r="B1302">
        <v>1</v>
      </c>
      <c r="C1302">
        <v>69.19</v>
      </c>
      <c r="D1302">
        <v>0</v>
      </c>
      <c r="E1302">
        <v>0</v>
      </c>
      <c r="F1302">
        <v>0</v>
      </c>
      <c r="G1302">
        <v>0</v>
      </c>
      <c r="H1302">
        <v>2.16</v>
      </c>
      <c r="I1302">
        <v>0</v>
      </c>
      <c r="J1302">
        <v>0</v>
      </c>
      <c r="K1302">
        <v>26.75</v>
      </c>
      <c r="L1302">
        <v>0</v>
      </c>
      <c r="M1302">
        <v>1.9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Y1302">
        <v>84</v>
      </c>
      <c r="Z1302">
        <v>0</v>
      </c>
      <c r="AA1302">
        <v>1</v>
      </c>
      <c r="AB1302">
        <v>0</v>
      </c>
      <c r="AC1302">
        <v>0</v>
      </c>
      <c r="AD1302">
        <v>1</v>
      </c>
      <c r="AE1302">
        <v>1000</v>
      </c>
      <c r="AF1302">
        <v>1</v>
      </c>
      <c r="AG1302">
        <v>1</v>
      </c>
      <c r="AH1302">
        <v>0</v>
      </c>
      <c r="AI1302">
        <v>0</v>
      </c>
      <c r="AJ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13.754000000000001</v>
      </c>
      <c r="AX1302">
        <v>0.6333333333333333</v>
      </c>
      <c r="AY1302">
        <v>856.71600000000001</v>
      </c>
      <c r="AZ1302">
        <v>64</v>
      </c>
      <c r="BF1302" t="s">
        <v>389</v>
      </c>
    </row>
    <row r="1303" spans="1:58" x14ac:dyDescent="0.45">
      <c r="A1303">
        <v>20098</v>
      </c>
      <c r="B1303">
        <v>1</v>
      </c>
      <c r="C1303">
        <v>66.22999999999999</v>
      </c>
      <c r="D1303">
        <v>0</v>
      </c>
      <c r="E1303">
        <v>0</v>
      </c>
      <c r="F1303">
        <v>0</v>
      </c>
      <c r="G1303">
        <v>0</v>
      </c>
      <c r="H1303">
        <v>1.68</v>
      </c>
      <c r="I1303">
        <v>0</v>
      </c>
      <c r="J1303">
        <v>0</v>
      </c>
      <c r="K1303">
        <v>27.61</v>
      </c>
      <c r="L1303">
        <v>0</v>
      </c>
      <c r="M1303">
        <v>4.4800000000000004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Y1303">
        <v>84</v>
      </c>
      <c r="Z1303">
        <v>0</v>
      </c>
      <c r="AA1303">
        <v>1</v>
      </c>
      <c r="AB1303">
        <v>0</v>
      </c>
      <c r="AC1303">
        <v>0</v>
      </c>
      <c r="AD1303">
        <v>1</v>
      </c>
      <c r="AE1303">
        <v>1000</v>
      </c>
      <c r="AF1303">
        <v>1</v>
      </c>
      <c r="AG1303">
        <v>1</v>
      </c>
      <c r="AH1303">
        <v>0</v>
      </c>
      <c r="AI1303">
        <v>0</v>
      </c>
      <c r="AJ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12.6028</v>
      </c>
      <c r="AX1303">
        <v>1.4933333333333334</v>
      </c>
      <c r="AY1303">
        <v>874.94400000000007</v>
      </c>
      <c r="AZ1303">
        <v>58</v>
      </c>
      <c r="BF1303" t="s">
        <v>389</v>
      </c>
    </row>
    <row r="1304" spans="1:58" x14ac:dyDescent="0.45">
      <c r="A1304">
        <v>20099</v>
      </c>
      <c r="B1304">
        <v>1</v>
      </c>
      <c r="C1304">
        <v>65.62</v>
      </c>
      <c r="D1304">
        <v>0</v>
      </c>
      <c r="E1304">
        <v>0</v>
      </c>
      <c r="F1304">
        <v>0</v>
      </c>
      <c r="G1304">
        <v>0</v>
      </c>
      <c r="H1304">
        <v>2.09</v>
      </c>
      <c r="I1304">
        <v>0</v>
      </c>
      <c r="J1304">
        <v>0</v>
      </c>
      <c r="K1304">
        <v>26.41</v>
      </c>
      <c r="L1304">
        <v>0</v>
      </c>
      <c r="M1304">
        <v>5.88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Y1304">
        <v>84</v>
      </c>
      <c r="Z1304">
        <v>0</v>
      </c>
      <c r="AA1304">
        <v>1</v>
      </c>
      <c r="AB1304">
        <v>0</v>
      </c>
      <c r="AC1304">
        <v>0</v>
      </c>
      <c r="AD1304">
        <v>1</v>
      </c>
      <c r="AE1304">
        <v>1000</v>
      </c>
      <c r="AF1304">
        <v>1</v>
      </c>
      <c r="AG1304">
        <v>1</v>
      </c>
      <c r="AH1304">
        <v>0</v>
      </c>
      <c r="AI1304">
        <v>0</v>
      </c>
      <c r="AJ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13.4558</v>
      </c>
      <c r="AX1304">
        <v>1.96</v>
      </c>
      <c r="AY1304">
        <v>874.51</v>
      </c>
      <c r="AZ1304">
        <v>60</v>
      </c>
      <c r="BF1304" t="s">
        <v>389</v>
      </c>
    </row>
    <row r="1305" spans="1:58" x14ac:dyDescent="0.45">
      <c r="A1305">
        <v>20100</v>
      </c>
      <c r="B1305">
        <v>1</v>
      </c>
      <c r="C1305">
        <v>63.82</v>
      </c>
      <c r="D1305">
        <v>0</v>
      </c>
      <c r="E1305">
        <v>0</v>
      </c>
      <c r="F1305">
        <v>0</v>
      </c>
      <c r="G1305">
        <v>0</v>
      </c>
      <c r="H1305">
        <v>2.17</v>
      </c>
      <c r="I1305">
        <v>0</v>
      </c>
      <c r="J1305">
        <v>0</v>
      </c>
      <c r="K1305">
        <v>25.72</v>
      </c>
      <c r="L1305">
        <v>0</v>
      </c>
      <c r="M1305">
        <v>8.2899999999999991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Y1305">
        <v>84</v>
      </c>
      <c r="Z1305">
        <v>0</v>
      </c>
      <c r="AA1305">
        <v>1</v>
      </c>
      <c r="AB1305">
        <v>0</v>
      </c>
      <c r="AC1305">
        <v>0</v>
      </c>
      <c r="AD1305">
        <v>1</v>
      </c>
      <c r="AE1305">
        <v>1000</v>
      </c>
      <c r="AF1305">
        <v>1</v>
      </c>
      <c r="AG1305">
        <v>1</v>
      </c>
      <c r="AH1305">
        <v>0</v>
      </c>
      <c r="AI1305">
        <v>0</v>
      </c>
      <c r="AJ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13.494599999999998</v>
      </c>
      <c r="AX1305">
        <v>2.7633333333333332</v>
      </c>
      <c r="AY1305">
        <v>883.4</v>
      </c>
      <c r="AZ1305">
        <v>63</v>
      </c>
      <c r="BF1305" t="s">
        <v>389</v>
      </c>
    </row>
    <row r="1306" spans="1:58" x14ac:dyDescent="0.45">
      <c r="A1306">
        <v>20101</v>
      </c>
      <c r="B1306">
        <v>1</v>
      </c>
      <c r="C1306">
        <v>69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25</v>
      </c>
      <c r="L1306">
        <v>2</v>
      </c>
      <c r="M1306">
        <v>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J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9</v>
      </c>
      <c r="AX1306">
        <v>1.3333333333333333</v>
      </c>
      <c r="AY1306">
        <v>879.8</v>
      </c>
      <c r="AZ1306">
        <v>65</v>
      </c>
      <c r="BF1306" t="s">
        <v>397</v>
      </c>
    </row>
    <row r="1307" spans="1:58" x14ac:dyDescent="0.45">
      <c r="A1307">
        <v>20102</v>
      </c>
      <c r="B1307">
        <v>1</v>
      </c>
      <c r="C1307">
        <v>73.8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4.9000000000000004</v>
      </c>
      <c r="K1307">
        <v>9.9</v>
      </c>
      <c r="L1307">
        <v>5.0999999999999996</v>
      </c>
      <c r="M1307">
        <v>6.3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J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7.8719999999999999</v>
      </c>
      <c r="AX1307">
        <v>2.916666666666667</v>
      </c>
      <c r="AY1307">
        <v>826.2</v>
      </c>
      <c r="AZ1307">
        <v>59</v>
      </c>
      <c r="BA1307">
        <v>275</v>
      </c>
      <c r="BB1307">
        <v>762</v>
      </c>
      <c r="BC1307">
        <v>13.8</v>
      </c>
      <c r="BF1307" t="s">
        <v>398</v>
      </c>
    </row>
    <row r="1308" spans="1:58" x14ac:dyDescent="0.45">
      <c r="A1308">
        <v>20103</v>
      </c>
      <c r="B1308">
        <v>1</v>
      </c>
      <c r="C1308">
        <v>68.8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4.9000000000000004</v>
      </c>
      <c r="K1308">
        <v>9.9</v>
      </c>
      <c r="L1308">
        <v>5.0999999999999996</v>
      </c>
      <c r="M1308">
        <v>6.3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J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7.8719999999999999</v>
      </c>
      <c r="AX1308">
        <v>2.916666666666667</v>
      </c>
      <c r="AY1308">
        <v>826.2</v>
      </c>
      <c r="AZ1308">
        <v>59</v>
      </c>
      <c r="BF1308" t="s">
        <v>395</v>
      </c>
    </row>
    <row r="1309" spans="1:58" x14ac:dyDescent="0.45">
      <c r="A1309">
        <v>20104</v>
      </c>
      <c r="B1309">
        <v>1</v>
      </c>
      <c r="C1309">
        <v>68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5</v>
      </c>
      <c r="K1309">
        <v>15.2</v>
      </c>
      <c r="L1309">
        <v>5.3</v>
      </c>
      <c r="M1309">
        <v>6.5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J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9.5560000000000009</v>
      </c>
      <c r="AX1309">
        <v>3</v>
      </c>
      <c r="AY1309">
        <v>824.44999999999993</v>
      </c>
      <c r="AZ1309">
        <v>55</v>
      </c>
      <c r="BA1309">
        <v>533</v>
      </c>
      <c r="BB1309">
        <v>692</v>
      </c>
      <c r="BC1309">
        <v>14.2</v>
      </c>
      <c r="BF1309" t="s">
        <v>399</v>
      </c>
    </row>
    <row r="1310" spans="1:58" x14ac:dyDescent="0.45">
      <c r="A1310">
        <v>20105</v>
      </c>
      <c r="B1310">
        <v>1</v>
      </c>
      <c r="C1310">
        <v>68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5</v>
      </c>
      <c r="K1310">
        <v>15.2</v>
      </c>
      <c r="L1310">
        <v>5.3</v>
      </c>
      <c r="M1310">
        <v>6.5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J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9.5560000000000009</v>
      </c>
      <c r="AX1310">
        <v>3</v>
      </c>
      <c r="AY1310">
        <v>824.44999999999993</v>
      </c>
      <c r="AZ1310">
        <v>55</v>
      </c>
      <c r="BF1310" t="s">
        <v>395</v>
      </c>
    </row>
    <row r="1311" spans="1:58" x14ac:dyDescent="0.45">
      <c r="A1311">
        <v>20106</v>
      </c>
      <c r="B1311">
        <v>1</v>
      </c>
      <c r="C1311">
        <v>62.25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0.45</v>
      </c>
      <c r="K1311">
        <v>21.19</v>
      </c>
      <c r="L1311">
        <v>0</v>
      </c>
      <c r="M1311">
        <v>9.4700000000000006</v>
      </c>
      <c r="N1311">
        <v>0</v>
      </c>
      <c r="O1311">
        <v>6.64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Z1311">
        <v>1</v>
      </c>
      <c r="AA1311">
        <v>0</v>
      </c>
      <c r="AB1311">
        <v>0</v>
      </c>
      <c r="AC1311">
        <v>0</v>
      </c>
      <c r="AD1311">
        <v>1</v>
      </c>
      <c r="AE1311">
        <v>1200</v>
      </c>
      <c r="AF1311">
        <v>30</v>
      </c>
      <c r="AG1311">
        <v>1</v>
      </c>
      <c r="AH1311">
        <v>0</v>
      </c>
      <c r="AI1311">
        <v>0</v>
      </c>
      <c r="AJ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7.394000000000001</v>
      </c>
      <c r="AX1311">
        <v>3.2316666666666669</v>
      </c>
      <c r="AY1311">
        <v>918.66899999999998</v>
      </c>
      <c r="AZ1311">
        <v>80.58</v>
      </c>
      <c r="BF1311" t="s">
        <v>400</v>
      </c>
    </row>
    <row r="1312" spans="1:58" x14ac:dyDescent="0.45">
      <c r="A1312">
        <v>20107</v>
      </c>
      <c r="B1312">
        <v>1</v>
      </c>
      <c r="C1312">
        <v>65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11.4</v>
      </c>
      <c r="K1312">
        <v>11.6</v>
      </c>
      <c r="L1312">
        <v>0</v>
      </c>
      <c r="M1312">
        <v>12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Z1312">
        <v>1</v>
      </c>
      <c r="AA1312">
        <v>0</v>
      </c>
      <c r="AB1312">
        <v>0</v>
      </c>
      <c r="AC1312">
        <v>0</v>
      </c>
      <c r="AD1312">
        <v>1</v>
      </c>
      <c r="AE1312">
        <v>1200</v>
      </c>
      <c r="AF1312">
        <v>24</v>
      </c>
      <c r="AG1312">
        <v>1</v>
      </c>
      <c r="AH1312">
        <v>0</v>
      </c>
      <c r="AI1312">
        <v>0</v>
      </c>
      <c r="AJ1312">
        <v>1</v>
      </c>
      <c r="AK1312">
        <v>900</v>
      </c>
      <c r="AL1312">
        <v>0.16666666666666666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3.2480000000000002</v>
      </c>
      <c r="AX1312">
        <v>5.9</v>
      </c>
      <c r="AY1312">
        <v>853.74</v>
      </c>
      <c r="AZ1312">
        <v>42.4</v>
      </c>
      <c r="BF1312" t="s">
        <v>401</v>
      </c>
    </row>
    <row r="1313" spans="1:58" x14ac:dyDescent="0.45">
      <c r="A1313">
        <v>20108</v>
      </c>
      <c r="B1313">
        <v>1</v>
      </c>
      <c r="C1313">
        <v>62.5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11.8</v>
      </c>
      <c r="K1313">
        <v>13.4</v>
      </c>
      <c r="L1313">
        <v>0</v>
      </c>
      <c r="M1313">
        <v>12.03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Z1313">
        <v>1</v>
      </c>
      <c r="AA1313">
        <v>0</v>
      </c>
      <c r="AB1313">
        <v>0</v>
      </c>
      <c r="AC1313">
        <v>0</v>
      </c>
      <c r="AD1313">
        <v>1</v>
      </c>
      <c r="AE1313">
        <v>1200</v>
      </c>
      <c r="AF1313">
        <v>24</v>
      </c>
      <c r="AG1313">
        <v>1</v>
      </c>
      <c r="AH1313">
        <v>0</v>
      </c>
      <c r="AI1313">
        <v>0</v>
      </c>
      <c r="AJ1313">
        <v>1</v>
      </c>
      <c r="AK1313">
        <v>900</v>
      </c>
      <c r="AL1313">
        <v>0.16666666666666666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3.7520000000000007</v>
      </c>
      <c r="AX1313">
        <v>5.9766666666666666</v>
      </c>
      <c r="AY1313">
        <v>851.10599999999999</v>
      </c>
      <c r="AZ1313">
        <v>51.6</v>
      </c>
      <c r="BF1313" t="s">
        <v>401</v>
      </c>
    </row>
    <row r="1314" spans="1:58" x14ac:dyDescent="0.45">
      <c r="A1314">
        <v>20109</v>
      </c>
      <c r="B1314">
        <v>1</v>
      </c>
      <c r="C1314">
        <v>61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11.9</v>
      </c>
      <c r="K1314">
        <v>15.5</v>
      </c>
      <c r="L1314">
        <v>0</v>
      </c>
      <c r="M1314">
        <v>11.6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Z1314">
        <v>1</v>
      </c>
      <c r="AA1314">
        <v>0</v>
      </c>
      <c r="AB1314">
        <v>0</v>
      </c>
      <c r="AC1314">
        <v>0</v>
      </c>
      <c r="AD1314">
        <v>1</v>
      </c>
      <c r="AE1314">
        <v>1200</v>
      </c>
      <c r="AF1314">
        <v>24</v>
      </c>
      <c r="AG1314">
        <v>1</v>
      </c>
      <c r="AH1314">
        <v>0</v>
      </c>
      <c r="AI1314">
        <v>0</v>
      </c>
      <c r="AJ1314">
        <v>1</v>
      </c>
      <c r="AK1314">
        <v>900</v>
      </c>
      <c r="AL1314">
        <v>0.16666666666666666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4.3400000000000007</v>
      </c>
      <c r="AX1314">
        <v>5.85</v>
      </c>
      <c r="AY1314">
        <v>848.61</v>
      </c>
      <c r="AZ1314">
        <v>71.3</v>
      </c>
      <c r="BF1314" t="s">
        <v>401</v>
      </c>
    </row>
    <row r="1315" spans="1:58" x14ac:dyDescent="0.45">
      <c r="A1315">
        <v>20110</v>
      </c>
      <c r="B1315">
        <v>1</v>
      </c>
      <c r="C1315">
        <v>62.9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4.8</v>
      </c>
      <c r="K1315">
        <v>17.7</v>
      </c>
      <c r="L1315">
        <v>0</v>
      </c>
      <c r="M1315">
        <v>14.6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1000</v>
      </c>
      <c r="Z1315">
        <v>0</v>
      </c>
      <c r="AA1315">
        <v>1</v>
      </c>
      <c r="AB1315">
        <v>0</v>
      </c>
      <c r="AC1315">
        <v>0</v>
      </c>
      <c r="AD1315">
        <v>1</v>
      </c>
      <c r="AE1315">
        <v>1200</v>
      </c>
      <c r="AF1315">
        <v>24</v>
      </c>
      <c r="AG1315">
        <v>1</v>
      </c>
      <c r="AH1315">
        <v>0</v>
      </c>
      <c r="AI1315">
        <v>0</v>
      </c>
      <c r="AJ1315">
        <v>1</v>
      </c>
      <c r="AK1315">
        <v>900</v>
      </c>
      <c r="AL1315">
        <v>0.16666666666666666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4.9560000000000004</v>
      </c>
      <c r="AX1315">
        <v>5.6666666666666661</v>
      </c>
      <c r="AY1315">
        <v>910.2</v>
      </c>
      <c r="AZ1315">
        <v>52.5</v>
      </c>
      <c r="BF1315" t="s">
        <v>402</v>
      </c>
    </row>
    <row r="1316" spans="1:58" x14ac:dyDescent="0.45">
      <c r="A1316">
        <v>20111</v>
      </c>
      <c r="B1316">
        <v>1</v>
      </c>
      <c r="C1316">
        <v>64.099999999999994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4</v>
      </c>
      <c r="K1316">
        <v>24</v>
      </c>
      <c r="L1316">
        <v>0</v>
      </c>
      <c r="M1316">
        <v>7.9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J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6.7200000000000006</v>
      </c>
      <c r="AX1316">
        <v>3.3</v>
      </c>
      <c r="AY1316">
        <v>887.57999999999993</v>
      </c>
      <c r="AZ1316">
        <v>33</v>
      </c>
      <c r="BF1316" t="s">
        <v>395</v>
      </c>
    </row>
    <row r="1317" spans="1:58" x14ac:dyDescent="0.45">
      <c r="A1317">
        <v>20112</v>
      </c>
      <c r="B1317">
        <v>0</v>
      </c>
      <c r="C1317">
        <v>64.012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3.92</v>
      </c>
      <c r="K1317">
        <v>24.1</v>
      </c>
      <c r="L1317">
        <v>0</v>
      </c>
      <c r="M1317">
        <v>7.85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8.0000000000000002E-3</v>
      </c>
      <c r="T1317">
        <v>0.11</v>
      </c>
      <c r="U1317">
        <v>0</v>
      </c>
      <c r="V1317">
        <v>0</v>
      </c>
      <c r="W1317">
        <v>1</v>
      </c>
      <c r="X1317">
        <v>800</v>
      </c>
      <c r="Y1317">
        <v>50</v>
      </c>
      <c r="Z1317">
        <v>0</v>
      </c>
      <c r="AA1317">
        <v>1</v>
      </c>
      <c r="AB1317">
        <v>1</v>
      </c>
      <c r="AC1317">
        <v>0</v>
      </c>
      <c r="AD1317">
        <v>1</v>
      </c>
      <c r="AE1317">
        <v>850</v>
      </c>
      <c r="AF1317">
        <v>0</v>
      </c>
      <c r="AG1317">
        <v>1</v>
      </c>
      <c r="AH1317">
        <v>1</v>
      </c>
      <c r="AI1317">
        <v>0</v>
      </c>
      <c r="AJ1317">
        <v>1</v>
      </c>
      <c r="AK1317">
        <v>800</v>
      </c>
      <c r="AL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6.7480000000000011</v>
      </c>
      <c r="AX1317">
        <v>3.2818000000000001</v>
      </c>
      <c r="AY1317">
        <v>901.452</v>
      </c>
      <c r="AZ1317">
        <v>42</v>
      </c>
      <c r="BB1317">
        <v>850</v>
      </c>
      <c r="BF1317" t="s">
        <v>403</v>
      </c>
    </row>
    <row r="1318" spans="1:58" x14ac:dyDescent="0.45">
      <c r="A1318">
        <v>20113</v>
      </c>
      <c r="B1318">
        <v>1</v>
      </c>
      <c r="C1318">
        <v>64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4</v>
      </c>
      <c r="K1318">
        <v>24</v>
      </c>
      <c r="L1318">
        <v>0</v>
      </c>
      <c r="M1318">
        <v>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Z1318">
        <v>1</v>
      </c>
      <c r="AA1318">
        <v>0</v>
      </c>
      <c r="AB1318">
        <v>0</v>
      </c>
      <c r="AC1318">
        <v>0</v>
      </c>
      <c r="AD1318">
        <v>1</v>
      </c>
      <c r="AE1318">
        <v>1000</v>
      </c>
      <c r="AF1318">
        <v>1</v>
      </c>
      <c r="AG1318">
        <v>1</v>
      </c>
      <c r="AH1318">
        <v>0</v>
      </c>
      <c r="AI1318">
        <v>0</v>
      </c>
      <c r="AJ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6.7200000000000006</v>
      </c>
      <c r="AX1318">
        <v>3.333333333333333</v>
      </c>
      <c r="AY1318">
        <v>888</v>
      </c>
      <c r="AZ1318">
        <v>56.9</v>
      </c>
      <c r="BB1318">
        <v>795</v>
      </c>
      <c r="BF1318" t="s">
        <v>404</v>
      </c>
    </row>
    <row r="1319" spans="1:58" x14ac:dyDescent="0.45">
      <c r="A1319">
        <v>20114</v>
      </c>
      <c r="B1319">
        <v>1</v>
      </c>
      <c r="C1319">
        <v>64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</v>
      </c>
      <c r="K1319">
        <v>24</v>
      </c>
      <c r="L1319">
        <v>0</v>
      </c>
      <c r="M1319">
        <v>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0</v>
      </c>
      <c r="Z1319">
        <v>1</v>
      </c>
      <c r="AA1319">
        <v>0</v>
      </c>
      <c r="AB1319">
        <v>0</v>
      </c>
      <c r="AC1319">
        <v>0</v>
      </c>
      <c r="AD1319">
        <v>1</v>
      </c>
      <c r="AE1319">
        <v>1000</v>
      </c>
      <c r="AF1319">
        <v>1</v>
      </c>
      <c r="AG1319">
        <v>1</v>
      </c>
      <c r="AH1319">
        <v>0</v>
      </c>
      <c r="AI1319">
        <v>0</v>
      </c>
      <c r="AJ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6.7200000000000006</v>
      </c>
      <c r="AX1319">
        <v>3.333333333333333</v>
      </c>
      <c r="AY1319">
        <v>888</v>
      </c>
      <c r="AZ1319">
        <v>58.3</v>
      </c>
      <c r="BB1319">
        <v>760</v>
      </c>
      <c r="BF1319" t="s">
        <v>404</v>
      </c>
    </row>
    <row r="1320" spans="1:58" x14ac:dyDescent="0.45">
      <c r="A1320">
        <v>20115</v>
      </c>
      <c r="B1320">
        <v>1</v>
      </c>
      <c r="C1320">
        <v>64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4</v>
      </c>
      <c r="K1320">
        <v>24</v>
      </c>
      <c r="L1320">
        <v>0</v>
      </c>
      <c r="M1320">
        <v>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0</v>
      </c>
      <c r="Z1320">
        <v>1</v>
      </c>
      <c r="AA1320">
        <v>0</v>
      </c>
      <c r="AB1320">
        <v>0</v>
      </c>
      <c r="AC1320">
        <v>0</v>
      </c>
      <c r="AD1320">
        <v>1</v>
      </c>
      <c r="AE1320">
        <v>1000</v>
      </c>
      <c r="AF1320">
        <v>1</v>
      </c>
      <c r="AG1320">
        <v>1</v>
      </c>
      <c r="AH1320">
        <v>0</v>
      </c>
      <c r="AI1320">
        <v>0</v>
      </c>
      <c r="AJ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6.7200000000000006</v>
      </c>
      <c r="AX1320">
        <v>3.333333333333333</v>
      </c>
      <c r="AY1320">
        <v>888</v>
      </c>
      <c r="AZ1320">
        <v>59.2</v>
      </c>
      <c r="BB1320">
        <v>755</v>
      </c>
      <c r="BF1320" t="s">
        <v>404</v>
      </c>
    </row>
    <row r="1321" spans="1:58" x14ac:dyDescent="0.45">
      <c r="A1321">
        <v>20116</v>
      </c>
      <c r="B1321">
        <v>1</v>
      </c>
      <c r="C1321">
        <v>64.099999999999994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4</v>
      </c>
      <c r="K1321">
        <v>24</v>
      </c>
      <c r="L1321">
        <v>0</v>
      </c>
      <c r="M1321">
        <v>7.9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800</v>
      </c>
      <c r="Y1321">
        <v>50</v>
      </c>
      <c r="Z1321">
        <v>0</v>
      </c>
      <c r="AA1321">
        <v>1</v>
      </c>
      <c r="AB1321">
        <v>1</v>
      </c>
      <c r="AC1321">
        <v>0</v>
      </c>
      <c r="AD1321">
        <v>1</v>
      </c>
      <c r="AE1321">
        <v>850</v>
      </c>
      <c r="AF1321">
        <v>0</v>
      </c>
      <c r="AG1321">
        <v>1</v>
      </c>
      <c r="AH1321">
        <v>1</v>
      </c>
      <c r="AI1321">
        <v>0</v>
      </c>
      <c r="AJ1321">
        <v>1</v>
      </c>
      <c r="AK1321">
        <v>800</v>
      </c>
      <c r="AL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6.7200000000000006</v>
      </c>
      <c r="AX1321">
        <v>3.3</v>
      </c>
      <c r="AY1321">
        <v>887.57999999999993</v>
      </c>
      <c r="AZ1321">
        <v>42</v>
      </c>
      <c r="BB1321">
        <v>850</v>
      </c>
      <c r="BF1321" t="s">
        <v>403</v>
      </c>
    </row>
    <row r="1322" spans="1:58" x14ac:dyDescent="0.45">
      <c r="A1322">
        <v>20117</v>
      </c>
      <c r="B1322">
        <v>1</v>
      </c>
      <c r="C1322">
        <v>71.3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4.4000000000000004</v>
      </c>
      <c r="K1322">
        <v>13.5</v>
      </c>
      <c r="L1322">
        <v>2.8</v>
      </c>
      <c r="M1322">
        <v>8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J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6.58</v>
      </c>
      <c r="AX1322">
        <v>3.4</v>
      </c>
      <c r="AY1322">
        <v>858.64</v>
      </c>
      <c r="AZ1322">
        <v>46</v>
      </c>
      <c r="BF1322" t="s">
        <v>373</v>
      </c>
    </row>
    <row r="1323" spans="1:58" x14ac:dyDescent="0.45">
      <c r="A1323">
        <v>20118</v>
      </c>
      <c r="B1323">
        <v>1</v>
      </c>
      <c r="C1323">
        <v>64.3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5.7</v>
      </c>
      <c r="K1323">
        <v>14.6</v>
      </c>
      <c r="L1323">
        <v>0</v>
      </c>
      <c r="M1323">
        <v>9.9</v>
      </c>
      <c r="N1323">
        <v>0</v>
      </c>
      <c r="O1323">
        <v>5.5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J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5.298</v>
      </c>
      <c r="AX1323">
        <v>4.25</v>
      </c>
      <c r="AY1323">
        <v>884.25</v>
      </c>
      <c r="AZ1323">
        <v>52.2</v>
      </c>
      <c r="BF1323" t="s">
        <v>405</v>
      </c>
    </row>
    <row r="1324" spans="1:58" x14ac:dyDescent="0.45">
      <c r="A1324">
        <v>20119</v>
      </c>
      <c r="B1324">
        <v>1</v>
      </c>
      <c r="C1324">
        <v>50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25</v>
      </c>
      <c r="L1324">
        <v>0</v>
      </c>
      <c r="M1324">
        <v>0</v>
      </c>
      <c r="N1324">
        <v>0</v>
      </c>
      <c r="O1324">
        <v>25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Y1324">
        <v>80</v>
      </c>
      <c r="Z1324">
        <v>0</v>
      </c>
      <c r="AA1324">
        <v>1</v>
      </c>
      <c r="AB1324">
        <v>0</v>
      </c>
      <c r="AC1324">
        <v>0</v>
      </c>
      <c r="AD1324">
        <v>1</v>
      </c>
      <c r="AE1324">
        <v>950</v>
      </c>
      <c r="AF1324">
        <v>20</v>
      </c>
      <c r="AG1324">
        <v>1</v>
      </c>
      <c r="AH1324">
        <v>0</v>
      </c>
      <c r="AI1324">
        <v>0</v>
      </c>
      <c r="AJ1324">
        <v>1</v>
      </c>
      <c r="AK1324">
        <v>850</v>
      </c>
      <c r="AL1324">
        <v>0.5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12.5</v>
      </c>
      <c r="AX1324">
        <v>0</v>
      </c>
      <c r="AY1324">
        <v>882</v>
      </c>
      <c r="AZ1324">
        <v>55</v>
      </c>
      <c r="BB1324">
        <v>530</v>
      </c>
      <c r="BC1324">
        <v>20</v>
      </c>
      <c r="BD1324">
        <v>145</v>
      </c>
      <c r="BF1324" t="s">
        <v>406</v>
      </c>
    </row>
    <row r="1325" spans="1:58" x14ac:dyDescent="0.45">
      <c r="A1325">
        <v>20120</v>
      </c>
      <c r="B1325">
        <v>1</v>
      </c>
      <c r="C1325">
        <v>67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16</v>
      </c>
      <c r="L1325">
        <v>4</v>
      </c>
      <c r="M1325">
        <v>0</v>
      </c>
      <c r="N1325">
        <v>0</v>
      </c>
      <c r="O1325">
        <v>13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Y1325">
        <v>75</v>
      </c>
      <c r="Z1325">
        <v>0</v>
      </c>
      <c r="AA1325">
        <v>1</v>
      </c>
      <c r="AB1325">
        <v>0</v>
      </c>
      <c r="AC1325">
        <v>0</v>
      </c>
      <c r="AD1325">
        <v>1</v>
      </c>
      <c r="AE1325">
        <v>1000</v>
      </c>
      <c r="AF1325">
        <v>0</v>
      </c>
      <c r="AJ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11.34</v>
      </c>
      <c r="AX1325">
        <v>0</v>
      </c>
      <c r="AY1325">
        <v>844</v>
      </c>
      <c r="AZ1325">
        <v>43.5</v>
      </c>
      <c r="BF1325" t="s">
        <v>407</v>
      </c>
    </row>
    <row r="1326" spans="1:58" x14ac:dyDescent="0.45">
      <c r="A1326">
        <v>20121</v>
      </c>
      <c r="B1326">
        <v>1</v>
      </c>
      <c r="C1326">
        <v>54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29</v>
      </c>
      <c r="L1326">
        <v>4</v>
      </c>
      <c r="M1326">
        <v>0</v>
      </c>
      <c r="N1326">
        <v>0</v>
      </c>
      <c r="O1326">
        <v>13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J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14.98</v>
      </c>
      <c r="AX1326">
        <v>0</v>
      </c>
      <c r="AY1326">
        <v>844</v>
      </c>
      <c r="AZ1326">
        <v>65</v>
      </c>
      <c r="BF1326" t="s">
        <v>408</v>
      </c>
    </row>
    <row r="1327" spans="1:58" x14ac:dyDescent="0.45">
      <c r="A1327">
        <v>20122</v>
      </c>
      <c r="B1327">
        <v>1</v>
      </c>
      <c r="C1327">
        <v>67.3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16.600000000000001</v>
      </c>
      <c r="L1327">
        <v>4.9000000000000004</v>
      </c>
      <c r="M1327">
        <v>2</v>
      </c>
      <c r="N1327">
        <v>0</v>
      </c>
      <c r="O1327">
        <v>9.1999999999999993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J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11.572000000000003</v>
      </c>
      <c r="AX1327">
        <v>0.66666666666666663</v>
      </c>
      <c r="AY1327">
        <v>843.85</v>
      </c>
      <c r="AZ1327">
        <v>73</v>
      </c>
      <c r="BF1327" t="s">
        <v>383</v>
      </c>
    </row>
    <row r="1328" spans="1:58" x14ac:dyDescent="0.45">
      <c r="A1328">
        <v>20123</v>
      </c>
      <c r="B1328">
        <v>1</v>
      </c>
      <c r="C1328">
        <v>56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29</v>
      </c>
      <c r="L1328">
        <v>0</v>
      </c>
      <c r="M1328">
        <v>2</v>
      </c>
      <c r="N1328">
        <v>0</v>
      </c>
      <c r="O1328">
        <v>13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J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10.98</v>
      </c>
      <c r="AX1328">
        <v>0.66666666666666663</v>
      </c>
      <c r="AY1328">
        <v>890.4</v>
      </c>
      <c r="AZ1328">
        <v>47</v>
      </c>
      <c r="BF1328" t="s">
        <v>407</v>
      </c>
    </row>
    <row r="1329" spans="1:58" x14ac:dyDescent="0.45">
      <c r="A1329">
        <v>20124</v>
      </c>
      <c r="B1329">
        <v>1</v>
      </c>
      <c r="C1329">
        <v>53.4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29</v>
      </c>
      <c r="L1329">
        <v>0</v>
      </c>
      <c r="M1329">
        <v>4.5999999999999996</v>
      </c>
      <c r="N1329">
        <v>0</v>
      </c>
      <c r="O1329">
        <v>13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J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10.98</v>
      </c>
      <c r="AX1329">
        <v>1.5333333333333332</v>
      </c>
      <c r="AY1329">
        <v>901.32</v>
      </c>
      <c r="AZ1329">
        <v>55</v>
      </c>
      <c r="BA1329">
        <v>920</v>
      </c>
      <c r="BF1329" t="s">
        <v>407</v>
      </c>
    </row>
    <row r="1330" spans="1:58" x14ac:dyDescent="0.45">
      <c r="A1330">
        <v>20125</v>
      </c>
      <c r="B1330">
        <v>1</v>
      </c>
      <c r="C1330">
        <v>52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29</v>
      </c>
      <c r="L1330">
        <v>0</v>
      </c>
      <c r="M1330">
        <v>6</v>
      </c>
      <c r="N1330">
        <v>0</v>
      </c>
      <c r="O1330">
        <v>13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Z1330">
        <v>1</v>
      </c>
      <c r="AA1330">
        <v>0</v>
      </c>
      <c r="AB1330">
        <v>0</v>
      </c>
      <c r="AC1330">
        <v>0</v>
      </c>
      <c r="AD1330">
        <v>0</v>
      </c>
      <c r="AJ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10.98</v>
      </c>
      <c r="AX1330">
        <v>2</v>
      </c>
      <c r="AY1330">
        <v>907.2</v>
      </c>
      <c r="AZ1330">
        <v>74</v>
      </c>
      <c r="BF1330" t="s">
        <v>407</v>
      </c>
    </row>
    <row r="1331" spans="1:58" x14ac:dyDescent="0.45">
      <c r="A1331">
        <v>20126</v>
      </c>
      <c r="B1331">
        <v>1</v>
      </c>
      <c r="C1331">
        <v>60.7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4.2</v>
      </c>
      <c r="K1331">
        <v>21.2</v>
      </c>
      <c r="L1331">
        <v>0</v>
      </c>
      <c r="M1331">
        <v>5.4</v>
      </c>
      <c r="N1331">
        <v>0</v>
      </c>
      <c r="O1331">
        <v>8.1999999999999993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J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7.74</v>
      </c>
      <c r="AX1331">
        <v>2.5</v>
      </c>
      <c r="AY1331">
        <v>875.69999999999993</v>
      </c>
      <c r="AZ1331">
        <v>47</v>
      </c>
      <c r="BF1331" t="s">
        <v>409</v>
      </c>
    </row>
    <row r="1332" spans="1:58" x14ac:dyDescent="0.45">
      <c r="A1332">
        <v>20127</v>
      </c>
      <c r="B1332">
        <v>1</v>
      </c>
      <c r="C1332">
        <v>71.099999999999994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3.4</v>
      </c>
      <c r="K1332">
        <v>17.399999999999999</v>
      </c>
      <c r="L1332">
        <v>0</v>
      </c>
      <c r="M1332">
        <v>0</v>
      </c>
      <c r="N1332">
        <v>0</v>
      </c>
      <c r="O1332">
        <v>8.1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J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6.6539999999999999</v>
      </c>
      <c r="AX1332">
        <v>0.56666666666666665</v>
      </c>
      <c r="AY1332">
        <v>858.54</v>
      </c>
      <c r="AZ1332">
        <v>55.3</v>
      </c>
      <c r="BF1332" t="s">
        <v>383</v>
      </c>
    </row>
    <row r="1333" spans="1:58" x14ac:dyDescent="0.45">
      <c r="A1333">
        <v>20128</v>
      </c>
      <c r="B1333">
        <v>1</v>
      </c>
      <c r="C1333">
        <v>60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5</v>
      </c>
      <c r="K1333">
        <v>29</v>
      </c>
      <c r="L1333">
        <v>0</v>
      </c>
      <c r="M1333">
        <v>0</v>
      </c>
      <c r="N1333">
        <v>0</v>
      </c>
      <c r="O1333">
        <v>6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J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9.4400000000000013</v>
      </c>
      <c r="AX1333">
        <v>0.83333333333333337</v>
      </c>
      <c r="AY1333">
        <v>847.5</v>
      </c>
      <c r="AZ1333">
        <v>43</v>
      </c>
      <c r="BF1333" t="s">
        <v>401</v>
      </c>
    </row>
    <row r="1334" spans="1:58" x14ac:dyDescent="0.45">
      <c r="A1334">
        <v>20129</v>
      </c>
      <c r="B1334">
        <v>1</v>
      </c>
      <c r="C1334">
        <v>50.9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7.1</v>
      </c>
      <c r="K1334">
        <v>29</v>
      </c>
      <c r="L1334">
        <v>0</v>
      </c>
      <c r="M1334">
        <v>0</v>
      </c>
      <c r="N1334">
        <v>0</v>
      </c>
      <c r="O1334">
        <v>13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J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10.98</v>
      </c>
      <c r="AX1334">
        <v>1.1833333333333333</v>
      </c>
      <c r="AY1334">
        <v>833.01</v>
      </c>
      <c r="AZ1334">
        <v>55</v>
      </c>
      <c r="BF1334" t="s">
        <v>410</v>
      </c>
    </row>
    <row r="1335" spans="1:58" x14ac:dyDescent="0.45">
      <c r="A1335">
        <v>20130</v>
      </c>
      <c r="B1335">
        <v>1</v>
      </c>
      <c r="C1335">
        <v>55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5</v>
      </c>
      <c r="K1335">
        <v>29</v>
      </c>
      <c r="L1335">
        <v>0</v>
      </c>
      <c r="M1335">
        <v>0</v>
      </c>
      <c r="N1335">
        <v>0</v>
      </c>
      <c r="O1335">
        <v>11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J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10.540000000000001</v>
      </c>
      <c r="AX1335">
        <v>0.83333333333333337</v>
      </c>
      <c r="AY1335">
        <v>847.5</v>
      </c>
      <c r="AZ1335">
        <v>50</v>
      </c>
      <c r="BF1335" t="s">
        <v>411</v>
      </c>
    </row>
    <row r="1336" spans="1:58" x14ac:dyDescent="0.45">
      <c r="A1336">
        <v>20131</v>
      </c>
      <c r="B1336">
        <v>1</v>
      </c>
      <c r="C1336">
        <v>53.5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4.5</v>
      </c>
      <c r="K1336">
        <v>29</v>
      </c>
      <c r="L1336">
        <v>0</v>
      </c>
      <c r="M1336">
        <v>0</v>
      </c>
      <c r="N1336">
        <v>0</v>
      </c>
      <c r="O1336">
        <v>13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J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10.98</v>
      </c>
      <c r="AX1336">
        <v>0.75</v>
      </c>
      <c r="AY1336">
        <v>850.95</v>
      </c>
      <c r="AZ1336">
        <v>60</v>
      </c>
      <c r="BF1336" t="s">
        <v>411</v>
      </c>
    </row>
    <row r="1337" spans="1:58" x14ac:dyDescent="0.45">
      <c r="A1337">
        <v>20132</v>
      </c>
      <c r="B1337">
        <v>1</v>
      </c>
      <c r="C1337">
        <v>53.4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4.5999999999999996</v>
      </c>
      <c r="K1337">
        <v>29</v>
      </c>
      <c r="L1337">
        <v>0</v>
      </c>
      <c r="M1337">
        <v>0</v>
      </c>
      <c r="N1337">
        <v>0</v>
      </c>
      <c r="O1337">
        <v>13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J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10.98</v>
      </c>
      <c r="AX1337">
        <v>0.76666666666666661</v>
      </c>
      <c r="AY1337">
        <v>850.26</v>
      </c>
      <c r="AZ1337">
        <v>47.8</v>
      </c>
      <c r="BF1337" t="s">
        <v>412</v>
      </c>
    </row>
    <row r="1338" spans="1:58" x14ac:dyDescent="0.45">
      <c r="A1338">
        <v>20133</v>
      </c>
      <c r="B1338">
        <v>1</v>
      </c>
      <c r="C1338">
        <v>60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6</v>
      </c>
      <c r="K1338">
        <v>35</v>
      </c>
      <c r="L1338">
        <v>0</v>
      </c>
      <c r="M1338">
        <v>0</v>
      </c>
      <c r="N1338">
        <v>0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Y1338">
        <v>35</v>
      </c>
      <c r="Z1338">
        <v>0</v>
      </c>
      <c r="AA1338">
        <v>1</v>
      </c>
      <c r="AB1338">
        <v>0</v>
      </c>
      <c r="AC1338">
        <v>0</v>
      </c>
      <c r="AD1338">
        <v>1</v>
      </c>
      <c r="AE1338">
        <v>900</v>
      </c>
      <c r="AF1338">
        <v>0</v>
      </c>
      <c r="AJ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10.24</v>
      </c>
      <c r="AX1338">
        <v>1</v>
      </c>
      <c r="AY1338">
        <v>840.6</v>
      </c>
      <c r="AZ1338">
        <v>47.63</v>
      </c>
      <c r="BB1338">
        <v>577</v>
      </c>
      <c r="BF1338" t="s">
        <v>413</v>
      </c>
    </row>
    <row r="1339" spans="1:58" x14ac:dyDescent="0.45">
      <c r="A1339">
        <v>20134</v>
      </c>
      <c r="B1339">
        <v>1</v>
      </c>
      <c r="C1339">
        <v>55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3</v>
      </c>
      <c r="K1339">
        <v>40</v>
      </c>
      <c r="L1339">
        <v>0</v>
      </c>
      <c r="M1339">
        <v>0</v>
      </c>
      <c r="N1339">
        <v>0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Y1339">
        <v>90</v>
      </c>
      <c r="Z1339">
        <v>0</v>
      </c>
      <c r="AA1339">
        <v>1</v>
      </c>
      <c r="AB1339">
        <v>0</v>
      </c>
      <c r="AC1339">
        <v>0</v>
      </c>
      <c r="AD1339">
        <v>1</v>
      </c>
      <c r="AE1339">
        <v>650</v>
      </c>
      <c r="AF1339">
        <v>0.16666666666666666</v>
      </c>
      <c r="AG1339">
        <v>0</v>
      </c>
      <c r="AH1339">
        <v>1</v>
      </c>
      <c r="AI1339">
        <v>0</v>
      </c>
      <c r="AJ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11.64</v>
      </c>
      <c r="AX1339">
        <v>0.5</v>
      </c>
      <c r="AY1339">
        <v>861.3</v>
      </c>
      <c r="AZ1339">
        <v>57.8</v>
      </c>
      <c r="BB1339">
        <v>589</v>
      </c>
      <c r="BC1339">
        <v>17.8</v>
      </c>
      <c r="BF1339" t="s">
        <v>414</v>
      </c>
    </row>
    <row r="1340" spans="1:58" x14ac:dyDescent="0.45">
      <c r="A1340">
        <v>20135</v>
      </c>
      <c r="B1340">
        <v>1</v>
      </c>
      <c r="C1340">
        <v>52.710000000000008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4.8099999999999996</v>
      </c>
      <c r="K1340">
        <v>22.28</v>
      </c>
      <c r="L1340">
        <v>4.7699999999999996</v>
      </c>
      <c r="M1340">
        <v>0</v>
      </c>
      <c r="N1340">
        <v>0</v>
      </c>
      <c r="O1340">
        <v>15.43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Z1340">
        <v>1</v>
      </c>
      <c r="AA1340">
        <v>0</v>
      </c>
      <c r="AB1340">
        <v>0</v>
      </c>
      <c r="AC1340">
        <v>0</v>
      </c>
      <c r="AD1340">
        <v>1</v>
      </c>
      <c r="AE1340">
        <v>1200</v>
      </c>
      <c r="AF1340">
        <v>30</v>
      </c>
      <c r="AG1340">
        <v>1</v>
      </c>
      <c r="AH1340">
        <v>0</v>
      </c>
      <c r="AI1340">
        <v>0</v>
      </c>
      <c r="AJ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14.403000000000002</v>
      </c>
      <c r="AX1340">
        <v>0.80166666666666664</v>
      </c>
      <c r="AY1340">
        <v>803.49599999999998</v>
      </c>
      <c r="AZ1340">
        <v>87.09</v>
      </c>
      <c r="BF1340" t="s">
        <v>415</v>
      </c>
    </row>
    <row r="1341" spans="1:58" x14ac:dyDescent="0.45">
      <c r="A1341">
        <v>20136</v>
      </c>
      <c r="B1341">
        <v>1</v>
      </c>
      <c r="C1341">
        <v>60.430000000000007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11.66</v>
      </c>
      <c r="K1341">
        <v>10.67</v>
      </c>
      <c r="L1341">
        <v>0</v>
      </c>
      <c r="M1341">
        <v>4.41</v>
      </c>
      <c r="N1341">
        <v>0</v>
      </c>
      <c r="O1341">
        <v>12.83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Z1341">
        <v>1</v>
      </c>
      <c r="AA1341">
        <v>0</v>
      </c>
      <c r="AB1341">
        <v>0</v>
      </c>
      <c r="AC1341">
        <v>0</v>
      </c>
      <c r="AD1341">
        <v>1</v>
      </c>
      <c r="AE1341">
        <v>1200</v>
      </c>
      <c r="AF1341">
        <v>30</v>
      </c>
      <c r="AG1341">
        <v>1</v>
      </c>
      <c r="AH1341">
        <v>0</v>
      </c>
      <c r="AI1341">
        <v>0</v>
      </c>
      <c r="AJ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5.8102</v>
      </c>
      <c r="AX1341">
        <v>3.4133333333333331</v>
      </c>
      <c r="AY1341">
        <v>820.06799999999998</v>
      </c>
      <c r="AZ1341">
        <v>69.91</v>
      </c>
      <c r="BF1341" t="s">
        <v>415</v>
      </c>
    </row>
    <row r="1342" spans="1:58" x14ac:dyDescent="0.45">
      <c r="A1342">
        <v>20137</v>
      </c>
      <c r="B1342">
        <v>1</v>
      </c>
      <c r="C1342">
        <v>74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13</v>
      </c>
      <c r="K1342">
        <v>13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J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3.6400000000000006</v>
      </c>
      <c r="AX1342">
        <v>2.1666666666666665</v>
      </c>
      <c r="AY1342">
        <v>792.3</v>
      </c>
      <c r="AZ1342">
        <v>77</v>
      </c>
      <c r="BF1342" t="s">
        <v>410</v>
      </c>
    </row>
    <row r="1343" spans="1:58" x14ac:dyDescent="0.45">
      <c r="A1343">
        <v>20138</v>
      </c>
      <c r="B1343">
        <v>1</v>
      </c>
      <c r="C1343">
        <v>74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13</v>
      </c>
      <c r="K1343">
        <v>13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Z1343">
        <v>1</v>
      </c>
      <c r="AA1343">
        <v>0</v>
      </c>
      <c r="AB1343">
        <v>0</v>
      </c>
      <c r="AC1343">
        <v>0</v>
      </c>
      <c r="AD1343">
        <v>1</v>
      </c>
      <c r="AE1343">
        <v>1000</v>
      </c>
      <c r="AF1343">
        <v>1</v>
      </c>
      <c r="AG1343">
        <v>1</v>
      </c>
      <c r="AH1343">
        <v>0</v>
      </c>
      <c r="AI1343">
        <v>0</v>
      </c>
      <c r="AJ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3.6400000000000006</v>
      </c>
      <c r="AX1343">
        <v>2.1666666666666665</v>
      </c>
      <c r="AY1343">
        <v>792.3</v>
      </c>
      <c r="AZ1343">
        <v>79</v>
      </c>
      <c r="BA1343">
        <v>900</v>
      </c>
      <c r="BB1343">
        <v>1030</v>
      </c>
      <c r="BC1343">
        <v>15</v>
      </c>
      <c r="BF1343" t="s">
        <v>416</v>
      </c>
    </row>
    <row r="1344" spans="1:58" x14ac:dyDescent="0.45">
      <c r="A1344">
        <v>20139</v>
      </c>
      <c r="B1344">
        <v>1</v>
      </c>
      <c r="C1344">
        <v>74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13</v>
      </c>
      <c r="K1344">
        <v>13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Y1344">
        <v>60</v>
      </c>
      <c r="Z1344">
        <v>0</v>
      </c>
      <c r="AA1344">
        <v>1</v>
      </c>
      <c r="AB1344">
        <v>0</v>
      </c>
      <c r="AC1344">
        <v>0</v>
      </c>
      <c r="AD1344">
        <v>0</v>
      </c>
      <c r="AJ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3.6400000000000006</v>
      </c>
      <c r="AX1344">
        <v>2.1666666666666665</v>
      </c>
      <c r="AY1344">
        <v>792.3</v>
      </c>
      <c r="AZ1344">
        <v>47.5</v>
      </c>
      <c r="BB1344">
        <v>1075</v>
      </c>
      <c r="BF1344" t="s">
        <v>416</v>
      </c>
    </row>
    <row r="1345" spans="1:58" x14ac:dyDescent="0.45">
      <c r="A1345">
        <v>20140</v>
      </c>
      <c r="B1345">
        <v>1</v>
      </c>
      <c r="C1345">
        <v>74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13</v>
      </c>
      <c r="K1345">
        <v>13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Y1345">
        <v>52</v>
      </c>
      <c r="Z1345">
        <v>0</v>
      </c>
      <c r="AA1345">
        <v>1</v>
      </c>
      <c r="AB1345">
        <v>0</v>
      </c>
      <c r="AC1345">
        <v>0</v>
      </c>
      <c r="AD1345">
        <v>0</v>
      </c>
      <c r="AJ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3.6400000000000006</v>
      </c>
      <c r="AX1345">
        <v>2.1666666666666665</v>
      </c>
      <c r="AY1345">
        <v>792.3</v>
      </c>
      <c r="AZ1345">
        <v>52</v>
      </c>
      <c r="BA1345">
        <v>1270</v>
      </c>
      <c r="BB1345">
        <v>1280</v>
      </c>
      <c r="BC1345">
        <v>3</v>
      </c>
      <c r="BF1345" t="s">
        <v>416</v>
      </c>
    </row>
    <row r="1346" spans="1:58" x14ac:dyDescent="0.45">
      <c r="A1346">
        <v>20141</v>
      </c>
      <c r="B1346">
        <v>1</v>
      </c>
      <c r="C1346">
        <v>74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13</v>
      </c>
      <c r="K1346">
        <v>13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Z1346">
        <v>1</v>
      </c>
      <c r="AA1346">
        <v>0</v>
      </c>
      <c r="AB1346">
        <v>0</v>
      </c>
      <c r="AC1346">
        <v>0</v>
      </c>
      <c r="AD1346">
        <v>1</v>
      </c>
      <c r="AE1346">
        <v>1000</v>
      </c>
      <c r="AF1346">
        <v>1</v>
      </c>
      <c r="AG1346">
        <v>1</v>
      </c>
      <c r="AH1346">
        <v>0</v>
      </c>
      <c r="AI1346">
        <v>0</v>
      </c>
      <c r="AJ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3.6400000000000006</v>
      </c>
      <c r="AX1346">
        <v>2.1666666666666665</v>
      </c>
      <c r="AY1346">
        <v>792.3</v>
      </c>
      <c r="AZ1346">
        <v>60</v>
      </c>
      <c r="BA1346">
        <v>640</v>
      </c>
      <c r="BB1346">
        <v>860</v>
      </c>
      <c r="BC1346">
        <v>15</v>
      </c>
      <c r="BF1346" t="s">
        <v>416</v>
      </c>
    </row>
    <row r="1347" spans="1:58" x14ac:dyDescent="0.45">
      <c r="A1347">
        <v>20142</v>
      </c>
      <c r="B1347">
        <v>1</v>
      </c>
      <c r="C1347">
        <v>67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14</v>
      </c>
      <c r="K1347">
        <v>19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J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5.32</v>
      </c>
      <c r="AX1347">
        <v>2.3333333333333335</v>
      </c>
      <c r="AY1347">
        <v>785.4</v>
      </c>
      <c r="AZ1347">
        <v>14</v>
      </c>
      <c r="BF1347" t="s">
        <v>395</v>
      </c>
    </row>
    <row r="1348" spans="1:58" x14ac:dyDescent="0.45">
      <c r="A1348">
        <v>20143</v>
      </c>
      <c r="B1348">
        <v>1</v>
      </c>
      <c r="C1348">
        <v>70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7</v>
      </c>
      <c r="K1348">
        <v>23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0</v>
      </c>
      <c r="Z1348">
        <v>1</v>
      </c>
      <c r="AA1348">
        <v>0</v>
      </c>
      <c r="AB1348">
        <v>0</v>
      </c>
      <c r="AC1348">
        <v>0</v>
      </c>
      <c r="AD1348">
        <v>1</v>
      </c>
      <c r="AE1348">
        <v>1000</v>
      </c>
      <c r="AF1348">
        <v>1</v>
      </c>
      <c r="AG1348">
        <v>1</v>
      </c>
      <c r="AH1348">
        <v>0</v>
      </c>
      <c r="AI1348">
        <v>0</v>
      </c>
      <c r="AJ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6.44</v>
      </c>
      <c r="AX1348">
        <v>1.1666666666666667</v>
      </c>
      <c r="AY1348">
        <v>833.7</v>
      </c>
      <c r="AZ1348">
        <v>36</v>
      </c>
      <c r="BD1348">
        <v>237</v>
      </c>
      <c r="BF1348" t="s">
        <v>417</v>
      </c>
    </row>
    <row r="1349" spans="1:58" x14ac:dyDescent="0.45">
      <c r="A1349">
        <v>20144</v>
      </c>
      <c r="B1349">
        <v>1</v>
      </c>
      <c r="C1349">
        <v>65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7</v>
      </c>
      <c r="K1349">
        <v>28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J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7.8400000000000007</v>
      </c>
      <c r="AX1349">
        <v>1.1666666666666667</v>
      </c>
      <c r="AY1349">
        <v>833.7</v>
      </c>
      <c r="AZ1349">
        <v>29</v>
      </c>
      <c r="BD1349">
        <v>194</v>
      </c>
      <c r="BF1349" t="s">
        <v>417</v>
      </c>
    </row>
    <row r="1350" spans="1:58" x14ac:dyDescent="0.45">
      <c r="A1350">
        <v>20145</v>
      </c>
      <c r="B1350">
        <v>1</v>
      </c>
      <c r="C1350">
        <v>60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7</v>
      </c>
      <c r="K1350">
        <v>33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J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9.24</v>
      </c>
      <c r="AX1350">
        <v>1.1666666666666667</v>
      </c>
      <c r="AY1350">
        <v>833.7</v>
      </c>
      <c r="AZ1350">
        <v>29</v>
      </c>
      <c r="BD1350">
        <v>181</v>
      </c>
      <c r="BF1350" t="s">
        <v>417</v>
      </c>
    </row>
    <row r="1351" spans="1:58" x14ac:dyDescent="0.45">
      <c r="A1351">
        <v>20146</v>
      </c>
      <c r="B1351">
        <v>1</v>
      </c>
      <c r="C1351">
        <v>51.8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7.1</v>
      </c>
      <c r="K1351">
        <v>41.1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Y1351">
        <v>89</v>
      </c>
      <c r="Z1351">
        <v>0</v>
      </c>
      <c r="AA1351">
        <v>0</v>
      </c>
      <c r="AB1351">
        <v>1</v>
      </c>
      <c r="AC1351">
        <v>0</v>
      </c>
      <c r="AD1351">
        <v>1</v>
      </c>
      <c r="AE1351">
        <v>1000</v>
      </c>
      <c r="AF1351">
        <v>2</v>
      </c>
      <c r="AG1351">
        <v>1</v>
      </c>
      <c r="AH1351">
        <v>0</v>
      </c>
      <c r="AI1351">
        <v>0</v>
      </c>
      <c r="AJ1351">
        <v>1</v>
      </c>
      <c r="AK1351">
        <v>1000</v>
      </c>
      <c r="AL1351">
        <v>2</v>
      </c>
      <c r="AM1351">
        <v>1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11.508000000000001</v>
      </c>
      <c r="AX1351">
        <v>1.1833333333333333</v>
      </c>
      <c r="AY1351">
        <v>833.01</v>
      </c>
      <c r="AZ1351">
        <v>65</v>
      </c>
      <c r="BA1351">
        <v>490</v>
      </c>
      <c r="BB1351">
        <v>490</v>
      </c>
      <c r="BC1351">
        <v>16</v>
      </c>
      <c r="BD1351">
        <v>490</v>
      </c>
      <c r="BF1351" t="s">
        <v>418</v>
      </c>
    </row>
    <row r="1352" spans="1:58" x14ac:dyDescent="0.45">
      <c r="A1352">
        <v>20147</v>
      </c>
      <c r="B1352">
        <v>1</v>
      </c>
      <c r="C1352">
        <v>65</v>
      </c>
      <c r="D1352">
        <v>0</v>
      </c>
      <c r="E1352">
        <v>0</v>
      </c>
      <c r="F1352">
        <v>0</v>
      </c>
      <c r="G1352">
        <v>0</v>
      </c>
      <c r="H1352">
        <v>2</v>
      </c>
      <c r="I1352">
        <v>0</v>
      </c>
      <c r="J1352">
        <v>0</v>
      </c>
      <c r="K1352">
        <v>23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Y1352">
        <v>20</v>
      </c>
      <c r="Z1352">
        <v>0</v>
      </c>
      <c r="AA1352">
        <v>1</v>
      </c>
      <c r="AB1352">
        <v>0</v>
      </c>
      <c r="AC1352">
        <v>0</v>
      </c>
      <c r="AD1352">
        <v>1</v>
      </c>
      <c r="AE1352">
        <v>1000</v>
      </c>
      <c r="AF1352">
        <v>12</v>
      </c>
      <c r="AJ1352">
        <v>1</v>
      </c>
      <c r="AK1352">
        <v>800</v>
      </c>
      <c r="AL1352">
        <v>0.16666666666666666</v>
      </c>
      <c r="AM1352">
        <v>1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12.24</v>
      </c>
      <c r="AX1352">
        <v>0</v>
      </c>
      <c r="AY1352">
        <v>851.2</v>
      </c>
      <c r="AZ1352">
        <v>79</v>
      </c>
      <c r="BA1352">
        <v>782</v>
      </c>
      <c r="BF1352" t="s">
        <v>419</v>
      </c>
    </row>
    <row r="1353" spans="1:58" x14ac:dyDescent="0.45">
      <c r="A1353">
        <v>20148</v>
      </c>
      <c r="B1353">
        <v>1</v>
      </c>
      <c r="C1353">
        <v>65</v>
      </c>
      <c r="D1353">
        <v>0</v>
      </c>
      <c r="E1353">
        <v>0</v>
      </c>
      <c r="F1353">
        <v>0</v>
      </c>
      <c r="G1353">
        <v>0</v>
      </c>
      <c r="H1353">
        <v>2</v>
      </c>
      <c r="I1353">
        <v>0</v>
      </c>
      <c r="J1353">
        <v>0</v>
      </c>
      <c r="K1353">
        <v>23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Y1353">
        <v>20</v>
      </c>
      <c r="Z1353">
        <v>0</v>
      </c>
      <c r="AA1353">
        <v>1</v>
      </c>
      <c r="AB1353">
        <v>0</v>
      </c>
      <c r="AC1353">
        <v>0</v>
      </c>
      <c r="AD1353">
        <v>1</v>
      </c>
      <c r="AE1353">
        <v>1000</v>
      </c>
      <c r="AF1353">
        <v>12</v>
      </c>
      <c r="AJ1353">
        <v>1</v>
      </c>
      <c r="AK1353">
        <v>800</v>
      </c>
      <c r="AL1353">
        <v>0.16666666666666666</v>
      </c>
      <c r="AM1353">
        <v>1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12.24</v>
      </c>
      <c r="AX1353">
        <v>0</v>
      </c>
      <c r="AY1353">
        <v>851.2</v>
      </c>
      <c r="AZ1353">
        <v>104</v>
      </c>
      <c r="BA1353">
        <v>980</v>
      </c>
      <c r="BF1353" t="s">
        <v>419</v>
      </c>
    </row>
    <row r="1354" spans="1:58" x14ac:dyDescent="0.45">
      <c r="A1354">
        <v>20149</v>
      </c>
      <c r="B1354">
        <v>1</v>
      </c>
      <c r="C1354">
        <v>61.5</v>
      </c>
      <c r="D1354">
        <v>0</v>
      </c>
      <c r="E1354">
        <v>0</v>
      </c>
      <c r="F1354">
        <v>0</v>
      </c>
      <c r="G1354">
        <v>0</v>
      </c>
      <c r="H1354">
        <v>1.5</v>
      </c>
      <c r="I1354">
        <v>0</v>
      </c>
      <c r="J1354">
        <v>0</v>
      </c>
      <c r="K1354">
        <v>27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Y1354">
        <v>20</v>
      </c>
      <c r="Z1354">
        <v>0</v>
      </c>
      <c r="AA1354">
        <v>1</v>
      </c>
      <c r="AB1354">
        <v>0</v>
      </c>
      <c r="AC1354">
        <v>0</v>
      </c>
      <c r="AD1354">
        <v>1</v>
      </c>
      <c r="AE1354">
        <v>1000</v>
      </c>
      <c r="AF1354">
        <v>12</v>
      </c>
      <c r="AJ1354">
        <v>1</v>
      </c>
      <c r="AK1354">
        <v>800</v>
      </c>
      <c r="AL1354">
        <v>0.16666666666666666</v>
      </c>
      <c r="AM1354">
        <v>1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11.91</v>
      </c>
      <c r="AX1354">
        <v>0</v>
      </c>
      <c r="AY1354">
        <v>858.9</v>
      </c>
      <c r="AZ1354">
        <v>78</v>
      </c>
      <c r="BA1354">
        <v>735</v>
      </c>
      <c r="BF1354" t="s">
        <v>419</v>
      </c>
    </row>
    <row r="1355" spans="1:58" x14ac:dyDescent="0.45">
      <c r="A1355">
        <v>20150</v>
      </c>
      <c r="B1355">
        <v>1</v>
      </c>
      <c r="C1355">
        <v>61.5</v>
      </c>
      <c r="D1355">
        <v>0</v>
      </c>
      <c r="E1355">
        <v>0</v>
      </c>
      <c r="F1355">
        <v>0</v>
      </c>
      <c r="G1355">
        <v>0</v>
      </c>
      <c r="H1355">
        <v>1.5</v>
      </c>
      <c r="I1355">
        <v>0</v>
      </c>
      <c r="J1355">
        <v>0</v>
      </c>
      <c r="K1355">
        <v>27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Y1355">
        <v>20</v>
      </c>
      <c r="Z1355">
        <v>0</v>
      </c>
      <c r="AA1355">
        <v>1</v>
      </c>
      <c r="AB1355">
        <v>0</v>
      </c>
      <c r="AC1355">
        <v>0</v>
      </c>
      <c r="AD1355">
        <v>1</v>
      </c>
      <c r="AE1355">
        <v>1000</v>
      </c>
      <c r="AF1355">
        <v>12</v>
      </c>
      <c r="AJ1355">
        <v>1</v>
      </c>
      <c r="AK1355">
        <v>800</v>
      </c>
      <c r="AL1355">
        <v>0.16666666666666666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11.91</v>
      </c>
      <c r="AX1355">
        <v>0</v>
      </c>
      <c r="AY1355">
        <v>858.9</v>
      </c>
      <c r="AZ1355">
        <v>101</v>
      </c>
      <c r="BA1355">
        <v>903</v>
      </c>
      <c r="BF1355" t="s">
        <v>419</v>
      </c>
    </row>
    <row r="1356" spans="1:58" x14ac:dyDescent="0.45">
      <c r="A1356">
        <v>20151</v>
      </c>
      <c r="B1356">
        <v>1</v>
      </c>
      <c r="C1356">
        <v>57</v>
      </c>
      <c r="D1356">
        <v>0</v>
      </c>
      <c r="E1356">
        <v>0</v>
      </c>
      <c r="F1356">
        <v>0</v>
      </c>
      <c r="G1356">
        <v>0</v>
      </c>
      <c r="H1356">
        <v>2</v>
      </c>
      <c r="I1356">
        <v>0</v>
      </c>
      <c r="J1356">
        <v>13</v>
      </c>
      <c r="K1356">
        <v>28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J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13.64</v>
      </c>
      <c r="AX1356">
        <v>2.1666666666666665</v>
      </c>
      <c r="AY1356">
        <v>761.5</v>
      </c>
      <c r="AZ1356">
        <v>54</v>
      </c>
      <c r="BF1356" t="s">
        <v>420</v>
      </c>
    </row>
    <row r="1357" spans="1:58" x14ac:dyDescent="0.45">
      <c r="A1357">
        <v>20152</v>
      </c>
      <c r="B1357">
        <v>0</v>
      </c>
      <c r="C1357">
        <v>57.66</v>
      </c>
      <c r="D1357">
        <v>0</v>
      </c>
      <c r="E1357">
        <v>0</v>
      </c>
      <c r="F1357">
        <v>0</v>
      </c>
      <c r="G1357">
        <v>0</v>
      </c>
      <c r="H1357">
        <v>0.53</v>
      </c>
      <c r="I1357">
        <v>0</v>
      </c>
      <c r="J1357">
        <v>13.2</v>
      </c>
      <c r="K1357">
        <v>28.5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0.11</v>
      </c>
      <c r="U1357">
        <v>0</v>
      </c>
      <c r="V1357">
        <v>1</v>
      </c>
      <c r="W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J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9.5169999999999995</v>
      </c>
      <c r="AX1357">
        <v>2.2109999999999999</v>
      </c>
      <c r="AY1357">
        <v>796.2879999999999</v>
      </c>
      <c r="AZ1357">
        <v>58</v>
      </c>
      <c r="BA1357">
        <v>780</v>
      </c>
      <c r="BC1357">
        <v>13</v>
      </c>
      <c r="BF1357" t="s">
        <v>421</v>
      </c>
    </row>
    <row r="1358" spans="1:58" x14ac:dyDescent="0.45">
      <c r="A1358">
        <v>20153</v>
      </c>
      <c r="B1358">
        <v>1</v>
      </c>
      <c r="C1358">
        <v>58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Y1358">
        <v>20</v>
      </c>
      <c r="Z1358">
        <v>0</v>
      </c>
      <c r="AA1358">
        <v>1</v>
      </c>
      <c r="AB1358">
        <v>0</v>
      </c>
      <c r="AC1358">
        <v>0</v>
      </c>
      <c r="AD1358">
        <v>1</v>
      </c>
      <c r="AE1358">
        <v>1000</v>
      </c>
      <c r="AF1358">
        <v>12</v>
      </c>
      <c r="AJ1358">
        <v>1</v>
      </c>
      <c r="AK1358">
        <v>800</v>
      </c>
      <c r="AL1358">
        <v>0.16666666666666666</v>
      </c>
      <c r="AM1358">
        <v>1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3.74</v>
      </c>
      <c r="AX1358">
        <v>0</v>
      </c>
      <c r="AY1358">
        <v>866.6</v>
      </c>
      <c r="AZ1358">
        <v>77</v>
      </c>
      <c r="BA1358">
        <v>672</v>
      </c>
      <c r="BF1358" t="s">
        <v>419</v>
      </c>
    </row>
    <row r="1359" spans="1:58" x14ac:dyDescent="0.45">
      <c r="A1359">
        <v>20154</v>
      </c>
      <c r="B1359">
        <v>1</v>
      </c>
      <c r="C1359">
        <v>58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Y1359">
        <v>20</v>
      </c>
      <c r="Z1359">
        <v>0</v>
      </c>
      <c r="AA1359">
        <v>1</v>
      </c>
      <c r="AB1359">
        <v>0</v>
      </c>
      <c r="AC1359">
        <v>0</v>
      </c>
      <c r="AD1359">
        <v>1</v>
      </c>
      <c r="AE1359">
        <v>1000</v>
      </c>
      <c r="AF1359">
        <v>12</v>
      </c>
      <c r="AJ1359">
        <v>1</v>
      </c>
      <c r="AK1359">
        <v>800</v>
      </c>
      <c r="AL1359">
        <v>0.16666666666666666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3.74</v>
      </c>
      <c r="AX1359">
        <v>0</v>
      </c>
      <c r="AY1359">
        <v>866.6</v>
      </c>
      <c r="AZ1359">
        <v>89</v>
      </c>
      <c r="BA1359">
        <v>796</v>
      </c>
      <c r="BF1359" t="s">
        <v>419</v>
      </c>
    </row>
    <row r="1360" spans="1:58" x14ac:dyDescent="0.45">
      <c r="A1360">
        <v>20155</v>
      </c>
      <c r="B1360">
        <v>1</v>
      </c>
      <c r="C1360">
        <v>63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6</v>
      </c>
      <c r="K1360">
        <v>29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Y1360">
        <v>70</v>
      </c>
      <c r="Z1360">
        <v>0</v>
      </c>
      <c r="AA1360">
        <v>1</v>
      </c>
      <c r="AB1360">
        <v>0</v>
      </c>
      <c r="AC1360">
        <v>0</v>
      </c>
      <c r="AD1360">
        <v>1</v>
      </c>
      <c r="AE1360">
        <v>1000</v>
      </c>
      <c r="AF1360">
        <v>24</v>
      </c>
      <c r="AJ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10.120000000000001</v>
      </c>
      <c r="AX1360">
        <v>1</v>
      </c>
      <c r="AY1360">
        <v>821.6</v>
      </c>
      <c r="AZ1360">
        <v>29</v>
      </c>
      <c r="BF1360" t="s">
        <v>422</v>
      </c>
    </row>
    <row r="1361" spans="1:58" x14ac:dyDescent="0.45">
      <c r="A1361">
        <v>20156</v>
      </c>
      <c r="B1361">
        <v>1</v>
      </c>
      <c r="C1361">
        <v>58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6</v>
      </c>
      <c r="K1361">
        <v>31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J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13.680000000000001</v>
      </c>
      <c r="AX1361">
        <v>1</v>
      </c>
      <c r="AY1361">
        <v>793.1</v>
      </c>
      <c r="AZ1361">
        <v>44</v>
      </c>
      <c r="BF1361" t="s">
        <v>401</v>
      </c>
    </row>
    <row r="1362" spans="1:58" x14ac:dyDescent="0.45">
      <c r="A1362">
        <v>20157</v>
      </c>
      <c r="B1362">
        <v>1</v>
      </c>
      <c r="C1362">
        <v>58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6</v>
      </c>
      <c r="K1362">
        <v>31</v>
      </c>
      <c r="L1362">
        <v>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Y1362">
        <v>75</v>
      </c>
      <c r="Z1362">
        <v>0</v>
      </c>
      <c r="AA1362">
        <v>1</v>
      </c>
      <c r="AB1362">
        <v>0</v>
      </c>
      <c r="AC1362">
        <v>0</v>
      </c>
      <c r="AD1362">
        <v>1</v>
      </c>
      <c r="AE1362">
        <v>600</v>
      </c>
      <c r="AF1362">
        <v>0.25</v>
      </c>
      <c r="AJ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13.680000000000001</v>
      </c>
      <c r="AX1362">
        <v>1</v>
      </c>
      <c r="AY1362">
        <v>793.1</v>
      </c>
      <c r="AZ1362">
        <v>48</v>
      </c>
      <c r="BF1362" t="s">
        <v>401</v>
      </c>
    </row>
    <row r="1363" spans="1:58" x14ac:dyDescent="0.45">
      <c r="A1363">
        <v>20158</v>
      </c>
      <c r="B1363">
        <v>0</v>
      </c>
      <c r="C1363">
        <v>63.3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7</v>
      </c>
      <c r="K1363">
        <v>29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0.7</v>
      </c>
      <c r="U1363">
        <v>0</v>
      </c>
      <c r="V1363">
        <v>0</v>
      </c>
      <c r="W1363">
        <v>1</v>
      </c>
      <c r="Y1363">
        <v>70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1000</v>
      </c>
      <c r="AF1363">
        <v>6</v>
      </c>
      <c r="AJ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8.120000000000001</v>
      </c>
      <c r="AX1363">
        <v>1.2366666666666668</v>
      </c>
      <c r="AY1363">
        <v>919.80000000000007</v>
      </c>
      <c r="AZ1363">
        <v>65</v>
      </c>
      <c r="BA1363">
        <v>1000</v>
      </c>
      <c r="BF1363" t="s">
        <v>423</v>
      </c>
    </row>
    <row r="1364" spans="1:58" x14ac:dyDescent="0.45">
      <c r="A1364">
        <v>20159</v>
      </c>
      <c r="B1364">
        <v>1</v>
      </c>
      <c r="C1364">
        <v>61.9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9.1999999999999993</v>
      </c>
      <c r="K1364">
        <v>23.2</v>
      </c>
      <c r="L1364">
        <v>0</v>
      </c>
      <c r="M1364">
        <v>5.7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Z1364">
        <v>1</v>
      </c>
      <c r="AA1364">
        <v>0</v>
      </c>
      <c r="AB1364">
        <v>0</v>
      </c>
      <c r="AC1364">
        <v>0</v>
      </c>
      <c r="AD1364">
        <v>1</v>
      </c>
      <c r="AE1364">
        <v>1150</v>
      </c>
      <c r="AF1364">
        <v>24</v>
      </c>
      <c r="AG1364">
        <v>1</v>
      </c>
      <c r="AH1364">
        <v>0</v>
      </c>
      <c r="AI1364">
        <v>0</v>
      </c>
      <c r="AJ1364">
        <v>1</v>
      </c>
      <c r="AK1364">
        <v>1000</v>
      </c>
      <c r="AL1364">
        <v>0.16666666666666666</v>
      </c>
      <c r="AM1364">
        <v>1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6.4960000000000004</v>
      </c>
      <c r="AX1364">
        <v>3.4333333333333336</v>
      </c>
      <c r="AY1364">
        <v>842.46</v>
      </c>
      <c r="AZ1364">
        <v>48.7</v>
      </c>
      <c r="BF1364" t="s">
        <v>405</v>
      </c>
    </row>
    <row r="1365" spans="1:58" x14ac:dyDescent="0.45">
      <c r="A1365">
        <v>20160</v>
      </c>
      <c r="B1365">
        <v>1</v>
      </c>
      <c r="C1365">
        <v>68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10</v>
      </c>
      <c r="K1365">
        <v>10.199999999999999</v>
      </c>
      <c r="L1365">
        <v>5.3</v>
      </c>
      <c r="M1365">
        <v>6.5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J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8.1559999999999988</v>
      </c>
      <c r="AX1365">
        <v>3.833333333333333</v>
      </c>
      <c r="AY1365">
        <v>789.94999999999993</v>
      </c>
      <c r="AZ1365">
        <v>48</v>
      </c>
      <c r="BA1365">
        <v>478</v>
      </c>
      <c r="BB1365">
        <v>715</v>
      </c>
      <c r="BC1365">
        <v>7.6</v>
      </c>
      <c r="BF1365" t="s">
        <v>399</v>
      </c>
    </row>
    <row r="1366" spans="1:58" x14ac:dyDescent="0.45">
      <c r="A1366">
        <v>20161</v>
      </c>
      <c r="B1366">
        <v>1</v>
      </c>
      <c r="C1366">
        <v>69.599999999999994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9.5</v>
      </c>
      <c r="K1366">
        <v>9.6999999999999993</v>
      </c>
      <c r="L1366">
        <v>5</v>
      </c>
      <c r="M1366">
        <v>6.2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J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7.7160000000000002</v>
      </c>
      <c r="AX1366">
        <v>3.6500000000000004</v>
      </c>
      <c r="AY1366">
        <v>794.99</v>
      </c>
      <c r="AZ1366">
        <v>54</v>
      </c>
      <c r="BA1366">
        <v>235</v>
      </c>
      <c r="BB1366">
        <v>715</v>
      </c>
      <c r="BC1366">
        <v>12.5</v>
      </c>
      <c r="BF1366" t="s">
        <v>399</v>
      </c>
    </row>
    <row r="1367" spans="1:58" x14ac:dyDescent="0.45">
      <c r="A1367">
        <v>20162</v>
      </c>
      <c r="B1367">
        <v>1</v>
      </c>
      <c r="C1367">
        <v>68.099999999999994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10</v>
      </c>
      <c r="K1367">
        <v>10.199999999999999</v>
      </c>
      <c r="L1367">
        <v>5.2</v>
      </c>
      <c r="M1367">
        <v>6.5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J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8.0560000000000009</v>
      </c>
      <c r="AX1367">
        <v>3.833333333333333</v>
      </c>
      <c r="AY1367">
        <v>790.9</v>
      </c>
      <c r="AZ1367">
        <v>48</v>
      </c>
      <c r="BA1367">
        <v>478</v>
      </c>
      <c r="BB1367">
        <v>715</v>
      </c>
      <c r="BC1367">
        <v>7.6</v>
      </c>
      <c r="BF1367" t="s">
        <v>398</v>
      </c>
    </row>
    <row r="1368" spans="1:58" x14ac:dyDescent="0.45">
      <c r="A1368">
        <v>20163</v>
      </c>
      <c r="B1368">
        <v>1</v>
      </c>
      <c r="C1368">
        <v>68.099999999999994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10</v>
      </c>
      <c r="K1368">
        <v>10.199999999999999</v>
      </c>
      <c r="L1368">
        <v>5.2</v>
      </c>
      <c r="M1368">
        <v>6.5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Z1368">
        <v>1</v>
      </c>
      <c r="AA1368">
        <v>0</v>
      </c>
      <c r="AB1368">
        <v>0</v>
      </c>
      <c r="AC1368">
        <v>0</v>
      </c>
      <c r="AD1368">
        <v>1</v>
      </c>
      <c r="AE1368">
        <v>950</v>
      </c>
      <c r="AF1368">
        <v>2</v>
      </c>
      <c r="AG1368">
        <v>1</v>
      </c>
      <c r="AH1368">
        <v>0</v>
      </c>
      <c r="AI1368">
        <v>0</v>
      </c>
      <c r="AJ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8.0560000000000009</v>
      </c>
      <c r="AX1368">
        <v>3.833333333333333</v>
      </c>
      <c r="AY1368">
        <v>790.9</v>
      </c>
      <c r="AZ1368">
        <v>43</v>
      </c>
      <c r="BA1368">
        <v>408</v>
      </c>
      <c r="BB1368">
        <v>577</v>
      </c>
      <c r="BC1368">
        <v>6.7</v>
      </c>
      <c r="BF1368" t="s">
        <v>398</v>
      </c>
    </row>
    <row r="1369" spans="1:58" x14ac:dyDescent="0.45">
      <c r="A1369">
        <v>20164</v>
      </c>
      <c r="B1369">
        <v>1</v>
      </c>
      <c r="C1369">
        <v>69.599999999999994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9.5</v>
      </c>
      <c r="K1369">
        <v>9.6999999999999993</v>
      </c>
      <c r="L1369">
        <v>5</v>
      </c>
      <c r="M1369">
        <v>6.2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J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7.7160000000000002</v>
      </c>
      <c r="AX1369">
        <v>3.6500000000000004</v>
      </c>
      <c r="AY1369">
        <v>794.99</v>
      </c>
      <c r="AZ1369">
        <v>54</v>
      </c>
      <c r="BF1369" t="s">
        <v>373</v>
      </c>
    </row>
    <row r="1370" spans="1:58" x14ac:dyDescent="0.45">
      <c r="A1370">
        <v>20165</v>
      </c>
      <c r="B1370">
        <v>1</v>
      </c>
      <c r="C1370">
        <v>65.599999999999994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9.3000000000000007</v>
      </c>
      <c r="K1370">
        <v>14.2</v>
      </c>
      <c r="L1370">
        <v>4.9000000000000004</v>
      </c>
      <c r="M1370">
        <v>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J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8.8760000000000012</v>
      </c>
      <c r="AX1370">
        <v>3.55</v>
      </c>
      <c r="AY1370">
        <v>796.48000000000013</v>
      </c>
      <c r="AZ1370">
        <v>56</v>
      </c>
      <c r="BA1370">
        <v>566</v>
      </c>
      <c r="BB1370">
        <v>701</v>
      </c>
      <c r="BC1370">
        <v>13.6</v>
      </c>
      <c r="BF1370" t="s">
        <v>399</v>
      </c>
    </row>
    <row r="1371" spans="1:58" x14ac:dyDescent="0.45">
      <c r="A1371">
        <v>20166</v>
      </c>
      <c r="B1371">
        <v>1</v>
      </c>
      <c r="C1371">
        <v>65.599999999999994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9.3000000000000007</v>
      </c>
      <c r="K1371">
        <v>14.2</v>
      </c>
      <c r="L1371">
        <v>4.9000000000000004</v>
      </c>
      <c r="M1371">
        <v>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J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8.8760000000000012</v>
      </c>
      <c r="AX1371">
        <v>3.55</v>
      </c>
      <c r="AY1371">
        <v>796.48000000000013</v>
      </c>
      <c r="AZ1371">
        <v>56</v>
      </c>
      <c r="BF1371" t="s">
        <v>373</v>
      </c>
    </row>
    <row r="1372" spans="1:58" x14ac:dyDescent="0.45">
      <c r="A1372">
        <v>20167</v>
      </c>
      <c r="B1372">
        <v>1</v>
      </c>
      <c r="C1372">
        <v>61.7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9.1</v>
      </c>
      <c r="K1372">
        <v>18.5</v>
      </c>
      <c r="L1372">
        <v>4.8</v>
      </c>
      <c r="M1372">
        <v>5.9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J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9.98</v>
      </c>
      <c r="AX1372">
        <v>3.4833333333333334</v>
      </c>
      <c r="AY1372">
        <v>798.39</v>
      </c>
      <c r="AZ1372">
        <v>72</v>
      </c>
      <c r="BA1372">
        <v>499</v>
      </c>
      <c r="BB1372">
        <v>519</v>
      </c>
      <c r="BC1372">
        <v>6.4</v>
      </c>
      <c r="BF1372" t="s">
        <v>399</v>
      </c>
    </row>
    <row r="1373" spans="1:58" x14ac:dyDescent="0.45">
      <c r="A1373">
        <v>20168</v>
      </c>
      <c r="B1373">
        <v>1</v>
      </c>
      <c r="C1373">
        <v>61.7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9.1</v>
      </c>
      <c r="K1373">
        <v>18.5</v>
      </c>
      <c r="L1373">
        <v>4.8</v>
      </c>
      <c r="M1373">
        <v>5.9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J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9.98</v>
      </c>
      <c r="AX1373">
        <v>3.4833333333333334</v>
      </c>
      <c r="AY1373">
        <v>798.39</v>
      </c>
      <c r="AZ1373">
        <v>73</v>
      </c>
      <c r="BF1373" t="s">
        <v>373</v>
      </c>
    </row>
    <row r="1374" spans="1:58" x14ac:dyDescent="0.45">
      <c r="A1374">
        <v>20169</v>
      </c>
      <c r="B1374">
        <v>1</v>
      </c>
      <c r="C1374">
        <v>57.7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6.8</v>
      </c>
      <c r="K1374">
        <v>32.5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Z1374">
        <v>0</v>
      </c>
      <c r="AA1374">
        <v>0</v>
      </c>
      <c r="AB1374">
        <v>1</v>
      </c>
      <c r="AC1374">
        <v>0</v>
      </c>
      <c r="AD1374">
        <v>1</v>
      </c>
      <c r="AE1374">
        <v>1000</v>
      </c>
      <c r="AF1374">
        <v>1</v>
      </c>
      <c r="AG1374">
        <v>1</v>
      </c>
      <c r="AH1374">
        <v>0</v>
      </c>
      <c r="AI1374">
        <v>0</v>
      </c>
      <c r="AJ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9.1000000000000014</v>
      </c>
      <c r="AX1374">
        <v>1.1333333333333333</v>
      </c>
      <c r="AY1374">
        <v>835.08</v>
      </c>
      <c r="AZ1374">
        <v>66.900000000000006</v>
      </c>
      <c r="BB1374">
        <v>829</v>
      </c>
      <c r="BC1374">
        <v>15.4</v>
      </c>
      <c r="BF1374" t="s">
        <v>424</v>
      </c>
    </row>
    <row r="1375" spans="1:58" x14ac:dyDescent="0.45">
      <c r="A1375">
        <v>20170</v>
      </c>
      <c r="B1375">
        <v>1</v>
      </c>
      <c r="C1375">
        <v>57.7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6.8</v>
      </c>
      <c r="K1375">
        <v>32.5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Y1375">
        <v>50</v>
      </c>
      <c r="Z1375">
        <v>0</v>
      </c>
      <c r="AA1375">
        <v>1</v>
      </c>
      <c r="AB1375">
        <v>1</v>
      </c>
      <c r="AC1375">
        <v>0</v>
      </c>
      <c r="AD1375">
        <v>1</v>
      </c>
      <c r="AE1375">
        <v>1000</v>
      </c>
      <c r="AF1375">
        <v>1</v>
      </c>
      <c r="AG1375">
        <v>1</v>
      </c>
      <c r="AH1375">
        <v>0</v>
      </c>
      <c r="AI1375">
        <v>0</v>
      </c>
      <c r="AJ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9.1000000000000014</v>
      </c>
      <c r="AX1375">
        <v>1.1333333333333333</v>
      </c>
      <c r="AY1375">
        <v>835.08</v>
      </c>
      <c r="AZ1375">
        <v>60.7</v>
      </c>
      <c r="BB1375">
        <v>942</v>
      </c>
      <c r="BC1375">
        <v>13.8</v>
      </c>
      <c r="BF1375" t="s">
        <v>424</v>
      </c>
    </row>
    <row r="1376" spans="1:58" x14ac:dyDescent="0.45">
      <c r="A1376">
        <v>20171</v>
      </c>
      <c r="B1376">
        <v>1</v>
      </c>
      <c r="C1376">
        <v>57.7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6.8</v>
      </c>
      <c r="K1376">
        <v>32.5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Y1376">
        <v>90</v>
      </c>
      <c r="Z1376">
        <v>0</v>
      </c>
      <c r="AA1376">
        <v>1</v>
      </c>
      <c r="AB1376">
        <v>1</v>
      </c>
      <c r="AC1376">
        <v>0</v>
      </c>
      <c r="AD1376">
        <v>1</v>
      </c>
      <c r="AE1376">
        <v>1000</v>
      </c>
      <c r="AF1376">
        <v>1</v>
      </c>
      <c r="AG1376">
        <v>1</v>
      </c>
      <c r="AH1376">
        <v>0</v>
      </c>
      <c r="AI1376">
        <v>0</v>
      </c>
      <c r="AJ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9.1000000000000014</v>
      </c>
      <c r="AX1376">
        <v>1.1333333333333333</v>
      </c>
      <c r="AY1376">
        <v>835.08</v>
      </c>
      <c r="AZ1376">
        <v>55.3</v>
      </c>
      <c r="BB1376">
        <v>1093</v>
      </c>
      <c r="BC1376">
        <v>12.6</v>
      </c>
      <c r="BF1376" t="s">
        <v>424</v>
      </c>
    </row>
    <row r="1377" spans="1:58" x14ac:dyDescent="0.45">
      <c r="A1377">
        <v>20172</v>
      </c>
      <c r="B1377">
        <v>1</v>
      </c>
      <c r="C1377">
        <v>64.3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5.7</v>
      </c>
      <c r="K1377">
        <v>14.6</v>
      </c>
      <c r="L1377">
        <v>0</v>
      </c>
      <c r="M1377">
        <v>9.9</v>
      </c>
      <c r="N1377">
        <v>0</v>
      </c>
      <c r="O1377">
        <v>5.5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J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5.298</v>
      </c>
      <c r="AX1377">
        <v>4.25</v>
      </c>
      <c r="AY1377">
        <v>884.25</v>
      </c>
      <c r="AZ1377">
        <v>52.2</v>
      </c>
      <c r="BF1377" t="s">
        <v>405</v>
      </c>
    </row>
    <row r="1378" spans="1:58" x14ac:dyDescent="0.45">
      <c r="A1378">
        <v>20173</v>
      </c>
      <c r="B1378">
        <v>1</v>
      </c>
      <c r="C1378">
        <v>69.900000000000006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5.0999999999999996</v>
      </c>
      <c r="K1378">
        <v>20.5</v>
      </c>
      <c r="L1378">
        <v>0</v>
      </c>
      <c r="M1378">
        <v>0</v>
      </c>
      <c r="N1378">
        <v>0</v>
      </c>
      <c r="O1378">
        <v>4.5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J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6.73</v>
      </c>
      <c r="AX1378">
        <v>0.85</v>
      </c>
      <c r="AY1378">
        <v>846.81</v>
      </c>
      <c r="AZ1378">
        <v>50</v>
      </c>
      <c r="BF1378" t="s">
        <v>373</v>
      </c>
    </row>
    <row r="1379" spans="1:58" x14ac:dyDescent="0.45">
      <c r="A1379">
        <v>20174</v>
      </c>
      <c r="B1379">
        <v>1</v>
      </c>
      <c r="C1379">
        <v>68.7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5.0999999999999996</v>
      </c>
      <c r="K1379">
        <v>24.2</v>
      </c>
      <c r="L1379">
        <v>0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J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7.2160000000000011</v>
      </c>
      <c r="AX1379">
        <v>0.85</v>
      </c>
      <c r="AY1379">
        <v>846.81</v>
      </c>
      <c r="AZ1379">
        <v>48</v>
      </c>
      <c r="BF1379" t="s">
        <v>425</v>
      </c>
    </row>
    <row r="1380" spans="1:58" x14ac:dyDescent="0.45">
      <c r="A1380">
        <v>20175</v>
      </c>
      <c r="B1380">
        <v>1</v>
      </c>
      <c r="C1380">
        <v>70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3</v>
      </c>
      <c r="K1380">
        <v>25</v>
      </c>
      <c r="L1380">
        <v>0</v>
      </c>
      <c r="M1380">
        <v>0</v>
      </c>
      <c r="N1380">
        <v>0</v>
      </c>
      <c r="O1380">
        <v>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Y1380">
        <v>90</v>
      </c>
      <c r="Z1380">
        <v>0</v>
      </c>
      <c r="AA1380">
        <v>1</v>
      </c>
      <c r="AB1380">
        <v>0</v>
      </c>
      <c r="AC1380">
        <v>0</v>
      </c>
      <c r="AD1380">
        <v>1</v>
      </c>
      <c r="AE1380">
        <v>650</v>
      </c>
      <c r="AF1380">
        <v>0.16666666666666666</v>
      </c>
      <c r="AG1380">
        <v>0</v>
      </c>
      <c r="AH1380">
        <v>1</v>
      </c>
      <c r="AI1380">
        <v>0</v>
      </c>
      <c r="AJ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7.4400000000000013</v>
      </c>
      <c r="AX1380">
        <v>0.5</v>
      </c>
      <c r="AY1380">
        <v>861.3</v>
      </c>
      <c r="AZ1380">
        <v>75.2</v>
      </c>
      <c r="BB1380">
        <v>864</v>
      </c>
      <c r="BC1380">
        <v>1.25</v>
      </c>
      <c r="BF1380" t="s">
        <v>414</v>
      </c>
    </row>
    <row r="1381" spans="1:58" x14ac:dyDescent="0.45">
      <c r="A1381">
        <v>20176</v>
      </c>
      <c r="B1381">
        <v>1</v>
      </c>
      <c r="C1381">
        <v>65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</v>
      </c>
      <c r="K1381">
        <v>30</v>
      </c>
      <c r="L1381">
        <v>0</v>
      </c>
      <c r="M1381">
        <v>0</v>
      </c>
      <c r="N1381">
        <v>0</v>
      </c>
      <c r="O1381">
        <v>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Y1381">
        <v>90</v>
      </c>
      <c r="Z1381">
        <v>0</v>
      </c>
      <c r="AA1381">
        <v>1</v>
      </c>
      <c r="AB1381">
        <v>0</v>
      </c>
      <c r="AC1381">
        <v>0</v>
      </c>
      <c r="AD1381">
        <v>1</v>
      </c>
      <c r="AE1381">
        <v>650</v>
      </c>
      <c r="AF1381">
        <v>0.16666666666666666</v>
      </c>
      <c r="AG1381">
        <v>0</v>
      </c>
      <c r="AH1381">
        <v>1</v>
      </c>
      <c r="AI1381">
        <v>0</v>
      </c>
      <c r="AJ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8.84</v>
      </c>
      <c r="AX1381">
        <v>0.5</v>
      </c>
      <c r="AY1381">
        <v>861.3</v>
      </c>
      <c r="AZ1381">
        <v>57.1</v>
      </c>
      <c r="BB1381">
        <v>663</v>
      </c>
      <c r="BC1381">
        <v>17.5</v>
      </c>
      <c r="BF1381" t="s">
        <v>414</v>
      </c>
    </row>
    <row r="1382" spans="1:58" x14ac:dyDescent="0.45">
      <c r="A1382">
        <v>20177</v>
      </c>
      <c r="B1382">
        <v>1</v>
      </c>
      <c r="C1382">
        <v>60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3</v>
      </c>
      <c r="K1382">
        <v>35</v>
      </c>
      <c r="L1382">
        <v>0</v>
      </c>
      <c r="M1382">
        <v>0</v>
      </c>
      <c r="N1382">
        <v>0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Y1382">
        <v>90</v>
      </c>
      <c r="Z1382">
        <v>0</v>
      </c>
      <c r="AA1382">
        <v>1</v>
      </c>
      <c r="AB1382">
        <v>0</v>
      </c>
      <c r="AC1382">
        <v>0</v>
      </c>
      <c r="AD1382">
        <v>1</v>
      </c>
      <c r="AE1382">
        <v>650</v>
      </c>
      <c r="AF1382">
        <v>0.16666666666666666</v>
      </c>
      <c r="AG1382">
        <v>0</v>
      </c>
      <c r="AH1382">
        <v>1</v>
      </c>
      <c r="AI1382">
        <v>0</v>
      </c>
      <c r="AJ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10.24</v>
      </c>
      <c r="AX1382">
        <v>0.5</v>
      </c>
      <c r="AY1382">
        <v>861.3</v>
      </c>
      <c r="AZ1382">
        <v>52</v>
      </c>
      <c r="BB1382">
        <v>431</v>
      </c>
      <c r="BC1382">
        <v>18.8</v>
      </c>
      <c r="BF1382" t="s">
        <v>414</v>
      </c>
    </row>
    <row r="1383" spans="1:58" x14ac:dyDescent="0.45">
      <c r="A1383">
        <v>20178</v>
      </c>
      <c r="B1383">
        <v>1</v>
      </c>
      <c r="C1383">
        <v>52.099999999999994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7.2</v>
      </c>
      <c r="K1383">
        <v>35</v>
      </c>
      <c r="L1383">
        <v>0</v>
      </c>
      <c r="M1383">
        <v>0</v>
      </c>
      <c r="N1383">
        <v>0</v>
      </c>
      <c r="O1383">
        <v>5.7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J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11.054</v>
      </c>
      <c r="AX1383">
        <v>1.2</v>
      </c>
      <c r="AY1383">
        <v>832.31999999999994</v>
      </c>
      <c r="AZ1383">
        <v>57</v>
      </c>
      <c r="BF1383" t="s">
        <v>410</v>
      </c>
    </row>
    <row r="1384" spans="1:58" x14ac:dyDescent="0.45">
      <c r="A1384">
        <v>20179</v>
      </c>
      <c r="B1384">
        <v>1</v>
      </c>
      <c r="C1384">
        <v>53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7</v>
      </c>
      <c r="K1384">
        <v>35</v>
      </c>
      <c r="L1384">
        <v>0</v>
      </c>
      <c r="M1384">
        <v>0</v>
      </c>
      <c r="N1384">
        <v>0</v>
      </c>
      <c r="O1384">
        <v>5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J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10.9</v>
      </c>
      <c r="AX1384">
        <v>1.1666666666666667</v>
      </c>
      <c r="AY1384">
        <v>833.7</v>
      </c>
      <c r="AZ1384">
        <v>55</v>
      </c>
      <c r="BF1384" t="s">
        <v>426</v>
      </c>
    </row>
    <row r="1385" spans="1:58" x14ac:dyDescent="0.45">
      <c r="A1385">
        <v>20180</v>
      </c>
      <c r="B1385">
        <v>0</v>
      </c>
      <c r="C1385">
        <v>51.44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7.3</v>
      </c>
      <c r="K1385">
        <v>35.5</v>
      </c>
      <c r="L1385">
        <v>0</v>
      </c>
      <c r="M1385">
        <v>0</v>
      </c>
      <c r="N1385">
        <v>0</v>
      </c>
      <c r="O1385">
        <v>5.7</v>
      </c>
      <c r="P1385">
        <v>0</v>
      </c>
      <c r="Q1385">
        <v>0</v>
      </c>
      <c r="R1385">
        <v>0</v>
      </c>
      <c r="S1385">
        <v>0</v>
      </c>
      <c r="T1385">
        <v>0.06</v>
      </c>
      <c r="U1385">
        <v>0</v>
      </c>
      <c r="V1385">
        <v>0</v>
      </c>
      <c r="W1385">
        <v>1</v>
      </c>
      <c r="X1385">
        <v>1100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1400</v>
      </c>
      <c r="AF1385">
        <v>2</v>
      </c>
      <c r="AG1385">
        <v>0</v>
      </c>
      <c r="AH1385">
        <v>0</v>
      </c>
      <c r="AI1385">
        <v>1</v>
      </c>
      <c r="AJ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11.194000000000001</v>
      </c>
      <c r="AX1385">
        <v>1.2226666666666666</v>
      </c>
      <c r="AY1385">
        <v>839.01</v>
      </c>
      <c r="AZ1385">
        <v>63</v>
      </c>
      <c r="BA1385">
        <v>447</v>
      </c>
      <c r="BB1385">
        <v>545</v>
      </c>
      <c r="BC1385">
        <v>21</v>
      </c>
      <c r="BD1385">
        <v>164</v>
      </c>
      <c r="BF1385" t="s">
        <v>427</v>
      </c>
    </row>
    <row r="1386" spans="1:58" x14ac:dyDescent="0.45">
      <c r="A1386">
        <v>20181</v>
      </c>
      <c r="B1386">
        <v>0</v>
      </c>
      <c r="C1386">
        <v>49.44</v>
      </c>
      <c r="D1386">
        <v>0</v>
      </c>
      <c r="E1386">
        <v>0</v>
      </c>
      <c r="F1386">
        <v>0</v>
      </c>
      <c r="G1386">
        <v>0</v>
      </c>
      <c r="H1386">
        <v>2</v>
      </c>
      <c r="I1386">
        <v>0</v>
      </c>
      <c r="J1386">
        <v>7.3</v>
      </c>
      <c r="K1386">
        <v>35.5</v>
      </c>
      <c r="L1386">
        <v>0</v>
      </c>
      <c r="M1386">
        <v>0</v>
      </c>
      <c r="N1386">
        <v>0</v>
      </c>
      <c r="O1386">
        <v>5.7</v>
      </c>
      <c r="P1386">
        <v>0</v>
      </c>
      <c r="Q1386">
        <v>0</v>
      </c>
      <c r="R1386">
        <v>0</v>
      </c>
      <c r="S1386">
        <v>0</v>
      </c>
      <c r="T1386">
        <v>0.06</v>
      </c>
      <c r="U1386">
        <v>0</v>
      </c>
      <c r="V1386">
        <v>0</v>
      </c>
      <c r="W1386">
        <v>1</v>
      </c>
      <c r="X1386">
        <v>1100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1400</v>
      </c>
      <c r="AF1386">
        <v>2</v>
      </c>
      <c r="AG1386">
        <v>0</v>
      </c>
      <c r="AH1386">
        <v>0</v>
      </c>
      <c r="AI1386">
        <v>1</v>
      </c>
      <c r="AJ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16.994</v>
      </c>
      <c r="AX1386">
        <v>1.2226666666666666</v>
      </c>
      <c r="AY1386">
        <v>808.21</v>
      </c>
      <c r="AZ1386">
        <v>107</v>
      </c>
      <c r="BA1386">
        <v>817</v>
      </c>
      <c r="BB1386">
        <v>1130</v>
      </c>
      <c r="BC1386">
        <v>28</v>
      </c>
      <c r="BD1386">
        <v>321</v>
      </c>
      <c r="BF1386" t="s">
        <v>427</v>
      </c>
    </row>
    <row r="1387" spans="1:58" x14ac:dyDescent="0.45">
      <c r="A1387">
        <v>20182</v>
      </c>
      <c r="B1387">
        <v>0</v>
      </c>
      <c r="C1387">
        <v>49.15</v>
      </c>
      <c r="D1387">
        <v>0</v>
      </c>
      <c r="E1387">
        <v>0</v>
      </c>
      <c r="F1387">
        <v>0</v>
      </c>
      <c r="G1387">
        <v>0</v>
      </c>
      <c r="H1387">
        <v>2</v>
      </c>
      <c r="I1387">
        <v>0</v>
      </c>
      <c r="J1387">
        <v>7.3</v>
      </c>
      <c r="K1387">
        <v>35.5</v>
      </c>
      <c r="L1387">
        <v>0</v>
      </c>
      <c r="M1387">
        <v>0</v>
      </c>
      <c r="N1387">
        <v>0</v>
      </c>
      <c r="O1387">
        <v>5.7</v>
      </c>
      <c r="P1387">
        <v>0</v>
      </c>
      <c r="Q1387">
        <v>0</v>
      </c>
      <c r="R1387">
        <v>0</v>
      </c>
      <c r="S1387">
        <v>0</v>
      </c>
      <c r="T1387">
        <v>0.35</v>
      </c>
      <c r="U1387">
        <v>0</v>
      </c>
      <c r="V1387">
        <v>0</v>
      </c>
      <c r="W1387">
        <v>1</v>
      </c>
      <c r="X1387">
        <v>1100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1400</v>
      </c>
      <c r="AF1387">
        <v>2</v>
      </c>
      <c r="AG1387">
        <v>0</v>
      </c>
      <c r="AH1387">
        <v>0</v>
      </c>
      <c r="AI1387">
        <v>1</v>
      </c>
      <c r="AJ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16.994</v>
      </c>
      <c r="AX1387">
        <v>1.2516666666666665</v>
      </c>
      <c r="AY1387">
        <v>843.88</v>
      </c>
      <c r="AZ1387">
        <v>80</v>
      </c>
      <c r="BA1387">
        <v>1017</v>
      </c>
      <c r="BB1387">
        <v>1217</v>
      </c>
      <c r="BC1387">
        <v>21</v>
      </c>
      <c r="BD1387">
        <v>335</v>
      </c>
      <c r="BF1387" t="s">
        <v>427</v>
      </c>
    </row>
    <row r="1388" spans="1:58" x14ac:dyDescent="0.45">
      <c r="A1388">
        <v>20183</v>
      </c>
      <c r="B1388">
        <v>0</v>
      </c>
      <c r="C1388">
        <v>48.84</v>
      </c>
      <c r="D1388">
        <v>0</v>
      </c>
      <c r="E1388">
        <v>0</v>
      </c>
      <c r="F1388">
        <v>0</v>
      </c>
      <c r="G1388">
        <v>0</v>
      </c>
      <c r="H1388">
        <v>2</v>
      </c>
      <c r="I1388">
        <v>0</v>
      </c>
      <c r="J1388">
        <v>7.3</v>
      </c>
      <c r="K1388">
        <v>35.5</v>
      </c>
      <c r="L1388">
        <v>0</v>
      </c>
      <c r="M1388">
        <v>0</v>
      </c>
      <c r="N1388">
        <v>0</v>
      </c>
      <c r="O1388">
        <v>5.7</v>
      </c>
      <c r="P1388">
        <v>0</v>
      </c>
      <c r="Q1388">
        <v>0</v>
      </c>
      <c r="R1388">
        <v>0</v>
      </c>
      <c r="S1388">
        <v>0</v>
      </c>
      <c r="T1388">
        <v>0.66</v>
      </c>
      <c r="U1388">
        <v>0</v>
      </c>
      <c r="V1388">
        <v>1</v>
      </c>
      <c r="W1388">
        <v>0</v>
      </c>
      <c r="Z1388">
        <v>1</v>
      </c>
      <c r="AA1388">
        <v>0</v>
      </c>
      <c r="AB1388">
        <v>0</v>
      </c>
      <c r="AC1388">
        <v>0</v>
      </c>
      <c r="AD1388">
        <v>1</v>
      </c>
      <c r="AE1388">
        <v>1400</v>
      </c>
      <c r="AF1388">
        <v>2</v>
      </c>
      <c r="AG1388">
        <v>0</v>
      </c>
      <c r="AH1388">
        <v>0</v>
      </c>
      <c r="AI1388">
        <v>1</v>
      </c>
      <c r="AJ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16.994</v>
      </c>
      <c r="AX1388">
        <v>1.2826666666666666</v>
      </c>
      <c r="AY1388">
        <v>882.01</v>
      </c>
      <c r="AZ1388">
        <v>109</v>
      </c>
      <c r="BD1388">
        <v>371</v>
      </c>
      <c r="BF1388" t="s">
        <v>427</v>
      </c>
    </row>
    <row r="1389" spans="1:58" x14ac:dyDescent="0.45">
      <c r="A1389">
        <v>20184</v>
      </c>
      <c r="B1389">
        <v>0</v>
      </c>
      <c r="C1389">
        <v>48.9</v>
      </c>
      <c r="D1389">
        <v>0</v>
      </c>
      <c r="E1389">
        <v>0</v>
      </c>
      <c r="F1389">
        <v>0</v>
      </c>
      <c r="G1389">
        <v>0</v>
      </c>
      <c r="H1389">
        <v>2</v>
      </c>
      <c r="I1389">
        <v>0</v>
      </c>
      <c r="J1389">
        <v>7.3</v>
      </c>
      <c r="K1389">
        <v>35.5</v>
      </c>
      <c r="L1389">
        <v>0</v>
      </c>
      <c r="M1389">
        <v>0</v>
      </c>
      <c r="N1389">
        <v>0</v>
      </c>
      <c r="O1389">
        <v>5.7</v>
      </c>
      <c r="P1389">
        <v>0</v>
      </c>
      <c r="Q1389">
        <v>0.25</v>
      </c>
      <c r="R1389">
        <v>0</v>
      </c>
      <c r="S1389">
        <v>0</v>
      </c>
      <c r="T1389">
        <v>0.35</v>
      </c>
      <c r="U1389">
        <v>0</v>
      </c>
      <c r="V1389">
        <v>1</v>
      </c>
      <c r="W1389">
        <v>0</v>
      </c>
      <c r="Z1389">
        <v>1</v>
      </c>
      <c r="AA1389">
        <v>0</v>
      </c>
      <c r="AB1389">
        <v>0</v>
      </c>
      <c r="AC1389">
        <v>0</v>
      </c>
      <c r="AD1389">
        <v>1</v>
      </c>
      <c r="AE1389">
        <v>1400</v>
      </c>
      <c r="AF1389">
        <v>2</v>
      </c>
      <c r="AG1389">
        <v>0</v>
      </c>
      <c r="AH1389">
        <v>0</v>
      </c>
      <c r="AI1389">
        <v>1</v>
      </c>
      <c r="AJ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16.994</v>
      </c>
      <c r="AX1389">
        <v>1.2516666666666665</v>
      </c>
      <c r="AY1389">
        <v>849.70500000000004</v>
      </c>
      <c r="AZ1389">
        <v>87</v>
      </c>
      <c r="BA1389">
        <v>1085</v>
      </c>
      <c r="BB1389">
        <v>1373</v>
      </c>
      <c r="BC1389">
        <v>24</v>
      </c>
      <c r="BD1389">
        <v>337</v>
      </c>
      <c r="BF1389" t="s">
        <v>427</v>
      </c>
    </row>
    <row r="1390" spans="1:58" x14ac:dyDescent="0.45">
      <c r="A1390">
        <v>20185</v>
      </c>
      <c r="B1390">
        <v>0</v>
      </c>
      <c r="C1390">
        <v>48.59</v>
      </c>
      <c r="D1390">
        <v>0</v>
      </c>
      <c r="E1390">
        <v>0</v>
      </c>
      <c r="F1390">
        <v>0</v>
      </c>
      <c r="G1390">
        <v>0</v>
      </c>
      <c r="H1390">
        <v>2</v>
      </c>
      <c r="I1390">
        <v>0</v>
      </c>
      <c r="J1390">
        <v>7.3</v>
      </c>
      <c r="K1390">
        <v>35.5</v>
      </c>
      <c r="L1390">
        <v>0</v>
      </c>
      <c r="M1390">
        <v>0</v>
      </c>
      <c r="N1390">
        <v>0</v>
      </c>
      <c r="O1390">
        <v>5.7</v>
      </c>
      <c r="P1390">
        <v>0</v>
      </c>
      <c r="Q1390">
        <v>0.25</v>
      </c>
      <c r="R1390">
        <v>0</v>
      </c>
      <c r="S1390">
        <v>0</v>
      </c>
      <c r="T1390">
        <v>0.66</v>
      </c>
      <c r="U1390">
        <v>0</v>
      </c>
      <c r="V1390">
        <v>1</v>
      </c>
      <c r="W1390">
        <v>0</v>
      </c>
      <c r="Z1390">
        <v>1</v>
      </c>
      <c r="AA1390">
        <v>0</v>
      </c>
      <c r="AB1390">
        <v>0</v>
      </c>
      <c r="AC1390">
        <v>0</v>
      </c>
      <c r="AD1390">
        <v>1</v>
      </c>
      <c r="AE1390">
        <v>1400</v>
      </c>
      <c r="AF1390">
        <v>2</v>
      </c>
      <c r="AG1390">
        <v>0</v>
      </c>
      <c r="AH1390">
        <v>0</v>
      </c>
      <c r="AI1390">
        <v>1</v>
      </c>
      <c r="AJ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16.994</v>
      </c>
      <c r="AX1390">
        <v>1.2826666666666666</v>
      </c>
      <c r="AY1390">
        <v>887.83500000000004</v>
      </c>
      <c r="AZ1390">
        <v>94</v>
      </c>
      <c r="BD1390">
        <v>390</v>
      </c>
      <c r="BF1390" t="s">
        <v>427</v>
      </c>
    </row>
    <row r="1391" spans="1:58" x14ac:dyDescent="0.45">
      <c r="A1391">
        <v>20186</v>
      </c>
      <c r="B1391">
        <v>0</v>
      </c>
      <c r="C1391">
        <v>49.19</v>
      </c>
      <c r="D1391">
        <v>0</v>
      </c>
      <c r="E1391">
        <v>0</v>
      </c>
      <c r="F1391">
        <v>0</v>
      </c>
      <c r="G1391">
        <v>0</v>
      </c>
      <c r="H1391">
        <v>2</v>
      </c>
      <c r="I1391">
        <v>0</v>
      </c>
      <c r="J1391">
        <v>7.3</v>
      </c>
      <c r="K1391">
        <v>35.5</v>
      </c>
      <c r="L1391">
        <v>0</v>
      </c>
      <c r="M1391">
        <v>0</v>
      </c>
      <c r="N1391">
        <v>0</v>
      </c>
      <c r="O1391">
        <v>5.7</v>
      </c>
      <c r="P1391">
        <v>0</v>
      </c>
      <c r="Q1391">
        <v>0.25</v>
      </c>
      <c r="R1391">
        <v>0</v>
      </c>
      <c r="S1391">
        <v>0</v>
      </c>
      <c r="T1391">
        <v>0.06</v>
      </c>
      <c r="U1391">
        <v>0</v>
      </c>
      <c r="V1391">
        <v>1</v>
      </c>
      <c r="W1391">
        <v>0</v>
      </c>
      <c r="Z1391">
        <v>1</v>
      </c>
      <c r="AA1391">
        <v>0</v>
      </c>
      <c r="AB1391">
        <v>0</v>
      </c>
      <c r="AC1391">
        <v>0</v>
      </c>
      <c r="AD1391">
        <v>1</v>
      </c>
      <c r="AE1391">
        <v>1400</v>
      </c>
      <c r="AF1391">
        <v>2</v>
      </c>
      <c r="AG1391">
        <v>0</v>
      </c>
      <c r="AH1391">
        <v>0</v>
      </c>
      <c r="AI1391">
        <v>1</v>
      </c>
      <c r="AJ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16.994</v>
      </c>
      <c r="AX1391">
        <v>1.2226666666666666</v>
      </c>
      <c r="AY1391">
        <v>814.03500000000008</v>
      </c>
      <c r="AZ1391">
        <v>85</v>
      </c>
      <c r="BD1391">
        <v>328</v>
      </c>
      <c r="BF1391" t="s">
        <v>427</v>
      </c>
    </row>
    <row r="1392" spans="1:58" x14ac:dyDescent="0.45">
      <c r="A1392">
        <v>20187</v>
      </c>
      <c r="B1392">
        <v>1</v>
      </c>
      <c r="C1392">
        <v>54.55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8.92</v>
      </c>
      <c r="K1392">
        <v>19.649999999999999</v>
      </c>
      <c r="L1392">
        <v>6.52</v>
      </c>
      <c r="M1392">
        <v>0</v>
      </c>
      <c r="N1392">
        <v>0</v>
      </c>
      <c r="O1392">
        <v>10.36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Z1392">
        <v>1</v>
      </c>
      <c r="AA1392">
        <v>0</v>
      </c>
      <c r="AB1392">
        <v>0</v>
      </c>
      <c r="AC1392">
        <v>0</v>
      </c>
      <c r="AD1392">
        <v>1</v>
      </c>
      <c r="AE1392">
        <v>1200</v>
      </c>
      <c r="AF1392">
        <v>30</v>
      </c>
      <c r="AG1392">
        <v>1</v>
      </c>
      <c r="AH1392">
        <v>0</v>
      </c>
      <c r="AI1392">
        <v>0</v>
      </c>
      <c r="AJ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14.301199999999998</v>
      </c>
      <c r="AX1392">
        <v>1.4866666666666666</v>
      </c>
      <c r="AY1392">
        <v>758.51199999999994</v>
      </c>
      <c r="AZ1392">
        <v>86.53</v>
      </c>
      <c r="BF1392" t="s">
        <v>415</v>
      </c>
    </row>
    <row r="1393" spans="1:58" x14ac:dyDescent="0.45">
      <c r="A1393">
        <v>20188</v>
      </c>
      <c r="B1393">
        <v>0</v>
      </c>
      <c r="C1393">
        <v>51.15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7.3</v>
      </c>
      <c r="K1393">
        <v>35.5</v>
      </c>
      <c r="L1393">
        <v>0</v>
      </c>
      <c r="M1393">
        <v>0</v>
      </c>
      <c r="N1393">
        <v>0</v>
      </c>
      <c r="O1393">
        <v>5.7</v>
      </c>
      <c r="P1393">
        <v>0</v>
      </c>
      <c r="Q1393">
        <v>0</v>
      </c>
      <c r="R1393">
        <v>0</v>
      </c>
      <c r="S1393">
        <v>0</v>
      </c>
      <c r="T1393">
        <v>0.35</v>
      </c>
      <c r="U1393">
        <v>0</v>
      </c>
      <c r="V1393">
        <v>0</v>
      </c>
      <c r="W1393">
        <v>1</v>
      </c>
      <c r="X1393">
        <v>1100</v>
      </c>
      <c r="Z1393">
        <v>0</v>
      </c>
      <c r="AA1393">
        <v>0</v>
      </c>
      <c r="AB1393">
        <v>1</v>
      </c>
      <c r="AC1393">
        <v>0</v>
      </c>
      <c r="AD1393">
        <v>1</v>
      </c>
      <c r="AE1393">
        <v>1400</v>
      </c>
      <c r="AF1393">
        <v>2</v>
      </c>
      <c r="AG1393">
        <v>0</v>
      </c>
      <c r="AH1393">
        <v>0</v>
      </c>
      <c r="AI1393">
        <v>1</v>
      </c>
      <c r="AJ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11.194000000000001</v>
      </c>
      <c r="AX1393">
        <v>1.2516666666666665</v>
      </c>
      <c r="AY1393">
        <v>874.68</v>
      </c>
      <c r="AZ1393">
        <v>79</v>
      </c>
      <c r="BA1393">
        <v>587</v>
      </c>
      <c r="BB1393">
        <v>719</v>
      </c>
      <c r="BC1393">
        <v>27</v>
      </c>
      <c r="BD1393">
        <v>236</v>
      </c>
      <c r="BF1393" t="s">
        <v>427</v>
      </c>
    </row>
    <row r="1394" spans="1:58" x14ac:dyDescent="0.45">
      <c r="A1394">
        <v>20189</v>
      </c>
      <c r="B1394">
        <v>0</v>
      </c>
      <c r="C1394">
        <v>50.84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7.3</v>
      </c>
      <c r="K1394">
        <v>35.5</v>
      </c>
      <c r="L1394">
        <v>0</v>
      </c>
      <c r="M1394">
        <v>0</v>
      </c>
      <c r="N1394">
        <v>0</v>
      </c>
      <c r="O1394">
        <v>5.7</v>
      </c>
      <c r="P1394">
        <v>0</v>
      </c>
      <c r="Q1394">
        <v>0</v>
      </c>
      <c r="R1394">
        <v>0</v>
      </c>
      <c r="S1394">
        <v>0</v>
      </c>
      <c r="T1394">
        <v>0.66</v>
      </c>
      <c r="U1394">
        <v>0</v>
      </c>
      <c r="V1394">
        <v>0</v>
      </c>
      <c r="W1394">
        <v>1</v>
      </c>
      <c r="X1394">
        <v>1100</v>
      </c>
      <c r="Z1394">
        <v>0</v>
      </c>
      <c r="AA1394">
        <v>0</v>
      </c>
      <c r="AB1394">
        <v>1</v>
      </c>
      <c r="AC1394">
        <v>0</v>
      </c>
      <c r="AD1394">
        <v>1</v>
      </c>
      <c r="AE1394">
        <v>1400</v>
      </c>
      <c r="AF1394">
        <v>2</v>
      </c>
      <c r="AG1394">
        <v>0</v>
      </c>
      <c r="AH1394">
        <v>0</v>
      </c>
      <c r="AI1394">
        <v>1</v>
      </c>
      <c r="AJ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11.194000000000001</v>
      </c>
      <c r="AX1394">
        <v>1.2826666666666666</v>
      </c>
      <c r="AY1394">
        <v>912.81</v>
      </c>
      <c r="AZ1394">
        <v>81</v>
      </c>
      <c r="BA1394">
        <v>860</v>
      </c>
      <c r="BB1394">
        <v>903</v>
      </c>
      <c r="BC1394">
        <v>16</v>
      </c>
      <c r="BD1394">
        <v>270</v>
      </c>
      <c r="BF1394" t="s">
        <v>427</v>
      </c>
    </row>
    <row r="1395" spans="1:58" x14ac:dyDescent="0.45">
      <c r="A1395">
        <v>20190</v>
      </c>
      <c r="B1395">
        <v>0</v>
      </c>
      <c r="C1395">
        <v>52.55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7.2</v>
      </c>
      <c r="K1395">
        <v>35</v>
      </c>
      <c r="L1395">
        <v>0</v>
      </c>
      <c r="M1395">
        <v>0</v>
      </c>
      <c r="N1395">
        <v>0</v>
      </c>
      <c r="O1395">
        <v>4.9000000000000004</v>
      </c>
      <c r="P1395">
        <v>0</v>
      </c>
      <c r="Q1395">
        <v>0</v>
      </c>
      <c r="R1395">
        <v>0</v>
      </c>
      <c r="S1395">
        <v>0</v>
      </c>
      <c r="T1395">
        <v>0.35</v>
      </c>
      <c r="U1395">
        <v>0</v>
      </c>
      <c r="V1395">
        <v>1</v>
      </c>
      <c r="W1395">
        <v>0</v>
      </c>
      <c r="Z1395">
        <v>1</v>
      </c>
      <c r="AA1395">
        <v>0</v>
      </c>
      <c r="AB1395">
        <v>0</v>
      </c>
      <c r="AC1395">
        <v>0</v>
      </c>
      <c r="AD1395">
        <v>1</v>
      </c>
      <c r="AE1395">
        <v>750</v>
      </c>
      <c r="AF1395">
        <v>8</v>
      </c>
      <c r="AG1395">
        <v>1</v>
      </c>
      <c r="AH1395">
        <v>0</v>
      </c>
      <c r="AI1395">
        <v>0</v>
      </c>
      <c r="AJ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10.878</v>
      </c>
      <c r="AX1395">
        <v>1.2349999999999999</v>
      </c>
      <c r="AY1395">
        <v>875.36999999999989</v>
      </c>
      <c r="AZ1395">
        <v>41.5</v>
      </c>
      <c r="BA1395">
        <v>857</v>
      </c>
      <c r="BB1395">
        <v>876</v>
      </c>
      <c r="BC1395">
        <v>14.2</v>
      </c>
      <c r="BF1395" t="s">
        <v>428</v>
      </c>
    </row>
    <row r="1396" spans="1:58" x14ac:dyDescent="0.45">
      <c r="A1396">
        <v>20191</v>
      </c>
      <c r="B1396">
        <v>0</v>
      </c>
      <c r="C1396">
        <v>52.55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7.2</v>
      </c>
      <c r="K1396">
        <v>35</v>
      </c>
      <c r="L1396">
        <v>0</v>
      </c>
      <c r="M1396">
        <v>0</v>
      </c>
      <c r="N1396">
        <v>0</v>
      </c>
      <c r="O1396">
        <v>4.9000000000000004</v>
      </c>
      <c r="P1396">
        <v>0</v>
      </c>
      <c r="Q1396">
        <v>0</v>
      </c>
      <c r="R1396">
        <v>0</v>
      </c>
      <c r="S1396">
        <v>0</v>
      </c>
      <c r="T1396">
        <v>0.35</v>
      </c>
      <c r="U1396">
        <v>0</v>
      </c>
      <c r="V1396">
        <v>1</v>
      </c>
      <c r="W1396">
        <v>0</v>
      </c>
      <c r="Z1396">
        <v>1</v>
      </c>
      <c r="AA1396">
        <v>0</v>
      </c>
      <c r="AB1396">
        <v>0</v>
      </c>
      <c r="AC1396">
        <v>0</v>
      </c>
      <c r="AD1396">
        <v>1</v>
      </c>
      <c r="AE1396">
        <v>750</v>
      </c>
      <c r="AF1396">
        <v>8</v>
      </c>
      <c r="AG1396">
        <v>1</v>
      </c>
      <c r="AH1396">
        <v>0</v>
      </c>
      <c r="AI1396">
        <v>0</v>
      </c>
      <c r="AJ1396">
        <v>1</v>
      </c>
      <c r="AK1396">
        <v>300</v>
      </c>
      <c r="AL1396">
        <v>8</v>
      </c>
      <c r="AM1396">
        <v>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10.878</v>
      </c>
      <c r="AX1396">
        <v>1.2349999999999999</v>
      </c>
      <c r="AY1396">
        <v>875.36999999999989</v>
      </c>
      <c r="AZ1396">
        <v>45.8</v>
      </c>
      <c r="BA1396">
        <v>923</v>
      </c>
      <c r="BB1396">
        <v>969</v>
      </c>
      <c r="BC1396">
        <v>15.6</v>
      </c>
      <c r="BF1396" t="s">
        <v>429</v>
      </c>
    </row>
    <row r="1397" spans="1:58" x14ac:dyDescent="0.45">
      <c r="A1397">
        <v>20192</v>
      </c>
      <c r="B1397">
        <v>0</v>
      </c>
      <c r="C1397">
        <v>52.55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7.2</v>
      </c>
      <c r="K1397">
        <v>35</v>
      </c>
      <c r="L1397">
        <v>0</v>
      </c>
      <c r="M1397">
        <v>0</v>
      </c>
      <c r="N1397">
        <v>0</v>
      </c>
      <c r="O1397">
        <v>4.9000000000000004</v>
      </c>
      <c r="P1397">
        <v>0</v>
      </c>
      <c r="Q1397">
        <v>0</v>
      </c>
      <c r="R1397">
        <v>0</v>
      </c>
      <c r="S1397">
        <v>0</v>
      </c>
      <c r="T1397">
        <v>0.35</v>
      </c>
      <c r="U1397">
        <v>0</v>
      </c>
      <c r="V1397">
        <v>1</v>
      </c>
      <c r="W1397">
        <v>0</v>
      </c>
      <c r="Z1397">
        <v>1</v>
      </c>
      <c r="AA1397">
        <v>0</v>
      </c>
      <c r="AB1397">
        <v>0</v>
      </c>
      <c r="AC1397">
        <v>0</v>
      </c>
      <c r="AD1397">
        <v>1</v>
      </c>
      <c r="AE1397">
        <v>750</v>
      </c>
      <c r="AF1397">
        <v>8</v>
      </c>
      <c r="AG1397">
        <v>1</v>
      </c>
      <c r="AH1397">
        <v>0</v>
      </c>
      <c r="AI1397">
        <v>0</v>
      </c>
      <c r="AJ1397">
        <v>1</v>
      </c>
      <c r="AK1397">
        <v>350</v>
      </c>
      <c r="AL1397">
        <v>16</v>
      </c>
      <c r="AM1397">
        <v>1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10.878</v>
      </c>
      <c r="AX1397">
        <v>1.2349999999999999</v>
      </c>
      <c r="AY1397">
        <v>875.36999999999989</v>
      </c>
      <c r="AZ1397">
        <v>43.5</v>
      </c>
      <c r="BA1397">
        <v>966</v>
      </c>
      <c r="BB1397">
        <v>1015</v>
      </c>
      <c r="BC1397">
        <v>13.7</v>
      </c>
      <c r="BF1397" t="s">
        <v>429</v>
      </c>
    </row>
    <row r="1398" spans="1:58" x14ac:dyDescent="0.45">
      <c r="A1398">
        <v>20193</v>
      </c>
      <c r="B1398">
        <v>0</v>
      </c>
      <c r="C1398">
        <v>52.55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7.2</v>
      </c>
      <c r="K1398">
        <v>35</v>
      </c>
      <c r="L1398">
        <v>0</v>
      </c>
      <c r="M1398">
        <v>0</v>
      </c>
      <c r="N1398">
        <v>0</v>
      </c>
      <c r="O1398">
        <v>4.9000000000000004</v>
      </c>
      <c r="P1398">
        <v>0</v>
      </c>
      <c r="Q1398">
        <v>0</v>
      </c>
      <c r="R1398">
        <v>0</v>
      </c>
      <c r="S1398">
        <v>0</v>
      </c>
      <c r="T1398">
        <v>0.35</v>
      </c>
      <c r="U1398">
        <v>0</v>
      </c>
      <c r="V1398">
        <v>1</v>
      </c>
      <c r="W1398">
        <v>0</v>
      </c>
      <c r="Z1398">
        <v>1</v>
      </c>
      <c r="AA1398">
        <v>0</v>
      </c>
      <c r="AB1398">
        <v>0</v>
      </c>
      <c r="AC1398">
        <v>0</v>
      </c>
      <c r="AD1398">
        <v>1</v>
      </c>
      <c r="AE1398">
        <v>750</v>
      </c>
      <c r="AF1398">
        <v>8</v>
      </c>
      <c r="AG1398">
        <v>1</v>
      </c>
      <c r="AH1398">
        <v>0</v>
      </c>
      <c r="AI1398">
        <v>0</v>
      </c>
      <c r="AJ1398">
        <v>1</v>
      </c>
      <c r="AK1398">
        <v>400</v>
      </c>
      <c r="AL1398">
        <v>8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10.878</v>
      </c>
      <c r="AX1398">
        <v>1.2349999999999999</v>
      </c>
      <c r="AY1398">
        <v>875.36999999999989</v>
      </c>
      <c r="AZ1398">
        <v>42.8</v>
      </c>
      <c r="BA1398">
        <v>939</v>
      </c>
      <c r="BB1398">
        <v>983</v>
      </c>
      <c r="BC1398">
        <v>5.3</v>
      </c>
      <c r="BF1398" t="s">
        <v>429</v>
      </c>
    </row>
    <row r="1399" spans="1:58" x14ac:dyDescent="0.45">
      <c r="A1399">
        <v>20194</v>
      </c>
      <c r="B1399">
        <v>0</v>
      </c>
      <c r="C1399">
        <v>52.55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7.2</v>
      </c>
      <c r="K1399">
        <v>35</v>
      </c>
      <c r="L1399">
        <v>0</v>
      </c>
      <c r="M1399">
        <v>0</v>
      </c>
      <c r="N1399">
        <v>0</v>
      </c>
      <c r="O1399">
        <v>4.9000000000000004</v>
      </c>
      <c r="P1399">
        <v>0</v>
      </c>
      <c r="Q1399">
        <v>0</v>
      </c>
      <c r="R1399">
        <v>0</v>
      </c>
      <c r="S1399">
        <v>0</v>
      </c>
      <c r="T1399">
        <v>0.35</v>
      </c>
      <c r="U1399">
        <v>0</v>
      </c>
      <c r="V1399">
        <v>1</v>
      </c>
      <c r="W1399">
        <v>0</v>
      </c>
      <c r="Z1399">
        <v>1</v>
      </c>
      <c r="AA1399">
        <v>0</v>
      </c>
      <c r="AB1399">
        <v>0</v>
      </c>
      <c r="AC1399">
        <v>0</v>
      </c>
      <c r="AD1399">
        <v>1</v>
      </c>
      <c r="AE1399">
        <v>750</v>
      </c>
      <c r="AF1399">
        <v>8</v>
      </c>
      <c r="AG1399">
        <v>1</v>
      </c>
      <c r="AH1399">
        <v>0</v>
      </c>
      <c r="AI1399">
        <v>0</v>
      </c>
      <c r="AJ1399">
        <v>1</v>
      </c>
      <c r="AK1399">
        <v>450</v>
      </c>
      <c r="AL1399">
        <v>32</v>
      </c>
      <c r="AM1399">
        <v>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10.878</v>
      </c>
      <c r="AX1399">
        <v>1.2349999999999999</v>
      </c>
      <c r="AY1399">
        <v>875.36999999999989</v>
      </c>
      <c r="AZ1399">
        <v>44.7</v>
      </c>
      <c r="BA1399">
        <v>864</v>
      </c>
      <c r="BB1399">
        <v>908</v>
      </c>
      <c r="BC1399">
        <v>3.4</v>
      </c>
      <c r="BF1399" t="s">
        <v>429</v>
      </c>
    </row>
    <row r="1400" spans="1:58" x14ac:dyDescent="0.45">
      <c r="A1400">
        <v>20195</v>
      </c>
      <c r="B1400">
        <v>0</v>
      </c>
      <c r="C1400">
        <v>52.55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7.2</v>
      </c>
      <c r="K1400">
        <v>35</v>
      </c>
      <c r="L1400">
        <v>0</v>
      </c>
      <c r="M1400">
        <v>0</v>
      </c>
      <c r="N1400">
        <v>0</v>
      </c>
      <c r="O1400">
        <v>4.9000000000000004</v>
      </c>
      <c r="P1400">
        <v>0</v>
      </c>
      <c r="Q1400">
        <v>0</v>
      </c>
      <c r="R1400">
        <v>0</v>
      </c>
      <c r="S1400">
        <v>0</v>
      </c>
      <c r="T1400">
        <v>0.35</v>
      </c>
      <c r="U1400">
        <v>0</v>
      </c>
      <c r="V1400">
        <v>1</v>
      </c>
      <c r="W1400">
        <v>0</v>
      </c>
      <c r="Z1400">
        <v>1</v>
      </c>
      <c r="AA1400">
        <v>0</v>
      </c>
      <c r="AB1400">
        <v>0</v>
      </c>
      <c r="AC1400">
        <v>0</v>
      </c>
      <c r="AD1400">
        <v>1</v>
      </c>
      <c r="AE1400">
        <v>750</v>
      </c>
      <c r="AF1400">
        <v>8</v>
      </c>
      <c r="AG1400">
        <v>1</v>
      </c>
      <c r="AH1400">
        <v>0</v>
      </c>
      <c r="AI1400">
        <v>0</v>
      </c>
      <c r="AJ1400">
        <v>1</v>
      </c>
      <c r="AK1400">
        <v>500</v>
      </c>
      <c r="AL1400">
        <v>8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10.878</v>
      </c>
      <c r="AX1400">
        <v>1.2349999999999999</v>
      </c>
      <c r="AY1400">
        <v>875.36999999999989</v>
      </c>
      <c r="AZ1400">
        <v>44.2</v>
      </c>
      <c r="BA1400">
        <v>902</v>
      </c>
      <c r="BB1400">
        <v>911</v>
      </c>
      <c r="BC1400">
        <v>4.5</v>
      </c>
      <c r="BF1400" t="s">
        <v>429</v>
      </c>
    </row>
    <row r="1401" spans="1:58" x14ac:dyDescent="0.45">
      <c r="A1401">
        <v>20196</v>
      </c>
      <c r="B1401">
        <v>0</v>
      </c>
      <c r="C1401">
        <v>52.55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7.2</v>
      </c>
      <c r="K1401">
        <v>35</v>
      </c>
      <c r="L1401">
        <v>0</v>
      </c>
      <c r="M1401">
        <v>0</v>
      </c>
      <c r="N1401">
        <v>0</v>
      </c>
      <c r="O1401">
        <v>4.9000000000000004</v>
      </c>
      <c r="P1401">
        <v>0</v>
      </c>
      <c r="Q1401">
        <v>0</v>
      </c>
      <c r="R1401">
        <v>0</v>
      </c>
      <c r="S1401">
        <v>0</v>
      </c>
      <c r="T1401">
        <v>0.35</v>
      </c>
      <c r="U1401">
        <v>0</v>
      </c>
      <c r="V1401">
        <v>1</v>
      </c>
      <c r="W1401">
        <v>0</v>
      </c>
      <c r="Z1401">
        <v>1</v>
      </c>
      <c r="AA1401">
        <v>0</v>
      </c>
      <c r="AB1401">
        <v>0</v>
      </c>
      <c r="AC1401">
        <v>0</v>
      </c>
      <c r="AD1401">
        <v>1</v>
      </c>
      <c r="AE1401">
        <v>750</v>
      </c>
      <c r="AF1401">
        <v>8</v>
      </c>
      <c r="AG1401">
        <v>1</v>
      </c>
      <c r="AH1401">
        <v>0</v>
      </c>
      <c r="AI1401">
        <v>0</v>
      </c>
      <c r="AJ1401">
        <v>1</v>
      </c>
      <c r="AK1401">
        <v>550</v>
      </c>
      <c r="AL1401">
        <v>4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10.878</v>
      </c>
      <c r="AX1401">
        <v>1.2349999999999999</v>
      </c>
      <c r="AY1401">
        <v>875.36999999999989</v>
      </c>
      <c r="AZ1401">
        <v>43.3</v>
      </c>
      <c r="BA1401">
        <v>905</v>
      </c>
      <c r="BB1401">
        <v>911</v>
      </c>
      <c r="BC1401">
        <v>2.2000000000000002</v>
      </c>
      <c r="BF1401" t="s">
        <v>429</v>
      </c>
    </row>
    <row r="1402" spans="1:58" x14ac:dyDescent="0.45">
      <c r="A1402">
        <v>20197</v>
      </c>
      <c r="B1402">
        <v>0</v>
      </c>
      <c r="C1402">
        <v>50.9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7.3</v>
      </c>
      <c r="K1402">
        <v>35.5</v>
      </c>
      <c r="L1402">
        <v>0</v>
      </c>
      <c r="M1402">
        <v>0</v>
      </c>
      <c r="N1402">
        <v>0</v>
      </c>
      <c r="O1402">
        <v>5.7</v>
      </c>
      <c r="P1402">
        <v>0</v>
      </c>
      <c r="Q1402">
        <v>0.25</v>
      </c>
      <c r="R1402">
        <v>0</v>
      </c>
      <c r="S1402">
        <v>0</v>
      </c>
      <c r="T1402">
        <v>0.35</v>
      </c>
      <c r="U1402">
        <v>0</v>
      </c>
      <c r="V1402">
        <v>0</v>
      </c>
      <c r="W1402">
        <v>1</v>
      </c>
      <c r="X1402">
        <v>1100</v>
      </c>
      <c r="Z1402">
        <v>0</v>
      </c>
      <c r="AA1402">
        <v>0</v>
      </c>
      <c r="AB1402">
        <v>1</v>
      </c>
      <c r="AC1402">
        <v>0</v>
      </c>
      <c r="AD1402">
        <v>1</v>
      </c>
      <c r="AE1402">
        <v>1400</v>
      </c>
      <c r="AF1402">
        <v>2</v>
      </c>
      <c r="AG1402">
        <v>0</v>
      </c>
      <c r="AH1402">
        <v>0</v>
      </c>
      <c r="AI1402">
        <v>1</v>
      </c>
      <c r="AJ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11.194000000000001</v>
      </c>
      <c r="AX1402">
        <v>1.2516666666666665</v>
      </c>
      <c r="AY1402">
        <v>880.505</v>
      </c>
      <c r="AZ1402">
        <v>82</v>
      </c>
      <c r="BD1402">
        <v>263</v>
      </c>
      <c r="BF1402" t="s">
        <v>427</v>
      </c>
    </row>
    <row r="1403" spans="1:58" x14ac:dyDescent="0.45">
      <c r="A1403">
        <v>20198</v>
      </c>
      <c r="B1403">
        <v>0</v>
      </c>
      <c r="C1403">
        <v>51.19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7.3</v>
      </c>
      <c r="K1403">
        <v>35.5</v>
      </c>
      <c r="L1403">
        <v>0</v>
      </c>
      <c r="M1403">
        <v>0</v>
      </c>
      <c r="N1403">
        <v>0</v>
      </c>
      <c r="O1403">
        <v>5.7</v>
      </c>
      <c r="P1403">
        <v>0</v>
      </c>
      <c r="Q1403">
        <v>0.25</v>
      </c>
      <c r="R1403">
        <v>0</v>
      </c>
      <c r="S1403">
        <v>0</v>
      </c>
      <c r="T1403">
        <v>0.06</v>
      </c>
      <c r="U1403">
        <v>0</v>
      </c>
      <c r="V1403">
        <v>0</v>
      </c>
      <c r="W1403">
        <v>1</v>
      </c>
      <c r="X1403">
        <v>1100</v>
      </c>
      <c r="Z1403">
        <v>0</v>
      </c>
      <c r="AA1403">
        <v>0</v>
      </c>
      <c r="AB1403">
        <v>1</v>
      </c>
      <c r="AC1403">
        <v>0</v>
      </c>
      <c r="AD1403">
        <v>1</v>
      </c>
      <c r="AE1403">
        <v>1400</v>
      </c>
      <c r="AF1403">
        <v>2</v>
      </c>
      <c r="AG1403">
        <v>0</v>
      </c>
      <c r="AH1403">
        <v>0</v>
      </c>
      <c r="AI1403">
        <v>1</v>
      </c>
      <c r="AJ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11.194000000000001</v>
      </c>
      <c r="AX1403">
        <v>1.2226666666666666</v>
      </c>
      <c r="AY1403">
        <v>844.83500000000004</v>
      </c>
      <c r="AZ1403">
        <v>65</v>
      </c>
      <c r="BA1403">
        <v>629</v>
      </c>
      <c r="BB1403">
        <v>716</v>
      </c>
      <c r="BC1403">
        <v>13</v>
      </c>
      <c r="BD1403">
        <v>219</v>
      </c>
      <c r="BF1403" t="s">
        <v>427</v>
      </c>
    </row>
    <row r="1404" spans="1:58" x14ac:dyDescent="0.45">
      <c r="A1404">
        <v>20199</v>
      </c>
      <c r="B1404">
        <v>0</v>
      </c>
      <c r="C1404">
        <v>50.59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7.3</v>
      </c>
      <c r="K1404">
        <v>35.5</v>
      </c>
      <c r="L1404">
        <v>0</v>
      </c>
      <c r="M1404">
        <v>0</v>
      </c>
      <c r="N1404">
        <v>0</v>
      </c>
      <c r="O1404">
        <v>5.7</v>
      </c>
      <c r="P1404">
        <v>0</v>
      </c>
      <c r="Q1404">
        <v>0.25</v>
      </c>
      <c r="R1404">
        <v>0</v>
      </c>
      <c r="S1404">
        <v>0</v>
      </c>
      <c r="T1404">
        <v>0.66</v>
      </c>
      <c r="U1404">
        <v>0</v>
      </c>
      <c r="V1404">
        <v>0</v>
      </c>
      <c r="W1404">
        <v>1</v>
      </c>
      <c r="X1404">
        <v>1100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1400</v>
      </c>
      <c r="AF1404">
        <v>2</v>
      </c>
      <c r="AG1404">
        <v>0</v>
      </c>
      <c r="AH1404">
        <v>0</v>
      </c>
      <c r="AI1404">
        <v>1</v>
      </c>
      <c r="AJ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11.194000000000001</v>
      </c>
      <c r="AX1404">
        <v>1.2826666666666666</v>
      </c>
      <c r="AY1404">
        <v>918.63499999999999</v>
      </c>
      <c r="AZ1404">
        <v>87</v>
      </c>
      <c r="BA1404">
        <v>885</v>
      </c>
      <c r="BB1404">
        <v>1099</v>
      </c>
      <c r="BC1404">
        <v>22</v>
      </c>
      <c r="BD1404">
        <v>294</v>
      </c>
      <c r="BF1404" t="s">
        <v>427</v>
      </c>
    </row>
    <row r="1405" spans="1:58" x14ac:dyDescent="0.45">
      <c r="A1405">
        <v>20200</v>
      </c>
      <c r="B1405">
        <v>1</v>
      </c>
      <c r="C1405">
        <v>90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J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3.3333333333333335</v>
      </c>
      <c r="AY1405">
        <v>924</v>
      </c>
      <c r="AZ1405">
        <v>106</v>
      </c>
      <c r="BB1405">
        <v>1180</v>
      </c>
      <c r="BF1405" t="s">
        <v>426</v>
      </c>
    </row>
    <row r="1406" spans="1:58" x14ac:dyDescent="0.45">
      <c r="A1406">
        <v>20201</v>
      </c>
      <c r="B1406">
        <v>1</v>
      </c>
      <c r="C1406">
        <v>85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J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5</v>
      </c>
      <c r="AY1406">
        <v>945</v>
      </c>
      <c r="AZ1406">
        <v>128</v>
      </c>
      <c r="BB1406">
        <v>1325</v>
      </c>
      <c r="BF1406" t="s">
        <v>426</v>
      </c>
    </row>
    <row r="1407" spans="1:58" x14ac:dyDescent="0.45">
      <c r="A1407">
        <v>20202</v>
      </c>
      <c r="B1407">
        <v>1</v>
      </c>
      <c r="C1407">
        <v>80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J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6.666666666666667</v>
      </c>
      <c r="AY1407">
        <v>966</v>
      </c>
      <c r="AZ1407">
        <v>146</v>
      </c>
      <c r="BB1407">
        <v>1525</v>
      </c>
      <c r="BF1407" t="s">
        <v>426</v>
      </c>
    </row>
    <row r="1408" spans="1:58" x14ac:dyDescent="0.45">
      <c r="A1408">
        <v>20203</v>
      </c>
      <c r="B1408">
        <v>1</v>
      </c>
      <c r="C1408">
        <v>95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J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1.6666666666666667</v>
      </c>
      <c r="AY1408">
        <v>903</v>
      </c>
      <c r="AZ1408">
        <v>98</v>
      </c>
      <c r="BB1408">
        <v>990</v>
      </c>
      <c r="BF1408" t="s">
        <v>426</v>
      </c>
    </row>
    <row r="1409" spans="1:58" x14ac:dyDescent="0.45">
      <c r="A1409">
        <v>20204</v>
      </c>
      <c r="B1409">
        <v>0</v>
      </c>
      <c r="C1409">
        <v>76.900000000000006</v>
      </c>
      <c r="D1409">
        <v>0</v>
      </c>
      <c r="E1409">
        <v>0.42</v>
      </c>
      <c r="F1409">
        <v>0.03</v>
      </c>
      <c r="G1409">
        <v>0</v>
      </c>
      <c r="H1409">
        <v>0.05</v>
      </c>
      <c r="I1409">
        <v>0.06</v>
      </c>
      <c r="J1409">
        <v>0</v>
      </c>
      <c r="K1409">
        <v>4.92</v>
      </c>
      <c r="L1409">
        <v>5.25</v>
      </c>
      <c r="M1409">
        <v>12.2</v>
      </c>
      <c r="N1409">
        <v>0</v>
      </c>
      <c r="O1409">
        <v>0</v>
      </c>
      <c r="P1409">
        <v>0</v>
      </c>
      <c r="Q1409">
        <v>0.04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Z1409">
        <v>1</v>
      </c>
      <c r="AA1409">
        <v>0</v>
      </c>
      <c r="AB1409">
        <v>0</v>
      </c>
      <c r="AC1409">
        <v>0</v>
      </c>
      <c r="AD1409">
        <v>1</v>
      </c>
      <c r="AE1409">
        <v>1100</v>
      </c>
      <c r="AF1409">
        <v>7</v>
      </c>
      <c r="AJ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7.1019999999999994</v>
      </c>
      <c r="AX1409">
        <v>4.0666666666666664</v>
      </c>
      <c r="AY1409">
        <v>878.20799999999997</v>
      </c>
      <c r="AZ1409">
        <v>92.8</v>
      </c>
      <c r="BD1409">
        <v>397</v>
      </c>
      <c r="BF1409" t="s">
        <v>372</v>
      </c>
    </row>
    <row r="1410" spans="1:58" x14ac:dyDescent="0.45">
      <c r="A1410">
        <v>20205</v>
      </c>
      <c r="B1410">
        <v>1</v>
      </c>
      <c r="C1410">
        <v>65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11.4</v>
      </c>
      <c r="K1410">
        <v>11.6</v>
      </c>
      <c r="L1410">
        <v>0</v>
      </c>
      <c r="M1410">
        <v>12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Z1410">
        <v>1</v>
      </c>
      <c r="AA1410">
        <v>0</v>
      </c>
      <c r="AB1410">
        <v>0</v>
      </c>
      <c r="AC1410">
        <v>0</v>
      </c>
      <c r="AD1410">
        <v>1</v>
      </c>
      <c r="AE1410">
        <v>1200</v>
      </c>
      <c r="AF1410">
        <v>24</v>
      </c>
      <c r="AG1410">
        <v>1</v>
      </c>
      <c r="AH1410">
        <v>0</v>
      </c>
      <c r="AI1410">
        <v>0</v>
      </c>
      <c r="AJ1410">
        <v>1</v>
      </c>
      <c r="AK1410">
        <v>900</v>
      </c>
      <c r="AL1410">
        <v>0.16666666666666666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3.2480000000000002</v>
      </c>
      <c r="AX1410">
        <v>5.9</v>
      </c>
      <c r="AY1410">
        <v>853.74</v>
      </c>
      <c r="AZ1410">
        <v>42.1</v>
      </c>
      <c r="BF1410" t="s">
        <v>401</v>
      </c>
    </row>
    <row r="1411" spans="1:58" x14ac:dyDescent="0.45">
      <c r="A1411">
        <v>20206</v>
      </c>
      <c r="B1411">
        <v>1</v>
      </c>
      <c r="C1411">
        <v>65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9.8000000000000007</v>
      </c>
      <c r="K1411">
        <v>10.7</v>
      </c>
      <c r="L1411">
        <v>0</v>
      </c>
      <c r="M1411">
        <v>14.5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1000</v>
      </c>
      <c r="Z1411">
        <v>0</v>
      </c>
      <c r="AA1411">
        <v>1</v>
      </c>
      <c r="AB1411">
        <v>0</v>
      </c>
      <c r="AC1411">
        <v>0</v>
      </c>
      <c r="AD1411">
        <v>1</v>
      </c>
      <c r="AE1411">
        <v>1200</v>
      </c>
      <c r="AF1411">
        <v>24</v>
      </c>
      <c r="AG1411">
        <v>1</v>
      </c>
      <c r="AH1411">
        <v>0</v>
      </c>
      <c r="AI1411">
        <v>0</v>
      </c>
      <c r="AJ1411">
        <v>1</v>
      </c>
      <c r="AK1411">
        <v>900</v>
      </c>
      <c r="AL1411">
        <v>0.16666666666666666</v>
      </c>
      <c r="AM1411">
        <v>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2.996</v>
      </c>
      <c r="AX1411">
        <v>6.4666666666666668</v>
      </c>
      <c r="AY1411">
        <v>875.28</v>
      </c>
      <c r="AZ1411">
        <v>61.4</v>
      </c>
      <c r="BF1411" t="s">
        <v>401</v>
      </c>
    </row>
    <row r="1412" spans="1:58" x14ac:dyDescent="0.45">
      <c r="A1412">
        <v>20207</v>
      </c>
      <c r="B1412">
        <v>1</v>
      </c>
      <c r="C1412">
        <v>67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11.4</v>
      </c>
      <c r="K1412">
        <v>9.8000000000000007</v>
      </c>
      <c r="L1412">
        <v>0</v>
      </c>
      <c r="M1412">
        <v>11.8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Z1412">
        <v>1</v>
      </c>
      <c r="AA1412">
        <v>0</v>
      </c>
      <c r="AB1412">
        <v>0</v>
      </c>
      <c r="AC1412">
        <v>0</v>
      </c>
      <c r="AD1412">
        <v>1</v>
      </c>
      <c r="AE1412">
        <v>1200</v>
      </c>
      <c r="AF1412">
        <v>24</v>
      </c>
      <c r="AG1412">
        <v>1</v>
      </c>
      <c r="AH1412">
        <v>0</v>
      </c>
      <c r="AI1412">
        <v>0</v>
      </c>
      <c r="AJ1412">
        <v>1</v>
      </c>
      <c r="AK1412">
        <v>900</v>
      </c>
      <c r="AL1412">
        <v>0.16666666666666666</v>
      </c>
      <c r="AM1412">
        <v>1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2.7440000000000007</v>
      </c>
      <c r="AX1412">
        <v>5.8333333333333339</v>
      </c>
      <c r="AY1412">
        <v>852.9</v>
      </c>
      <c r="AZ1412">
        <v>57.2</v>
      </c>
      <c r="BF1412" t="s">
        <v>401</v>
      </c>
    </row>
    <row r="1413" spans="1:58" x14ac:dyDescent="0.45">
      <c r="A1413">
        <v>20208</v>
      </c>
      <c r="B1413">
        <v>1</v>
      </c>
      <c r="C1413">
        <v>65.599999999999994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11.6</v>
      </c>
      <c r="K1413">
        <v>5.7</v>
      </c>
      <c r="L1413">
        <v>5.3</v>
      </c>
      <c r="M1413">
        <v>11.8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J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6.8959999999999999</v>
      </c>
      <c r="AX1413">
        <v>5.8666666666666671</v>
      </c>
      <c r="AY1413">
        <v>801.17000000000007</v>
      </c>
      <c r="AZ1413">
        <v>68.8</v>
      </c>
      <c r="BF1413" t="s">
        <v>405</v>
      </c>
    </row>
    <row r="1414" spans="1:58" x14ac:dyDescent="0.45">
      <c r="A1414">
        <v>20209</v>
      </c>
      <c r="B1414">
        <v>1</v>
      </c>
      <c r="C1414">
        <v>67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12.2</v>
      </c>
      <c r="K1414">
        <v>5.9</v>
      </c>
      <c r="L1414">
        <v>1.7</v>
      </c>
      <c r="M1414">
        <v>12.4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Z1414">
        <v>1</v>
      </c>
      <c r="AA1414">
        <v>0</v>
      </c>
      <c r="AB1414">
        <v>0</v>
      </c>
      <c r="AC1414">
        <v>0</v>
      </c>
      <c r="AD1414">
        <v>1</v>
      </c>
      <c r="AE1414">
        <v>1200</v>
      </c>
      <c r="AF1414">
        <v>24</v>
      </c>
      <c r="AG1414">
        <v>1</v>
      </c>
      <c r="AH1414">
        <v>0</v>
      </c>
      <c r="AI1414">
        <v>0</v>
      </c>
      <c r="AJ1414">
        <v>1</v>
      </c>
      <c r="AK1414">
        <v>900</v>
      </c>
      <c r="AL1414">
        <v>0.16666666666666666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3.3520000000000003</v>
      </c>
      <c r="AX1414">
        <v>6.166666666666667</v>
      </c>
      <c r="AY1414">
        <v>833.75000000000011</v>
      </c>
      <c r="AZ1414">
        <v>79.8</v>
      </c>
      <c r="BF1414" t="s">
        <v>401</v>
      </c>
    </row>
    <row r="1415" spans="1:58" x14ac:dyDescent="0.45">
      <c r="A1415">
        <v>20210</v>
      </c>
      <c r="B1415">
        <v>1</v>
      </c>
      <c r="C1415">
        <v>65.599999999999994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11.6</v>
      </c>
      <c r="K1415">
        <v>5.7</v>
      </c>
      <c r="L1415">
        <v>5.3</v>
      </c>
      <c r="M1415">
        <v>11.8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0</v>
      </c>
      <c r="Z1415">
        <v>1</v>
      </c>
      <c r="AA1415">
        <v>0</v>
      </c>
      <c r="AB1415">
        <v>0</v>
      </c>
      <c r="AC1415">
        <v>0</v>
      </c>
      <c r="AD1415">
        <v>1</v>
      </c>
      <c r="AE1415">
        <v>1200</v>
      </c>
      <c r="AF1415">
        <v>24</v>
      </c>
      <c r="AG1415">
        <v>1</v>
      </c>
      <c r="AH1415">
        <v>0</v>
      </c>
      <c r="AI1415">
        <v>0</v>
      </c>
      <c r="AJ1415">
        <v>1</v>
      </c>
      <c r="AK1415">
        <v>900</v>
      </c>
      <c r="AL1415">
        <v>0.16666666666666666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6.8959999999999999</v>
      </c>
      <c r="AX1415">
        <v>5.8666666666666671</v>
      </c>
      <c r="AY1415">
        <v>801.17000000000007</v>
      </c>
      <c r="AZ1415">
        <v>69.3</v>
      </c>
      <c r="BF1415" t="s">
        <v>401</v>
      </c>
    </row>
    <row r="1416" spans="1:58" x14ac:dyDescent="0.45">
      <c r="A1416">
        <v>20211</v>
      </c>
      <c r="B1416">
        <v>1</v>
      </c>
      <c r="C1416">
        <v>70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J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6.6</v>
      </c>
      <c r="AX1416">
        <v>0</v>
      </c>
      <c r="AY1416">
        <v>882</v>
      </c>
      <c r="AZ1416">
        <v>50</v>
      </c>
      <c r="BF1416" t="s">
        <v>430</v>
      </c>
    </row>
    <row r="1417" spans="1:58" x14ac:dyDescent="0.45">
      <c r="A1417">
        <v>20212</v>
      </c>
      <c r="B1417">
        <v>1</v>
      </c>
      <c r="C1417">
        <v>51.81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48.19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J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10.601799999999999</v>
      </c>
      <c r="AX1417">
        <v>0</v>
      </c>
      <c r="AY1417">
        <v>882</v>
      </c>
      <c r="AZ1417">
        <v>75.77</v>
      </c>
      <c r="BA1417">
        <v>883</v>
      </c>
      <c r="BB1417">
        <v>944</v>
      </c>
      <c r="BC1417">
        <v>11.72</v>
      </c>
      <c r="BF1417" t="s">
        <v>430</v>
      </c>
    </row>
    <row r="1418" spans="1:58" x14ac:dyDescent="0.45">
      <c r="A1418">
        <v>20213</v>
      </c>
      <c r="B1418">
        <v>1</v>
      </c>
      <c r="C1418">
        <v>48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52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J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11.44</v>
      </c>
      <c r="AX1418">
        <v>0</v>
      </c>
      <c r="AY1418">
        <v>882</v>
      </c>
      <c r="AZ1418">
        <v>32</v>
      </c>
      <c r="BF1418" t="s">
        <v>430</v>
      </c>
    </row>
    <row r="1419" spans="1:58" x14ac:dyDescent="0.45">
      <c r="A1419">
        <v>20214</v>
      </c>
      <c r="B1419">
        <v>1</v>
      </c>
      <c r="C1419">
        <v>30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70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Y1419">
        <v>80</v>
      </c>
      <c r="Z1419">
        <v>0</v>
      </c>
      <c r="AA1419">
        <v>1</v>
      </c>
      <c r="AB1419">
        <v>0</v>
      </c>
      <c r="AC1419">
        <v>0</v>
      </c>
      <c r="AD1419">
        <v>1</v>
      </c>
      <c r="AE1419">
        <v>900</v>
      </c>
      <c r="AF1419">
        <v>6</v>
      </c>
      <c r="AG1419">
        <v>1</v>
      </c>
      <c r="AH1419">
        <v>0</v>
      </c>
      <c r="AI1419">
        <v>0</v>
      </c>
      <c r="AJ1419">
        <v>1</v>
      </c>
      <c r="AK1419">
        <v>950</v>
      </c>
      <c r="AL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15.4</v>
      </c>
      <c r="AX1419">
        <v>0</v>
      </c>
      <c r="AY1419">
        <v>882</v>
      </c>
      <c r="AZ1419">
        <v>67</v>
      </c>
      <c r="BB1419">
        <v>600</v>
      </c>
      <c r="BD1419">
        <v>227</v>
      </c>
      <c r="BF1419" t="s">
        <v>431</v>
      </c>
    </row>
    <row r="1420" spans="1:58" x14ac:dyDescent="0.45">
      <c r="A1420">
        <v>20215</v>
      </c>
      <c r="B1420">
        <v>1</v>
      </c>
      <c r="C1420">
        <v>50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25</v>
      </c>
      <c r="L1420">
        <v>0</v>
      </c>
      <c r="M1420">
        <v>0</v>
      </c>
      <c r="N1420">
        <v>0</v>
      </c>
      <c r="O1420">
        <v>25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Y1420">
        <v>80</v>
      </c>
      <c r="Z1420">
        <v>0</v>
      </c>
      <c r="AA1420">
        <v>1</v>
      </c>
      <c r="AB1420">
        <v>0</v>
      </c>
      <c r="AC1420">
        <v>0</v>
      </c>
      <c r="AD1420">
        <v>1</v>
      </c>
      <c r="AE1420">
        <v>950</v>
      </c>
      <c r="AF1420">
        <v>20</v>
      </c>
      <c r="AG1420">
        <v>1</v>
      </c>
      <c r="AH1420">
        <v>0</v>
      </c>
      <c r="AI1420">
        <v>0</v>
      </c>
      <c r="AJ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12.5</v>
      </c>
      <c r="AX1420">
        <v>0</v>
      </c>
      <c r="AY1420">
        <v>882</v>
      </c>
      <c r="AZ1420">
        <v>55</v>
      </c>
      <c r="BB1420">
        <v>530</v>
      </c>
      <c r="BD1420">
        <v>145</v>
      </c>
      <c r="BF1420" t="s">
        <v>406</v>
      </c>
    </row>
    <row r="1421" spans="1:58" x14ac:dyDescent="0.45">
      <c r="A1421">
        <v>20216</v>
      </c>
      <c r="B1421">
        <v>0</v>
      </c>
      <c r="C1421">
        <v>82.698999999999998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1.49</v>
      </c>
      <c r="K1421">
        <v>0</v>
      </c>
      <c r="L1421">
        <v>0</v>
      </c>
      <c r="M1421">
        <v>0</v>
      </c>
      <c r="N1421">
        <v>0</v>
      </c>
      <c r="O1421">
        <v>15.1</v>
      </c>
      <c r="P1421">
        <v>0</v>
      </c>
      <c r="Q1421">
        <v>0</v>
      </c>
      <c r="R1421">
        <v>0</v>
      </c>
      <c r="S1421">
        <v>3.1E-2</v>
      </c>
      <c r="T1421">
        <v>0.68</v>
      </c>
      <c r="U1421">
        <v>0</v>
      </c>
      <c r="V1421">
        <v>1</v>
      </c>
      <c r="W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J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3.3220000000000001</v>
      </c>
      <c r="AX1421">
        <v>0.31943333333333335</v>
      </c>
      <c r="AY1421">
        <v>955.35900000000004</v>
      </c>
      <c r="AZ1421">
        <v>92.18</v>
      </c>
      <c r="BA1421">
        <v>869</v>
      </c>
      <c r="BB1421">
        <v>890</v>
      </c>
      <c r="BC1421">
        <v>16.11</v>
      </c>
      <c r="BF1421" t="s">
        <v>432</v>
      </c>
    </row>
    <row r="1422" spans="1:58" x14ac:dyDescent="0.45">
      <c r="A1422">
        <v>20217</v>
      </c>
      <c r="B1422">
        <v>0</v>
      </c>
      <c r="C1422">
        <v>78.881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5.51</v>
      </c>
      <c r="K1422">
        <v>0</v>
      </c>
      <c r="L1422">
        <v>0</v>
      </c>
      <c r="M1422">
        <v>0</v>
      </c>
      <c r="N1422">
        <v>0</v>
      </c>
      <c r="O1422">
        <v>14.9</v>
      </c>
      <c r="P1422">
        <v>0</v>
      </c>
      <c r="Q1422">
        <v>0</v>
      </c>
      <c r="R1422">
        <v>0</v>
      </c>
      <c r="S1422">
        <v>2.9000000000000001E-2</v>
      </c>
      <c r="T1422">
        <v>0.68</v>
      </c>
      <c r="U1422">
        <v>0</v>
      </c>
      <c r="V1422">
        <v>1</v>
      </c>
      <c r="W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J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3.278</v>
      </c>
      <c r="AX1422">
        <v>0.9892333333333333</v>
      </c>
      <c r="AY1422">
        <v>927.62099999999998</v>
      </c>
      <c r="AZ1422">
        <v>71.62</v>
      </c>
      <c r="BA1422">
        <v>925</v>
      </c>
      <c r="BB1422">
        <v>960</v>
      </c>
      <c r="BC1422">
        <v>18.920000000000002</v>
      </c>
      <c r="BF1422" t="s">
        <v>432</v>
      </c>
    </row>
    <row r="1423" spans="1:58" x14ac:dyDescent="0.45">
      <c r="A1423">
        <v>20218</v>
      </c>
      <c r="B1423">
        <v>0</v>
      </c>
      <c r="C1423">
        <v>73.515999999999991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10.6</v>
      </c>
      <c r="K1423">
        <v>0</v>
      </c>
      <c r="L1423">
        <v>0</v>
      </c>
      <c r="M1423">
        <v>0</v>
      </c>
      <c r="N1423">
        <v>0</v>
      </c>
      <c r="O1423">
        <v>15</v>
      </c>
      <c r="P1423">
        <v>0</v>
      </c>
      <c r="Q1423">
        <v>0</v>
      </c>
      <c r="R1423">
        <v>0</v>
      </c>
      <c r="S1423">
        <v>2.4E-2</v>
      </c>
      <c r="T1423">
        <v>0.86</v>
      </c>
      <c r="U1423">
        <v>0</v>
      </c>
      <c r="V1423">
        <v>1</v>
      </c>
      <c r="W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J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3.3</v>
      </c>
      <c r="AX1423">
        <v>1.8550666666666666</v>
      </c>
      <c r="AY1423">
        <v>914.64</v>
      </c>
      <c r="AZ1423">
        <v>42.93</v>
      </c>
      <c r="BA1423">
        <v>768</v>
      </c>
      <c r="BB1423">
        <v>805</v>
      </c>
      <c r="BC1423">
        <v>15.12</v>
      </c>
      <c r="BF1423" t="s">
        <v>432</v>
      </c>
    </row>
    <row r="1424" spans="1:58" x14ac:dyDescent="0.45">
      <c r="A1424">
        <v>20219</v>
      </c>
      <c r="B1424">
        <v>0</v>
      </c>
      <c r="C1424">
        <v>65.745100000000008</v>
      </c>
      <c r="D1424">
        <v>0</v>
      </c>
      <c r="E1424">
        <v>0</v>
      </c>
      <c r="F1424">
        <v>4.04</v>
      </c>
      <c r="G1424">
        <v>0</v>
      </c>
      <c r="H1424">
        <v>0</v>
      </c>
      <c r="I1424">
        <v>0</v>
      </c>
      <c r="J1424">
        <v>30.08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2.7900000000000001E-2</v>
      </c>
      <c r="T1424">
        <v>0.107</v>
      </c>
      <c r="U1424">
        <v>0</v>
      </c>
      <c r="V1424">
        <v>0</v>
      </c>
      <c r="W1424">
        <v>1</v>
      </c>
      <c r="X1424">
        <v>1000</v>
      </c>
      <c r="Y1424">
        <v>70</v>
      </c>
      <c r="Z1424">
        <v>0</v>
      </c>
      <c r="AA1424">
        <v>1</v>
      </c>
      <c r="AB1424">
        <v>0</v>
      </c>
      <c r="AC1424">
        <v>0</v>
      </c>
      <c r="AD1424">
        <v>1</v>
      </c>
      <c r="AE1424">
        <v>850</v>
      </c>
      <c r="AF1424">
        <v>1</v>
      </c>
      <c r="AG1424">
        <v>1</v>
      </c>
      <c r="AH1424">
        <v>0</v>
      </c>
      <c r="AI1424">
        <v>0</v>
      </c>
      <c r="AJ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6.4640000000000004</v>
      </c>
      <c r="AX1424">
        <v>5.0268233333333328</v>
      </c>
      <c r="AY1424">
        <v>638.72499999999991</v>
      </c>
      <c r="AZ1424">
        <v>67</v>
      </c>
      <c r="BA1424">
        <v>525</v>
      </c>
      <c r="BB1424">
        <v>755</v>
      </c>
      <c r="BC1424">
        <v>2.5</v>
      </c>
      <c r="BF1424" t="s">
        <v>433</v>
      </c>
    </row>
    <row r="1425" spans="1:58" x14ac:dyDescent="0.45">
      <c r="A1425">
        <v>20220</v>
      </c>
      <c r="B1425">
        <v>0</v>
      </c>
      <c r="C1425">
        <v>64.550899999999999</v>
      </c>
      <c r="D1425">
        <v>0</v>
      </c>
      <c r="E1425">
        <v>0</v>
      </c>
      <c r="F1425">
        <v>5.1100000000000003</v>
      </c>
      <c r="G1425">
        <v>0</v>
      </c>
      <c r="H1425">
        <v>0</v>
      </c>
      <c r="I1425">
        <v>0</v>
      </c>
      <c r="J1425">
        <v>30.25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8.0999999999999996E-3</v>
      </c>
      <c r="T1425">
        <v>8.1000000000000003E-2</v>
      </c>
      <c r="U1425">
        <v>0</v>
      </c>
      <c r="V1425">
        <v>0</v>
      </c>
      <c r="W1425">
        <v>1</v>
      </c>
      <c r="X1425">
        <v>1000</v>
      </c>
      <c r="Y1425">
        <v>70</v>
      </c>
      <c r="Z1425">
        <v>0</v>
      </c>
      <c r="AA1425">
        <v>1</v>
      </c>
      <c r="AB1425">
        <v>0</v>
      </c>
      <c r="AC1425">
        <v>0</v>
      </c>
      <c r="AD1425">
        <v>1</v>
      </c>
      <c r="AE1425">
        <v>850</v>
      </c>
      <c r="AF1425">
        <v>1</v>
      </c>
      <c r="AG1425">
        <v>1</v>
      </c>
      <c r="AH1425">
        <v>0</v>
      </c>
      <c r="AI1425">
        <v>0</v>
      </c>
      <c r="AJ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8.1760000000000002</v>
      </c>
      <c r="AX1425">
        <v>5.0505766666666672</v>
      </c>
      <c r="AY1425">
        <v>621.40699999999993</v>
      </c>
      <c r="AZ1425">
        <v>76</v>
      </c>
      <c r="BA1425">
        <v>855</v>
      </c>
      <c r="BB1425">
        <v>965</v>
      </c>
      <c r="BC1425">
        <v>4.5</v>
      </c>
      <c r="BF1425" t="s">
        <v>433</v>
      </c>
    </row>
    <row r="1426" spans="1:58" x14ac:dyDescent="0.45">
      <c r="A1426">
        <v>20221</v>
      </c>
      <c r="B1426">
        <v>0</v>
      </c>
      <c r="C1426">
        <v>65.745100000000008</v>
      </c>
      <c r="D1426">
        <v>0</v>
      </c>
      <c r="E1426">
        <v>0</v>
      </c>
      <c r="F1426">
        <v>4.04</v>
      </c>
      <c r="G1426">
        <v>0</v>
      </c>
      <c r="H1426">
        <v>0</v>
      </c>
      <c r="I1426">
        <v>0</v>
      </c>
      <c r="J1426">
        <v>30.08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2.7900000000000001E-2</v>
      </c>
      <c r="T1426">
        <v>0.107</v>
      </c>
      <c r="U1426">
        <v>0</v>
      </c>
      <c r="V1426">
        <v>0</v>
      </c>
      <c r="W1426">
        <v>1</v>
      </c>
      <c r="X1426">
        <v>1000</v>
      </c>
      <c r="Y1426">
        <v>70</v>
      </c>
      <c r="Z1426">
        <v>0</v>
      </c>
      <c r="AA1426">
        <v>1</v>
      </c>
      <c r="AB1426">
        <v>0</v>
      </c>
      <c r="AC1426">
        <v>0</v>
      </c>
      <c r="AD1426">
        <v>1</v>
      </c>
      <c r="AE1426">
        <v>850</v>
      </c>
      <c r="AF1426">
        <v>1</v>
      </c>
      <c r="AG1426">
        <v>1</v>
      </c>
      <c r="AH1426">
        <v>0</v>
      </c>
      <c r="AI1426">
        <v>0</v>
      </c>
      <c r="AJ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6.4640000000000004</v>
      </c>
      <c r="AX1426">
        <v>5.0268233333333328</v>
      </c>
      <c r="AY1426">
        <v>638.72499999999991</v>
      </c>
      <c r="AZ1426">
        <v>69.400000000000006</v>
      </c>
      <c r="BA1426">
        <v>505</v>
      </c>
      <c r="BB1426">
        <v>690</v>
      </c>
      <c r="BC1426">
        <v>11</v>
      </c>
      <c r="BF1426" t="s">
        <v>433</v>
      </c>
    </row>
    <row r="1427" spans="1:58" x14ac:dyDescent="0.45">
      <c r="A1427">
        <v>20222</v>
      </c>
      <c r="B1427">
        <v>0</v>
      </c>
      <c r="C1427">
        <v>64.550899999999999</v>
      </c>
      <c r="D1427">
        <v>0</v>
      </c>
      <c r="E1427">
        <v>0</v>
      </c>
      <c r="F1427">
        <v>5.1100000000000003</v>
      </c>
      <c r="G1427">
        <v>0</v>
      </c>
      <c r="H1427">
        <v>0</v>
      </c>
      <c r="I1427">
        <v>0</v>
      </c>
      <c r="J1427">
        <v>30.25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8.0999999999999996E-3</v>
      </c>
      <c r="T1427">
        <v>8.1000000000000003E-2</v>
      </c>
      <c r="U1427">
        <v>0</v>
      </c>
      <c r="V1427">
        <v>0</v>
      </c>
      <c r="W1427">
        <v>1</v>
      </c>
      <c r="X1427">
        <v>1000</v>
      </c>
      <c r="Y1427">
        <v>70</v>
      </c>
      <c r="Z1427">
        <v>0</v>
      </c>
      <c r="AA1427">
        <v>1</v>
      </c>
      <c r="AB1427">
        <v>0</v>
      </c>
      <c r="AC1427">
        <v>0</v>
      </c>
      <c r="AD1427">
        <v>1</v>
      </c>
      <c r="AE1427">
        <v>850</v>
      </c>
      <c r="AF1427">
        <v>1</v>
      </c>
      <c r="AG1427">
        <v>1</v>
      </c>
      <c r="AH1427">
        <v>0</v>
      </c>
      <c r="AI1427">
        <v>0</v>
      </c>
      <c r="AJ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8.1760000000000002</v>
      </c>
      <c r="AX1427">
        <v>5.0505766666666672</v>
      </c>
      <c r="AY1427">
        <v>621.40699999999993</v>
      </c>
      <c r="AZ1427">
        <v>66.599999999999994</v>
      </c>
      <c r="BA1427">
        <v>820</v>
      </c>
      <c r="BB1427">
        <v>880</v>
      </c>
      <c r="BC1427">
        <v>6</v>
      </c>
      <c r="BF1427" t="s">
        <v>433</v>
      </c>
    </row>
    <row r="1428" spans="1:58" x14ac:dyDescent="0.45">
      <c r="A1428">
        <v>20223</v>
      </c>
      <c r="B1428">
        <v>0</v>
      </c>
      <c r="C1428">
        <v>63.886500000000005</v>
      </c>
      <c r="D1428">
        <v>0</v>
      </c>
      <c r="E1428">
        <v>0</v>
      </c>
      <c r="F1428">
        <v>1.03</v>
      </c>
      <c r="G1428">
        <v>0</v>
      </c>
      <c r="H1428">
        <v>0</v>
      </c>
      <c r="I1428">
        <v>0</v>
      </c>
      <c r="J1428">
        <v>29.95</v>
      </c>
      <c r="K1428">
        <v>0</v>
      </c>
      <c r="L1428">
        <v>5.07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7.4999999999999997E-3</v>
      </c>
      <c r="T1428">
        <v>5.6000000000000001E-2</v>
      </c>
      <c r="U1428">
        <v>0</v>
      </c>
      <c r="V1428">
        <v>0</v>
      </c>
      <c r="W1428">
        <v>1</v>
      </c>
      <c r="X1428">
        <v>1000</v>
      </c>
      <c r="Y1428">
        <v>70</v>
      </c>
      <c r="Z1428">
        <v>0</v>
      </c>
      <c r="AA1428">
        <v>1</v>
      </c>
      <c r="AB1428">
        <v>0</v>
      </c>
      <c r="AC1428">
        <v>0</v>
      </c>
      <c r="AD1428">
        <v>1</v>
      </c>
      <c r="AE1428">
        <v>850</v>
      </c>
      <c r="AF1428">
        <v>1</v>
      </c>
      <c r="AG1428">
        <v>1</v>
      </c>
      <c r="AH1428">
        <v>0</v>
      </c>
      <c r="AI1428">
        <v>0</v>
      </c>
      <c r="AJ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6.718</v>
      </c>
      <c r="AX1428">
        <v>4.9980166666666666</v>
      </c>
      <c r="AY1428">
        <v>621.60500000000013</v>
      </c>
      <c r="AZ1428">
        <v>67.5</v>
      </c>
      <c r="BA1428">
        <v>548</v>
      </c>
      <c r="BB1428">
        <v>550</v>
      </c>
      <c r="BC1428">
        <v>11.5</v>
      </c>
      <c r="BF1428" t="s">
        <v>433</v>
      </c>
    </row>
    <row r="1429" spans="1:58" x14ac:dyDescent="0.45">
      <c r="A1429">
        <v>20224</v>
      </c>
      <c r="B1429">
        <v>0</v>
      </c>
      <c r="C1429">
        <v>63.886500000000005</v>
      </c>
      <c r="D1429">
        <v>0</v>
      </c>
      <c r="E1429">
        <v>0</v>
      </c>
      <c r="F1429">
        <v>1.03</v>
      </c>
      <c r="G1429">
        <v>0</v>
      </c>
      <c r="H1429">
        <v>0</v>
      </c>
      <c r="I1429">
        <v>0</v>
      </c>
      <c r="J1429">
        <v>29.95</v>
      </c>
      <c r="K1429">
        <v>0</v>
      </c>
      <c r="L1429">
        <v>5.07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7.4999999999999997E-3</v>
      </c>
      <c r="T1429">
        <v>5.6000000000000001E-2</v>
      </c>
      <c r="U1429">
        <v>0</v>
      </c>
      <c r="V1429">
        <v>0</v>
      </c>
      <c r="W1429">
        <v>1</v>
      </c>
      <c r="X1429">
        <v>1000</v>
      </c>
      <c r="Y1429">
        <v>70</v>
      </c>
      <c r="Z1429">
        <v>0</v>
      </c>
      <c r="AA1429">
        <v>1</v>
      </c>
      <c r="AB1429">
        <v>0</v>
      </c>
      <c r="AC1429">
        <v>0</v>
      </c>
      <c r="AD1429">
        <v>1</v>
      </c>
      <c r="AE1429">
        <v>850</v>
      </c>
      <c r="AF1429">
        <v>1</v>
      </c>
      <c r="AG1429">
        <v>1</v>
      </c>
      <c r="AH1429">
        <v>0</v>
      </c>
      <c r="AI1429">
        <v>0</v>
      </c>
      <c r="AJ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6.718</v>
      </c>
      <c r="AX1429">
        <v>4.9980166666666666</v>
      </c>
      <c r="AY1429">
        <v>621.60500000000013</v>
      </c>
      <c r="AZ1429">
        <v>69.099999999999994</v>
      </c>
      <c r="BA1429">
        <v>510</v>
      </c>
      <c r="BB1429">
        <v>512</v>
      </c>
      <c r="BC1429">
        <v>41.5</v>
      </c>
      <c r="BF1429" t="s">
        <v>433</v>
      </c>
    </row>
    <row r="1430" spans="1:58" x14ac:dyDescent="0.45">
      <c r="A1430">
        <v>20225</v>
      </c>
      <c r="B1430">
        <v>0</v>
      </c>
      <c r="C1430">
        <v>64.113200000000006</v>
      </c>
      <c r="D1430">
        <v>0</v>
      </c>
      <c r="E1430">
        <v>0</v>
      </c>
      <c r="F1430">
        <v>2.04</v>
      </c>
      <c r="G1430">
        <v>0</v>
      </c>
      <c r="H1430">
        <v>0</v>
      </c>
      <c r="I1430">
        <v>0</v>
      </c>
      <c r="J1430">
        <v>29.7</v>
      </c>
      <c r="K1430">
        <v>0</v>
      </c>
      <c r="L1430">
        <v>4.08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3.8E-3</v>
      </c>
      <c r="T1430">
        <v>6.3E-2</v>
      </c>
      <c r="U1430">
        <v>0</v>
      </c>
      <c r="V1430">
        <v>0</v>
      </c>
      <c r="W1430">
        <v>1</v>
      </c>
      <c r="X1430">
        <v>1000</v>
      </c>
      <c r="Y1430">
        <v>70</v>
      </c>
      <c r="Z1430">
        <v>0</v>
      </c>
      <c r="AA1430">
        <v>1</v>
      </c>
      <c r="AB1430">
        <v>0</v>
      </c>
      <c r="AC1430">
        <v>0</v>
      </c>
      <c r="AD1430">
        <v>1</v>
      </c>
      <c r="AE1430">
        <v>850</v>
      </c>
      <c r="AF1430">
        <v>1</v>
      </c>
      <c r="AG1430">
        <v>1</v>
      </c>
      <c r="AH1430">
        <v>0</v>
      </c>
      <c r="AI1430">
        <v>0</v>
      </c>
      <c r="AJ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7.3440000000000003</v>
      </c>
      <c r="AX1430">
        <v>4.9566800000000004</v>
      </c>
      <c r="AY1430">
        <v>621.375</v>
      </c>
      <c r="AZ1430">
        <v>74</v>
      </c>
      <c r="BA1430">
        <v>610</v>
      </c>
      <c r="BB1430">
        <v>635</v>
      </c>
      <c r="BC1430">
        <v>10.5</v>
      </c>
      <c r="BF1430" t="s">
        <v>433</v>
      </c>
    </row>
    <row r="1431" spans="1:58" x14ac:dyDescent="0.45">
      <c r="A1431">
        <v>20226</v>
      </c>
      <c r="B1431">
        <v>0</v>
      </c>
      <c r="C1431">
        <v>64.113200000000006</v>
      </c>
      <c r="D1431">
        <v>0</v>
      </c>
      <c r="E1431">
        <v>0</v>
      </c>
      <c r="F1431">
        <v>2.04</v>
      </c>
      <c r="G1431">
        <v>0</v>
      </c>
      <c r="H1431">
        <v>0</v>
      </c>
      <c r="I1431">
        <v>0</v>
      </c>
      <c r="J1431">
        <v>29.7</v>
      </c>
      <c r="K1431">
        <v>0</v>
      </c>
      <c r="L1431">
        <v>4.08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3.8E-3</v>
      </c>
      <c r="T1431">
        <v>6.3E-2</v>
      </c>
      <c r="U1431">
        <v>0</v>
      </c>
      <c r="V1431">
        <v>0</v>
      </c>
      <c r="W1431">
        <v>1</v>
      </c>
      <c r="X1431">
        <v>1000</v>
      </c>
      <c r="Y1431">
        <v>70</v>
      </c>
      <c r="Z1431">
        <v>0</v>
      </c>
      <c r="AA1431">
        <v>1</v>
      </c>
      <c r="AB1431">
        <v>0</v>
      </c>
      <c r="AC1431">
        <v>0</v>
      </c>
      <c r="AD1431">
        <v>1</v>
      </c>
      <c r="AE1431">
        <v>850</v>
      </c>
      <c r="AF1431">
        <v>1</v>
      </c>
      <c r="AG1431">
        <v>1</v>
      </c>
      <c r="AH1431">
        <v>0</v>
      </c>
      <c r="AI1431">
        <v>0</v>
      </c>
      <c r="AJ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7.3440000000000003</v>
      </c>
      <c r="AX1431">
        <v>4.9566800000000004</v>
      </c>
      <c r="AY1431">
        <v>621.375</v>
      </c>
      <c r="AZ1431">
        <v>64.2</v>
      </c>
      <c r="BA1431">
        <v>590</v>
      </c>
      <c r="BB1431">
        <v>580</v>
      </c>
      <c r="BC1431">
        <v>34</v>
      </c>
      <c r="BF1431" t="s">
        <v>433</v>
      </c>
    </row>
    <row r="1432" spans="1:58" x14ac:dyDescent="0.45">
      <c r="A1432">
        <v>20227</v>
      </c>
      <c r="B1432">
        <v>0</v>
      </c>
      <c r="C1432">
        <v>63.973999999999997</v>
      </c>
      <c r="D1432">
        <v>0</v>
      </c>
      <c r="E1432">
        <v>0</v>
      </c>
      <c r="F1432">
        <v>3.06</v>
      </c>
      <c r="G1432">
        <v>0</v>
      </c>
      <c r="H1432">
        <v>0</v>
      </c>
      <c r="I1432">
        <v>0</v>
      </c>
      <c r="J1432">
        <v>29.85</v>
      </c>
      <c r="K1432">
        <v>0</v>
      </c>
      <c r="L1432">
        <v>3.05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6.0000000000000001E-3</v>
      </c>
      <c r="T1432">
        <v>0.06</v>
      </c>
      <c r="U1432">
        <v>0</v>
      </c>
      <c r="V1432">
        <v>0</v>
      </c>
      <c r="W1432">
        <v>1</v>
      </c>
      <c r="X1432">
        <v>1000</v>
      </c>
      <c r="Y1432">
        <v>70</v>
      </c>
      <c r="Z1432">
        <v>0</v>
      </c>
      <c r="AA1432">
        <v>1</v>
      </c>
      <c r="AB1432">
        <v>0</v>
      </c>
      <c r="AC1432">
        <v>0</v>
      </c>
      <c r="AD1432">
        <v>1</v>
      </c>
      <c r="AE1432">
        <v>850</v>
      </c>
      <c r="AF1432">
        <v>1</v>
      </c>
      <c r="AG1432">
        <v>1</v>
      </c>
      <c r="AH1432">
        <v>0</v>
      </c>
      <c r="AI1432">
        <v>0</v>
      </c>
      <c r="AJ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7.9460000000000006</v>
      </c>
      <c r="AX1432">
        <v>4.9816000000000003</v>
      </c>
      <c r="AY1432">
        <v>617.41399999999999</v>
      </c>
      <c r="AZ1432">
        <v>87</v>
      </c>
      <c r="BA1432">
        <v>760</v>
      </c>
      <c r="BB1432">
        <v>752</v>
      </c>
      <c r="BC1432">
        <v>8</v>
      </c>
      <c r="BF1432" t="s">
        <v>433</v>
      </c>
    </row>
    <row r="1433" spans="1:58" x14ac:dyDescent="0.45">
      <c r="A1433">
        <v>20228</v>
      </c>
      <c r="B1433">
        <v>0</v>
      </c>
      <c r="C1433">
        <v>63.973999999999997</v>
      </c>
      <c r="D1433">
        <v>0</v>
      </c>
      <c r="E1433">
        <v>0</v>
      </c>
      <c r="F1433">
        <v>3.06</v>
      </c>
      <c r="G1433">
        <v>0</v>
      </c>
      <c r="H1433">
        <v>0</v>
      </c>
      <c r="I1433">
        <v>0</v>
      </c>
      <c r="J1433">
        <v>29.85</v>
      </c>
      <c r="K1433">
        <v>0</v>
      </c>
      <c r="L1433">
        <v>3.05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6.0000000000000001E-3</v>
      </c>
      <c r="T1433">
        <v>0.06</v>
      </c>
      <c r="U1433">
        <v>0</v>
      </c>
      <c r="V1433">
        <v>0</v>
      </c>
      <c r="W1433">
        <v>1</v>
      </c>
      <c r="X1433">
        <v>1000</v>
      </c>
      <c r="Y1433">
        <v>70</v>
      </c>
      <c r="Z1433">
        <v>0</v>
      </c>
      <c r="AA1433">
        <v>1</v>
      </c>
      <c r="AB1433">
        <v>0</v>
      </c>
      <c r="AC1433">
        <v>0</v>
      </c>
      <c r="AD1433">
        <v>1</v>
      </c>
      <c r="AE1433">
        <v>850</v>
      </c>
      <c r="AF1433">
        <v>1</v>
      </c>
      <c r="AG1433">
        <v>1</v>
      </c>
      <c r="AH1433">
        <v>0</v>
      </c>
      <c r="AI1433">
        <v>0</v>
      </c>
      <c r="AJ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7.9460000000000006</v>
      </c>
      <c r="AX1433">
        <v>4.9816000000000003</v>
      </c>
      <c r="AY1433">
        <v>617.41399999999999</v>
      </c>
      <c r="AZ1433">
        <v>68.5</v>
      </c>
      <c r="BA1433">
        <v>646</v>
      </c>
      <c r="BB1433">
        <v>645</v>
      </c>
      <c r="BC1433">
        <v>27.6</v>
      </c>
      <c r="BF1433" t="s">
        <v>433</v>
      </c>
    </row>
    <row r="1434" spans="1:58" x14ac:dyDescent="0.45">
      <c r="A1434">
        <v>20229</v>
      </c>
      <c r="B1434">
        <v>0</v>
      </c>
      <c r="C1434">
        <v>75.75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13</v>
      </c>
      <c r="K1434">
        <v>0</v>
      </c>
      <c r="L1434">
        <v>10</v>
      </c>
      <c r="M1434">
        <v>0</v>
      </c>
      <c r="N1434">
        <v>0</v>
      </c>
      <c r="O1434">
        <v>0</v>
      </c>
      <c r="P1434">
        <v>0</v>
      </c>
      <c r="Q1434">
        <v>1.25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J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10</v>
      </c>
      <c r="AX1434">
        <v>2.1666666666666665</v>
      </c>
      <c r="AY1434">
        <v>726.42499999999995</v>
      </c>
      <c r="AZ1434">
        <v>32.622999999999998</v>
      </c>
      <c r="BF1434" t="s">
        <v>378</v>
      </c>
    </row>
    <row r="1435" spans="1:58" x14ac:dyDescent="0.45">
      <c r="A1435">
        <v>20230</v>
      </c>
      <c r="B1435">
        <v>1</v>
      </c>
      <c r="C1435">
        <v>76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18</v>
      </c>
      <c r="K1435">
        <v>6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Z1435">
        <v>1</v>
      </c>
      <c r="AA1435">
        <v>0</v>
      </c>
      <c r="AB1435">
        <v>0</v>
      </c>
      <c r="AC1435">
        <v>0</v>
      </c>
      <c r="AD1435">
        <v>1</v>
      </c>
      <c r="AE1435">
        <v>875</v>
      </c>
      <c r="AF1435">
        <v>0.33333333333333331</v>
      </c>
      <c r="AG1435">
        <v>1</v>
      </c>
      <c r="AH1435">
        <v>0</v>
      </c>
      <c r="AI1435">
        <v>0</v>
      </c>
      <c r="AJ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1.6800000000000002</v>
      </c>
      <c r="AX1435">
        <v>3</v>
      </c>
      <c r="AY1435">
        <v>757.8</v>
      </c>
      <c r="AZ1435">
        <v>85.2</v>
      </c>
      <c r="BA1435">
        <v>659</v>
      </c>
      <c r="BB1435">
        <v>807</v>
      </c>
      <c r="BC1435">
        <v>8</v>
      </c>
      <c r="BF1435" t="s">
        <v>434</v>
      </c>
    </row>
    <row r="1436" spans="1:58" x14ac:dyDescent="0.45">
      <c r="A1436">
        <v>20231</v>
      </c>
      <c r="B1436">
        <v>1</v>
      </c>
      <c r="C1436">
        <v>76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18</v>
      </c>
      <c r="K1436">
        <v>6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Z1436">
        <v>1</v>
      </c>
      <c r="AA1436">
        <v>0</v>
      </c>
      <c r="AB1436">
        <v>0</v>
      </c>
      <c r="AC1436">
        <v>0</v>
      </c>
      <c r="AD1436">
        <v>1</v>
      </c>
      <c r="AE1436">
        <v>875</v>
      </c>
      <c r="AF1436">
        <v>0.5</v>
      </c>
      <c r="AG1436">
        <v>1</v>
      </c>
      <c r="AH1436">
        <v>0</v>
      </c>
      <c r="AI1436">
        <v>0</v>
      </c>
      <c r="AJ1436">
        <v>1</v>
      </c>
      <c r="AK1436">
        <v>500</v>
      </c>
      <c r="AL1436">
        <v>6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1.6800000000000002</v>
      </c>
      <c r="AX1436">
        <v>3</v>
      </c>
      <c r="AY1436">
        <v>757.8</v>
      </c>
      <c r="AZ1436">
        <v>86.8</v>
      </c>
      <c r="BA1436">
        <v>733</v>
      </c>
      <c r="BB1436">
        <v>876</v>
      </c>
      <c r="BC1436">
        <v>8</v>
      </c>
      <c r="BF1436" t="s">
        <v>434</v>
      </c>
    </row>
    <row r="1437" spans="1:58" x14ac:dyDescent="0.45">
      <c r="A1437">
        <v>20232</v>
      </c>
      <c r="B1437">
        <v>1</v>
      </c>
      <c r="C1437">
        <v>62.5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16.100000000000001</v>
      </c>
      <c r="K1437">
        <v>15.3</v>
      </c>
      <c r="L1437">
        <v>0</v>
      </c>
      <c r="M1437">
        <v>6.1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1000</v>
      </c>
      <c r="Z1437">
        <v>0</v>
      </c>
      <c r="AA1437">
        <v>1</v>
      </c>
      <c r="AB1437">
        <v>0</v>
      </c>
      <c r="AC1437">
        <v>0</v>
      </c>
      <c r="AD1437">
        <v>1</v>
      </c>
      <c r="AE1437">
        <v>1200</v>
      </c>
      <c r="AF1437">
        <v>24</v>
      </c>
      <c r="AG1437">
        <v>1</v>
      </c>
      <c r="AH1437">
        <v>0</v>
      </c>
      <c r="AI1437">
        <v>0</v>
      </c>
      <c r="AJ1437">
        <v>1</v>
      </c>
      <c r="AK1437">
        <v>900</v>
      </c>
      <c r="AL1437">
        <v>0.16666666666666666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4.2840000000000007</v>
      </c>
      <c r="AX1437">
        <v>4.7166666666666668</v>
      </c>
      <c r="AY1437">
        <v>796.53</v>
      </c>
      <c r="AZ1437">
        <v>72.2</v>
      </c>
      <c r="BF1437" t="s">
        <v>401</v>
      </c>
    </row>
    <row r="1438" spans="1:58" x14ac:dyDescent="0.45">
      <c r="A1438">
        <v>20233</v>
      </c>
      <c r="B1438">
        <v>1</v>
      </c>
      <c r="C1438">
        <v>62.5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16.100000000000001</v>
      </c>
      <c r="K1438">
        <v>15.3</v>
      </c>
      <c r="L1438">
        <v>0</v>
      </c>
      <c r="M1438">
        <v>6.1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J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4.2840000000000007</v>
      </c>
      <c r="AX1438">
        <v>4.7166666666666668</v>
      </c>
      <c r="AY1438">
        <v>796.53</v>
      </c>
      <c r="AZ1438">
        <v>72</v>
      </c>
      <c r="BF1438" t="s">
        <v>401</v>
      </c>
    </row>
    <row r="1439" spans="1:58" x14ac:dyDescent="0.45">
      <c r="A1439">
        <v>20234</v>
      </c>
      <c r="B1439">
        <v>1</v>
      </c>
      <c r="C1439">
        <v>61.900000000000006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18.7</v>
      </c>
      <c r="K1439">
        <v>9.6</v>
      </c>
      <c r="L1439">
        <v>0</v>
      </c>
      <c r="M1439">
        <v>9.8000000000000007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1000</v>
      </c>
      <c r="Z1439">
        <v>0</v>
      </c>
      <c r="AA1439">
        <v>1</v>
      </c>
      <c r="AB1439">
        <v>0</v>
      </c>
      <c r="AC1439">
        <v>0</v>
      </c>
      <c r="AD1439">
        <v>1</v>
      </c>
      <c r="AE1439">
        <v>1200</v>
      </c>
      <c r="AF1439">
        <v>24</v>
      </c>
      <c r="AG1439">
        <v>1</v>
      </c>
      <c r="AH1439">
        <v>0</v>
      </c>
      <c r="AI1439">
        <v>0</v>
      </c>
      <c r="AJ1439">
        <v>1</v>
      </c>
      <c r="AK1439">
        <v>900</v>
      </c>
      <c r="AL1439">
        <v>0.16666666666666666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2.6880000000000002</v>
      </c>
      <c r="AX1439">
        <v>6.3833333333333337</v>
      </c>
      <c r="AY1439">
        <v>794.13</v>
      </c>
      <c r="AZ1439">
        <v>77.400000000000006</v>
      </c>
      <c r="BF1439" t="s">
        <v>401</v>
      </c>
    </row>
    <row r="1440" spans="1:58" x14ac:dyDescent="0.45">
      <c r="A1440">
        <v>20235</v>
      </c>
      <c r="B1440">
        <v>1</v>
      </c>
      <c r="C1440">
        <v>61.900000000000006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18.7</v>
      </c>
      <c r="K1440">
        <v>9.6</v>
      </c>
      <c r="L1440">
        <v>0</v>
      </c>
      <c r="M1440">
        <v>9.8000000000000007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J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2.6880000000000002</v>
      </c>
      <c r="AX1440">
        <v>6.3833333333333337</v>
      </c>
      <c r="AY1440">
        <v>794.13</v>
      </c>
      <c r="AZ1440">
        <v>77.2</v>
      </c>
      <c r="BF1440" t="s">
        <v>405</v>
      </c>
    </row>
    <row r="1441" spans="1:58" x14ac:dyDescent="0.45">
      <c r="A1441">
        <v>20236</v>
      </c>
      <c r="B1441">
        <v>1</v>
      </c>
      <c r="C1441">
        <v>67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12.1</v>
      </c>
      <c r="K1441">
        <v>6.3</v>
      </c>
      <c r="L1441">
        <v>2.9</v>
      </c>
      <c r="M1441">
        <v>11.7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0</v>
      </c>
      <c r="Z1441">
        <v>1</v>
      </c>
      <c r="AA1441">
        <v>0</v>
      </c>
      <c r="AB1441">
        <v>0</v>
      </c>
      <c r="AC1441">
        <v>0</v>
      </c>
      <c r="AD1441">
        <v>1</v>
      </c>
      <c r="AE1441">
        <v>1200</v>
      </c>
      <c r="AF1441">
        <v>24</v>
      </c>
      <c r="AG1441">
        <v>1</v>
      </c>
      <c r="AH1441">
        <v>0</v>
      </c>
      <c r="AI1441">
        <v>0</v>
      </c>
      <c r="AJ1441">
        <v>1</v>
      </c>
      <c r="AK1441">
        <v>900</v>
      </c>
      <c r="AL1441">
        <v>0.16666666666666666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4.6639999999999997</v>
      </c>
      <c r="AX1441">
        <v>5.9166666666666661</v>
      </c>
      <c r="AY1441">
        <v>820.1</v>
      </c>
      <c r="AZ1441">
        <v>52.6</v>
      </c>
      <c r="BF1441" t="s">
        <v>401</v>
      </c>
    </row>
    <row r="1442" spans="1:58" x14ac:dyDescent="0.45">
      <c r="A1442">
        <v>20237</v>
      </c>
      <c r="B1442">
        <v>1</v>
      </c>
      <c r="C1442">
        <v>66.8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11.8</v>
      </c>
      <c r="K1442">
        <v>5.8</v>
      </c>
      <c r="L1442">
        <v>3.9</v>
      </c>
      <c r="M1442">
        <v>11.7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Z1442">
        <v>1</v>
      </c>
      <c r="AA1442">
        <v>0</v>
      </c>
      <c r="AB1442">
        <v>0</v>
      </c>
      <c r="AC1442">
        <v>0</v>
      </c>
      <c r="AD1442">
        <v>1</v>
      </c>
      <c r="AE1442">
        <v>1200</v>
      </c>
      <c r="AF1442">
        <v>24</v>
      </c>
      <c r="AG1442">
        <v>1</v>
      </c>
      <c r="AH1442">
        <v>0</v>
      </c>
      <c r="AI1442">
        <v>0</v>
      </c>
      <c r="AJ1442">
        <v>1</v>
      </c>
      <c r="AK1442">
        <v>900</v>
      </c>
      <c r="AL1442">
        <v>0.16666666666666666</v>
      </c>
      <c r="AM1442">
        <v>1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5.524</v>
      </c>
      <c r="AX1442">
        <v>5.8666666666666671</v>
      </c>
      <c r="AY1442">
        <v>812.67000000000007</v>
      </c>
      <c r="AZ1442">
        <v>66.5</v>
      </c>
      <c r="BF1442" t="s">
        <v>401</v>
      </c>
    </row>
    <row r="1443" spans="1:58" x14ac:dyDescent="0.45">
      <c r="A1443">
        <v>20238</v>
      </c>
      <c r="B1443">
        <v>0</v>
      </c>
      <c r="C1443">
        <v>68.692000000000007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15.4</v>
      </c>
      <c r="K1443">
        <v>0</v>
      </c>
      <c r="L1443">
        <v>0</v>
      </c>
      <c r="M1443">
        <v>0</v>
      </c>
      <c r="N1443">
        <v>0</v>
      </c>
      <c r="O1443">
        <v>15.1</v>
      </c>
      <c r="P1443">
        <v>0</v>
      </c>
      <c r="Q1443">
        <v>0</v>
      </c>
      <c r="R1443">
        <v>0</v>
      </c>
      <c r="S1443">
        <v>2.8000000000000001E-2</v>
      </c>
      <c r="T1443">
        <v>0.78</v>
      </c>
      <c r="U1443">
        <v>0</v>
      </c>
      <c r="V1443">
        <v>1</v>
      </c>
      <c r="W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J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3.3220000000000001</v>
      </c>
      <c r="AX1443">
        <v>2.6474666666666669</v>
      </c>
      <c r="AY1443">
        <v>871.68000000000006</v>
      </c>
      <c r="AZ1443">
        <v>72.19</v>
      </c>
      <c r="BA1443">
        <v>663</v>
      </c>
      <c r="BB1443">
        <v>699</v>
      </c>
      <c r="BC1443">
        <v>24.82</v>
      </c>
      <c r="BF1443" t="s">
        <v>432</v>
      </c>
    </row>
    <row r="1444" spans="1:58" x14ac:dyDescent="0.45">
      <c r="A1444">
        <v>20239</v>
      </c>
      <c r="B1444">
        <v>1</v>
      </c>
      <c r="C1444">
        <v>80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10</v>
      </c>
      <c r="K1444">
        <v>5</v>
      </c>
      <c r="L1444">
        <v>0</v>
      </c>
      <c r="M1444">
        <v>0</v>
      </c>
      <c r="N1444">
        <v>0</v>
      </c>
      <c r="O1444">
        <v>5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J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</v>
      </c>
      <c r="AX1444">
        <v>1.6666666666666667</v>
      </c>
      <c r="AY1444">
        <v>813</v>
      </c>
      <c r="AZ1444">
        <v>51.97</v>
      </c>
      <c r="BF1444" t="s">
        <v>435</v>
      </c>
    </row>
    <row r="1445" spans="1:58" x14ac:dyDescent="0.45">
      <c r="A1445">
        <v>30001</v>
      </c>
      <c r="B1445">
        <v>1</v>
      </c>
      <c r="C1445">
        <v>65</v>
      </c>
      <c r="D1445">
        <v>0</v>
      </c>
      <c r="E1445">
        <v>0</v>
      </c>
      <c r="F1445">
        <v>0</v>
      </c>
      <c r="G1445">
        <v>0</v>
      </c>
      <c r="H1445">
        <v>2</v>
      </c>
      <c r="I1445">
        <v>0</v>
      </c>
      <c r="J1445">
        <v>10</v>
      </c>
      <c r="K1445">
        <v>23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782.2</v>
      </c>
      <c r="AF1445">
        <v>0</v>
      </c>
      <c r="AG1445">
        <v>1</v>
      </c>
      <c r="AH1445">
        <v>0</v>
      </c>
      <c r="AI1445">
        <v>0</v>
      </c>
      <c r="AJ1445">
        <v>0</v>
      </c>
      <c r="AP1445">
        <v>1</v>
      </c>
      <c r="AQ1445">
        <v>0</v>
      </c>
      <c r="AR1445">
        <v>1</v>
      </c>
      <c r="AS1445">
        <v>0</v>
      </c>
      <c r="AT1445">
        <v>0</v>
      </c>
      <c r="AU1445">
        <v>0</v>
      </c>
      <c r="AV1445">
        <v>0</v>
      </c>
      <c r="AW1445">
        <v>12.24</v>
      </c>
      <c r="AX1445">
        <v>1.6666666666666667</v>
      </c>
      <c r="AY1445">
        <v>782.2</v>
      </c>
      <c r="AZ1445">
        <v>79</v>
      </c>
      <c r="BA1445">
        <v>782</v>
      </c>
      <c r="BD1445">
        <v>252</v>
      </c>
      <c r="BE1445" t="s">
        <v>436</v>
      </c>
      <c r="BF1445" t="s">
        <v>531</v>
      </c>
    </row>
    <row r="1446" spans="1:58" x14ac:dyDescent="0.45">
      <c r="A1446">
        <v>30002</v>
      </c>
      <c r="B1446">
        <v>1</v>
      </c>
      <c r="C1446">
        <v>61.5</v>
      </c>
      <c r="D1446">
        <v>0</v>
      </c>
      <c r="E1446">
        <v>0</v>
      </c>
      <c r="F1446">
        <v>0</v>
      </c>
      <c r="G1446">
        <v>0</v>
      </c>
      <c r="H1446">
        <v>1.5</v>
      </c>
      <c r="I1446">
        <v>0</v>
      </c>
      <c r="J1446">
        <v>10</v>
      </c>
      <c r="K1446">
        <v>27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789.9</v>
      </c>
      <c r="AF1446">
        <v>0</v>
      </c>
      <c r="AG1446">
        <v>1</v>
      </c>
      <c r="AH1446">
        <v>0</v>
      </c>
      <c r="AI1446">
        <v>0</v>
      </c>
      <c r="AJ1446">
        <v>0</v>
      </c>
      <c r="AP1446">
        <v>1</v>
      </c>
      <c r="AQ1446">
        <v>0</v>
      </c>
      <c r="AR1446">
        <v>1</v>
      </c>
      <c r="AS1446">
        <v>0</v>
      </c>
      <c r="AT1446">
        <v>0</v>
      </c>
      <c r="AU1446">
        <v>0</v>
      </c>
      <c r="AV1446">
        <v>0</v>
      </c>
      <c r="AW1446">
        <v>11.91</v>
      </c>
      <c r="AX1446">
        <v>1.6666666666666667</v>
      </c>
      <c r="AY1446">
        <v>789.9</v>
      </c>
      <c r="AZ1446">
        <v>78</v>
      </c>
      <c r="BA1446">
        <v>735</v>
      </c>
      <c r="BD1446">
        <v>229</v>
      </c>
      <c r="BE1446" t="s">
        <v>436</v>
      </c>
      <c r="BF1446" t="s">
        <v>531</v>
      </c>
    </row>
    <row r="1447" spans="1:58" x14ac:dyDescent="0.45">
      <c r="A1447">
        <v>30003</v>
      </c>
      <c r="B1447">
        <v>1</v>
      </c>
      <c r="C1447">
        <v>58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10</v>
      </c>
      <c r="K1447">
        <v>31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797.6</v>
      </c>
      <c r="AF1447">
        <v>0</v>
      </c>
      <c r="AG1447">
        <v>1</v>
      </c>
      <c r="AH1447">
        <v>0</v>
      </c>
      <c r="AI1447">
        <v>0</v>
      </c>
      <c r="AJ1447">
        <v>0</v>
      </c>
      <c r="AP1447">
        <v>1</v>
      </c>
      <c r="AQ1447">
        <v>0</v>
      </c>
      <c r="AR1447">
        <v>1</v>
      </c>
      <c r="AS1447">
        <v>0</v>
      </c>
      <c r="AT1447">
        <v>0</v>
      </c>
      <c r="AU1447">
        <v>0</v>
      </c>
      <c r="AV1447">
        <v>0</v>
      </c>
      <c r="AW1447">
        <v>11.580000000000002</v>
      </c>
      <c r="AX1447">
        <v>1.6666666666666667</v>
      </c>
      <c r="AY1447">
        <v>797.6</v>
      </c>
      <c r="AZ1447">
        <v>77</v>
      </c>
      <c r="BA1447">
        <v>672</v>
      </c>
      <c r="BD1447">
        <v>218</v>
      </c>
      <c r="BE1447" t="s">
        <v>436</v>
      </c>
      <c r="BF1447" t="s">
        <v>531</v>
      </c>
    </row>
    <row r="1448" spans="1:58" x14ac:dyDescent="0.45">
      <c r="A1448">
        <v>30004</v>
      </c>
      <c r="B1448">
        <v>1</v>
      </c>
      <c r="C1448">
        <v>78.5</v>
      </c>
      <c r="D1448">
        <v>0</v>
      </c>
      <c r="E1448">
        <v>0</v>
      </c>
      <c r="F1448">
        <v>0</v>
      </c>
      <c r="G1448">
        <v>0</v>
      </c>
      <c r="H1448">
        <v>3.5</v>
      </c>
      <c r="I1448">
        <v>0</v>
      </c>
      <c r="J1448">
        <v>7</v>
      </c>
      <c r="K1448">
        <v>11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779.80000000000007</v>
      </c>
      <c r="AF1448">
        <v>0</v>
      </c>
      <c r="AG1448">
        <v>1</v>
      </c>
      <c r="AH1448">
        <v>0</v>
      </c>
      <c r="AI1448">
        <v>0</v>
      </c>
      <c r="AJ1448">
        <v>0</v>
      </c>
      <c r="AP1448">
        <v>1</v>
      </c>
      <c r="AQ1448">
        <v>0</v>
      </c>
      <c r="AR1448">
        <v>1</v>
      </c>
      <c r="AS1448">
        <v>0</v>
      </c>
      <c r="AT1448">
        <v>0</v>
      </c>
      <c r="AU1448">
        <v>1</v>
      </c>
      <c r="AV1448">
        <v>0</v>
      </c>
      <c r="AW1448">
        <v>13.23</v>
      </c>
      <c r="AX1448">
        <v>1.1666666666666667</v>
      </c>
      <c r="AY1448">
        <v>779.80000000000007</v>
      </c>
      <c r="AZ1448">
        <v>90</v>
      </c>
      <c r="BA1448">
        <v>1011</v>
      </c>
      <c r="BD1448">
        <v>358</v>
      </c>
      <c r="BE1448" t="s">
        <v>437</v>
      </c>
      <c r="BF1448" t="s">
        <v>532</v>
      </c>
    </row>
    <row r="1449" spans="1:58" x14ac:dyDescent="0.45">
      <c r="A1449">
        <v>30005</v>
      </c>
      <c r="B1449">
        <v>1</v>
      </c>
      <c r="C1449">
        <v>72.5</v>
      </c>
      <c r="D1449">
        <v>0</v>
      </c>
      <c r="E1449">
        <v>0</v>
      </c>
      <c r="F1449">
        <v>0</v>
      </c>
      <c r="G1449">
        <v>0</v>
      </c>
      <c r="H1449">
        <v>2.5</v>
      </c>
      <c r="I1449">
        <v>0</v>
      </c>
      <c r="J1449">
        <v>0</v>
      </c>
      <c r="K1449">
        <v>19</v>
      </c>
      <c r="L1449">
        <v>0</v>
      </c>
      <c r="M1449">
        <v>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868.7</v>
      </c>
      <c r="AF1449">
        <v>0</v>
      </c>
      <c r="AG1449">
        <v>1</v>
      </c>
      <c r="AH1449">
        <v>0</v>
      </c>
      <c r="AI1449">
        <v>0</v>
      </c>
      <c r="AJ1449">
        <v>0</v>
      </c>
      <c r="AP1449">
        <v>1</v>
      </c>
      <c r="AQ1449">
        <v>0</v>
      </c>
      <c r="AR1449">
        <v>1</v>
      </c>
      <c r="AS1449">
        <v>0</v>
      </c>
      <c r="AT1449">
        <v>0</v>
      </c>
      <c r="AU1449">
        <v>1</v>
      </c>
      <c r="AV1449">
        <v>0</v>
      </c>
      <c r="AW1449">
        <v>12.57</v>
      </c>
      <c r="AX1449">
        <v>2</v>
      </c>
      <c r="AY1449">
        <v>868.7</v>
      </c>
      <c r="AZ1449">
        <v>71</v>
      </c>
      <c r="BA1449">
        <v>765</v>
      </c>
      <c r="BD1449">
        <v>260</v>
      </c>
      <c r="BE1449" t="s">
        <v>437</v>
      </c>
      <c r="BF1449" t="s">
        <v>532</v>
      </c>
    </row>
    <row r="1450" spans="1:58" x14ac:dyDescent="0.45">
      <c r="A1450">
        <v>30006</v>
      </c>
      <c r="B1450">
        <v>1</v>
      </c>
      <c r="C1450">
        <v>68.5</v>
      </c>
      <c r="D1450">
        <v>0</v>
      </c>
      <c r="E1450">
        <v>0</v>
      </c>
      <c r="F1450">
        <v>0</v>
      </c>
      <c r="G1450">
        <v>0</v>
      </c>
      <c r="H1450">
        <v>2.5</v>
      </c>
      <c r="I1450">
        <v>0</v>
      </c>
      <c r="J1450">
        <v>10</v>
      </c>
      <c r="K1450">
        <v>19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774.5</v>
      </c>
      <c r="AF1450">
        <v>0</v>
      </c>
      <c r="AG1450">
        <v>1</v>
      </c>
      <c r="AH1450">
        <v>0</v>
      </c>
      <c r="AI1450">
        <v>0</v>
      </c>
      <c r="AJ1450">
        <v>0</v>
      </c>
      <c r="AP1450">
        <v>1</v>
      </c>
      <c r="AQ1450">
        <v>0</v>
      </c>
      <c r="AR1450">
        <v>1</v>
      </c>
      <c r="AS1450">
        <v>0</v>
      </c>
      <c r="AT1450">
        <v>0</v>
      </c>
      <c r="AU1450">
        <v>1</v>
      </c>
      <c r="AV1450">
        <v>0</v>
      </c>
      <c r="AW1450">
        <v>12.57</v>
      </c>
      <c r="AX1450">
        <v>1.6666666666666667</v>
      </c>
      <c r="AY1450">
        <v>774.5</v>
      </c>
      <c r="AZ1450">
        <v>69</v>
      </c>
      <c r="BA1450">
        <v>1027</v>
      </c>
      <c r="BD1450">
        <v>267</v>
      </c>
      <c r="BE1450" t="s">
        <v>437</v>
      </c>
      <c r="BF1450" t="s">
        <v>532</v>
      </c>
    </row>
    <row r="1451" spans="1:58" x14ac:dyDescent="0.45">
      <c r="A1451">
        <v>30007</v>
      </c>
      <c r="B1451">
        <v>1</v>
      </c>
      <c r="C1451">
        <v>68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31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  <c r="AE1451">
        <v>866.6</v>
      </c>
      <c r="AF1451">
        <v>0</v>
      </c>
      <c r="AG1451">
        <v>1</v>
      </c>
      <c r="AH1451">
        <v>0</v>
      </c>
      <c r="AI1451">
        <v>0</v>
      </c>
      <c r="AJ1451">
        <v>0</v>
      </c>
      <c r="AP1451">
        <v>1</v>
      </c>
      <c r="AQ1451">
        <v>0</v>
      </c>
      <c r="AR1451">
        <v>1</v>
      </c>
      <c r="AS1451">
        <v>0</v>
      </c>
      <c r="AT1451">
        <v>0</v>
      </c>
      <c r="AU1451">
        <v>1</v>
      </c>
      <c r="AV1451">
        <v>0</v>
      </c>
      <c r="AW1451">
        <v>11.580000000000002</v>
      </c>
      <c r="AX1451">
        <v>0</v>
      </c>
      <c r="AY1451">
        <v>866.6</v>
      </c>
      <c r="AZ1451">
        <v>81</v>
      </c>
      <c r="BA1451">
        <v>477</v>
      </c>
      <c r="BD1451">
        <v>230</v>
      </c>
      <c r="BE1451" t="s">
        <v>438</v>
      </c>
      <c r="BF1451" t="s">
        <v>533</v>
      </c>
    </row>
    <row r="1452" spans="1:58" x14ac:dyDescent="0.45">
      <c r="A1452">
        <v>30008</v>
      </c>
      <c r="B1452">
        <v>1</v>
      </c>
      <c r="C1452">
        <v>71.5</v>
      </c>
      <c r="D1452">
        <v>0</v>
      </c>
      <c r="E1452">
        <v>0</v>
      </c>
      <c r="F1452">
        <v>0</v>
      </c>
      <c r="G1452">
        <v>0</v>
      </c>
      <c r="H1452">
        <v>1.5</v>
      </c>
      <c r="I1452">
        <v>0</v>
      </c>
      <c r="J1452">
        <v>0</v>
      </c>
      <c r="K1452">
        <v>27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858.9</v>
      </c>
      <c r="AF1452">
        <v>0</v>
      </c>
      <c r="AG1452">
        <v>1</v>
      </c>
      <c r="AH1452">
        <v>0</v>
      </c>
      <c r="AI1452">
        <v>0</v>
      </c>
      <c r="AJ1452">
        <v>0</v>
      </c>
      <c r="AP1452">
        <v>1</v>
      </c>
      <c r="AQ1452">
        <v>0</v>
      </c>
      <c r="AR1452">
        <v>1</v>
      </c>
      <c r="AS1452">
        <v>0</v>
      </c>
      <c r="AT1452">
        <v>0</v>
      </c>
      <c r="AU1452">
        <v>1</v>
      </c>
      <c r="AV1452">
        <v>0</v>
      </c>
      <c r="AW1452">
        <v>11.91</v>
      </c>
      <c r="AX1452">
        <v>0</v>
      </c>
      <c r="AY1452">
        <v>858.9</v>
      </c>
      <c r="AZ1452">
        <v>94</v>
      </c>
      <c r="BA1452">
        <v>496</v>
      </c>
      <c r="BD1452">
        <v>277</v>
      </c>
      <c r="BE1452" t="s">
        <v>438</v>
      </c>
      <c r="BF1452" t="s">
        <v>533</v>
      </c>
    </row>
    <row r="1453" spans="1:58" x14ac:dyDescent="0.45">
      <c r="A1453">
        <v>30009</v>
      </c>
      <c r="B1453">
        <v>1</v>
      </c>
      <c r="C1453">
        <v>75</v>
      </c>
      <c r="D1453">
        <v>0</v>
      </c>
      <c r="E1453">
        <v>0</v>
      </c>
      <c r="F1453">
        <v>0</v>
      </c>
      <c r="G1453">
        <v>0</v>
      </c>
      <c r="H1453">
        <v>2</v>
      </c>
      <c r="I1453">
        <v>0</v>
      </c>
      <c r="J1453">
        <v>0</v>
      </c>
      <c r="K1453">
        <v>23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851.2</v>
      </c>
      <c r="AF1453">
        <v>0</v>
      </c>
      <c r="AG1453">
        <v>1</v>
      </c>
      <c r="AH1453">
        <v>0</v>
      </c>
      <c r="AI1453">
        <v>0</v>
      </c>
      <c r="AJ1453">
        <v>0</v>
      </c>
      <c r="AP1453">
        <v>1</v>
      </c>
      <c r="AQ1453">
        <v>0</v>
      </c>
      <c r="AR1453">
        <v>1</v>
      </c>
      <c r="AS1453">
        <v>0</v>
      </c>
      <c r="AT1453">
        <v>0</v>
      </c>
      <c r="AU1453">
        <v>1</v>
      </c>
      <c r="AV1453">
        <v>0</v>
      </c>
      <c r="AW1453">
        <v>12.24</v>
      </c>
      <c r="AX1453">
        <v>0</v>
      </c>
      <c r="AY1453">
        <v>851.2</v>
      </c>
      <c r="AZ1453">
        <v>95</v>
      </c>
      <c r="BA1453">
        <v>604</v>
      </c>
      <c r="BD1453">
        <v>314</v>
      </c>
      <c r="BE1453" t="s">
        <v>438</v>
      </c>
      <c r="BF1453" t="s">
        <v>533</v>
      </c>
    </row>
    <row r="1454" spans="1:58" x14ac:dyDescent="0.45">
      <c r="A1454">
        <v>30010</v>
      </c>
      <c r="B1454">
        <v>1</v>
      </c>
      <c r="C1454">
        <v>78.5</v>
      </c>
      <c r="D1454">
        <v>0</v>
      </c>
      <c r="E1454">
        <v>0</v>
      </c>
      <c r="F1454">
        <v>0</v>
      </c>
      <c r="G1454">
        <v>0</v>
      </c>
      <c r="H1454">
        <v>2.5</v>
      </c>
      <c r="I1454">
        <v>0</v>
      </c>
      <c r="J1454">
        <v>0</v>
      </c>
      <c r="K1454">
        <v>19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843.5</v>
      </c>
      <c r="AF1454">
        <v>0</v>
      </c>
      <c r="AG1454">
        <v>1</v>
      </c>
      <c r="AH1454">
        <v>0</v>
      </c>
      <c r="AI1454">
        <v>0</v>
      </c>
      <c r="AJ1454">
        <v>0</v>
      </c>
      <c r="AP1454">
        <v>1</v>
      </c>
      <c r="AQ1454">
        <v>0</v>
      </c>
      <c r="AR1454">
        <v>1</v>
      </c>
      <c r="AS1454">
        <v>0</v>
      </c>
      <c r="AT1454">
        <v>0</v>
      </c>
      <c r="AU1454">
        <v>1</v>
      </c>
      <c r="AV1454">
        <v>0</v>
      </c>
      <c r="AW1454">
        <v>12.57</v>
      </c>
      <c r="AX1454">
        <v>0</v>
      </c>
      <c r="AY1454">
        <v>843.5</v>
      </c>
      <c r="AZ1454">
        <v>90</v>
      </c>
      <c r="BA1454">
        <v>672</v>
      </c>
      <c r="BD1454">
        <v>334</v>
      </c>
      <c r="BE1454" t="s">
        <v>438</v>
      </c>
      <c r="BF1454" t="s">
        <v>533</v>
      </c>
    </row>
    <row r="1455" spans="1:58" x14ac:dyDescent="0.45">
      <c r="A1455">
        <v>30011</v>
      </c>
      <c r="B1455">
        <v>1</v>
      </c>
      <c r="C1455">
        <v>82</v>
      </c>
      <c r="D1455">
        <v>0</v>
      </c>
      <c r="E1455">
        <v>0</v>
      </c>
      <c r="F1455">
        <v>0</v>
      </c>
      <c r="G1455">
        <v>0</v>
      </c>
      <c r="H1455">
        <v>3</v>
      </c>
      <c r="I1455">
        <v>0</v>
      </c>
      <c r="J1455">
        <v>0</v>
      </c>
      <c r="K1455">
        <v>15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835.8</v>
      </c>
      <c r="AF1455">
        <v>0</v>
      </c>
      <c r="AG1455">
        <v>1</v>
      </c>
      <c r="AH1455">
        <v>0</v>
      </c>
      <c r="AI1455">
        <v>0</v>
      </c>
      <c r="AJ1455">
        <v>0</v>
      </c>
      <c r="AP1455">
        <v>1</v>
      </c>
      <c r="AQ1455">
        <v>0</v>
      </c>
      <c r="AR1455">
        <v>1</v>
      </c>
      <c r="AS1455">
        <v>0</v>
      </c>
      <c r="AT1455">
        <v>0</v>
      </c>
      <c r="AU1455">
        <v>1</v>
      </c>
      <c r="AV1455">
        <v>0</v>
      </c>
      <c r="AW1455">
        <v>12.899999999999999</v>
      </c>
      <c r="AX1455">
        <v>0</v>
      </c>
      <c r="AY1455">
        <v>835.8</v>
      </c>
      <c r="AZ1455">
        <v>94</v>
      </c>
      <c r="BA1455">
        <v>695</v>
      </c>
      <c r="BD1455">
        <v>362</v>
      </c>
      <c r="BE1455" t="s">
        <v>438</v>
      </c>
      <c r="BF1455" t="s">
        <v>533</v>
      </c>
    </row>
    <row r="1456" spans="1:58" x14ac:dyDescent="0.45">
      <c r="A1456">
        <v>30012</v>
      </c>
      <c r="B1456">
        <v>1</v>
      </c>
      <c r="C1456">
        <v>85.5</v>
      </c>
      <c r="D1456">
        <v>0</v>
      </c>
      <c r="E1456">
        <v>0</v>
      </c>
      <c r="F1456">
        <v>0</v>
      </c>
      <c r="G1456">
        <v>0</v>
      </c>
      <c r="H1456">
        <v>3.5</v>
      </c>
      <c r="I1456">
        <v>0</v>
      </c>
      <c r="J1456">
        <v>0</v>
      </c>
      <c r="K1456">
        <v>11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828.1</v>
      </c>
      <c r="AF1456">
        <v>0</v>
      </c>
      <c r="AG1456">
        <v>1</v>
      </c>
      <c r="AH1456">
        <v>0</v>
      </c>
      <c r="AI1456">
        <v>0</v>
      </c>
      <c r="AJ1456">
        <v>0</v>
      </c>
      <c r="AP1456">
        <v>1</v>
      </c>
      <c r="AQ1456">
        <v>0</v>
      </c>
      <c r="AR1456">
        <v>1</v>
      </c>
      <c r="AS1456">
        <v>0</v>
      </c>
      <c r="AT1456">
        <v>0</v>
      </c>
      <c r="AU1456">
        <v>1</v>
      </c>
      <c r="AV1456">
        <v>0</v>
      </c>
      <c r="AW1456">
        <v>13.23</v>
      </c>
      <c r="AX1456">
        <v>0</v>
      </c>
      <c r="AY1456">
        <v>828.1</v>
      </c>
      <c r="AZ1456">
        <v>97</v>
      </c>
      <c r="BA1456">
        <v>715</v>
      </c>
      <c r="BD1456">
        <v>382</v>
      </c>
      <c r="BE1456" t="s">
        <v>438</v>
      </c>
      <c r="BF1456" t="s">
        <v>533</v>
      </c>
    </row>
    <row r="1457" spans="1:58" x14ac:dyDescent="0.45">
      <c r="A1457">
        <v>30013</v>
      </c>
      <c r="B1457">
        <v>1</v>
      </c>
      <c r="C1457">
        <v>70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30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882</v>
      </c>
      <c r="AF1457">
        <v>0</v>
      </c>
      <c r="AG1457">
        <v>1</v>
      </c>
      <c r="AH1457">
        <v>0</v>
      </c>
      <c r="AI1457">
        <v>0</v>
      </c>
      <c r="AJ1457">
        <v>0</v>
      </c>
      <c r="AP1457">
        <v>1</v>
      </c>
      <c r="AQ1457">
        <v>0</v>
      </c>
      <c r="AR1457">
        <v>1</v>
      </c>
      <c r="AS1457">
        <v>0</v>
      </c>
      <c r="AT1457">
        <v>0</v>
      </c>
      <c r="AU1457">
        <v>1</v>
      </c>
      <c r="AV1457">
        <v>0</v>
      </c>
      <c r="AW1457">
        <v>8.4</v>
      </c>
      <c r="AX1457">
        <v>0</v>
      </c>
      <c r="AY1457">
        <v>882</v>
      </c>
      <c r="AZ1457">
        <v>79</v>
      </c>
      <c r="BA1457">
        <v>348</v>
      </c>
      <c r="BB1457">
        <v>601</v>
      </c>
      <c r="BD1457">
        <v>202</v>
      </c>
      <c r="BE1457" t="s">
        <v>439</v>
      </c>
      <c r="BF1457" t="s">
        <v>534</v>
      </c>
    </row>
    <row r="1458" spans="1:58" x14ac:dyDescent="0.45">
      <c r="A1458">
        <v>30014</v>
      </c>
      <c r="B1458">
        <v>1</v>
      </c>
      <c r="C1458">
        <v>69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30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866.6</v>
      </c>
      <c r="AF1458">
        <v>0</v>
      </c>
      <c r="AG1458">
        <v>1</v>
      </c>
      <c r="AH1458">
        <v>0</v>
      </c>
      <c r="AI1458">
        <v>0</v>
      </c>
      <c r="AJ1458">
        <v>0</v>
      </c>
      <c r="AP1458">
        <v>1</v>
      </c>
      <c r="AQ1458">
        <v>0</v>
      </c>
      <c r="AR1458">
        <v>1</v>
      </c>
      <c r="AS1458">
        <v>0</v>
      </c>
      <c r="AT1458">
        <v>0</v>
      </c>
      <c r="AU1458">
        <v>1</v>
      </c>
      <c r="AV1458">
        <v>0</v>
      </c>
      <c r="AW1458">
        <v>11.3</v>
      </c>
      <c r="AX1458">
        <v>0</v>
      </c>
      <c r="AY1458">
        <v>866.6</v>
      </c>
      <c r="AZ1458">
        <v>79</v>
      </c>
      <c r="BA1458">
        <v>606</v>
      </c>
      <c r="BB1458">
        <v>633</v>
      </c>
      <c r="BD1458">
        <v>284</v>
      </c>
      <c r="BE1458" t="s">
        <v>439</v>
      </c>
      <c r="BF1458" t="s">
        <v>534</v>
      </c>
    </row>
    <row r="1459" spans="1:58" x14ac:dyDescent="0.45">
      <c r="A1459">
        <v>30015</v>
      </c>
      <c r="B1459">
        <v>1</v>
      </c>
      <c r="C1459">
        <v>67</v>
      </c>
      <c r="D1459">
        <v>0</v>
      </c>
      <c r="E1459">
        <v>0</v>
      </c>
      <c r="F1459">
        <v>0</v>
      </c>
      <c r="G1459">
        <v>0</v>
      </c>
      <c r="H1459">
        <v>3</v>
      </c>
      <c r="I1459">
        <v>0</v>
      </c>
      <c r="J1459">
        <v>0</v>
      </c>
      <c r="K1459">
        <v>30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835.8</v>
      </c>
      <c r="AF1459">
        <v>0</v>
      </c>
      <c r="AG1459">
        <v>1</v>
      </c>
      <c r="AH1459">
        <v>0</v>
      </c>
      <c r="AI1459">
        <v>0</v>
      </c>
      <c r="AJ1459">
        <v>0</v>
      </c>
      <c r="AP1459">
        <v>1</v>
      </c>
      <c r="AQ1459">
        <v>0</v>
      </c>
      <c r="AR1459">
        <v>1</v>
      </c>
      <c r="AS1459">
        <v>0</v>
      </c>
      <c r="AT1459">
        <v>0</v>
      </c>
      <c r="AU1459">
        <v>1</v>
      </c>
      <c r="AV1459">
        <v>0</v>
      </c>
      <c r="AW1459">
        <v>17.100000000000001</v>
      </c>
      <c r="AX1459">
        <v>0</v>
      </c>
      <c r="AY1459">
        <v>835.8</v>
      </c>
      <c r="AZ1459">
        <v>78</v>
      </c>
      <c r="BA1459">
        <v>625</v>
      </c>
      <c r="BB1459">
        <v>656</v>
      </c>
      <c r="BD1459">
        <v>255</v>
      </c>
      <c r="BE1459" t="s">
        <v>439</v>
      </c>
      <c r="BF1459" t="s">
        <v>534</v>
      </c>
    </row>
    <row r="1460" spans="1:58" x14ac:dyDescent="0.45">
      <c r="A1460">
        <v>30016</v>
      </c>
      <c r="B1460">
        <v>1</v>
      </c>
      <c r="C1460">
        <v>65</v>
      </c>
      <c r="D1460">
        <v>0</v>
      </c>
      <c r="E1460">
        <v>0</v>
      </c>
      <c r="F1460">
        <v>0</v>
      </c>
      <c r="G1460">
        <v>0</v>
      </c>
      <c r="H1460">
        <v>5</v>
      </c>
      <c r="I1460">
        <v>0</v>
      </c>
      <c r="J1460">
        <v>0</v>
      </c>
      <c r="K1460">
        <v>30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805</v>
      </c>
      <c r="AF1460">
        <v>0</v>
      </c>
      <c r="AG1460">
        <v>1</v>
      </c>
      <c r="AH1460">
        <v>0</v>
      </c>
      <c r="AI1460">
        <v>0</v>
      </c>
      <c r="AJ1460">
        <v>0</v>
      </c>
      <c r="AP1460">
        <v>1</v>
      </c>
      <c r="AQ1460">
        <v>0</v>
      </c>
      <c r="AR1460">
        <v>1</v>
      </c>
      <c r="AS1460">
        <v>0</v>
      </c>
      <c r="AT1460">
        <v>0</v>
      </c>
      <c r="AU1460">
        <v>1</v>
      </c>
      <c r="AV1460">
        <v>0</v>
      </c>
      <c r="AW1460">
        <v>22.9</v>
      </c>
      <c r="AX1460">
        <v>0</v>
      </c>
      <c r="AY1460">
        <v>805</v>
      </c>
      <c r="AZ1460">
        <v>79</v>
      </c>
      <c r="BA1460">
        <v>629</v>
      </c>
      <c r="BB1460">
        <v>689</v>
      </c>
      <c r="BD1460">
        <v>246</v>
      </c>
      <c r="BE1460" t="s">
        <v>439</v>
      </c>
      <c r="BF1460" t="s">
        <v>534</v>
      </c>
    </row>
    <row r="1461" spans="1:58" x14ac:dyDescent="0.45">
      <c r="A1461">
        <v>30017</v>
      </c>
      <c r="B1461">
        <v>1</v>
      </c>
      <c r="C1461">
        <v>83</v>
      </c>
      <c r="D1461">
        <v>0</v>
      </c>
      <c r="E1461">
        <v>0</v>
      </c>
      <c r="F1461">
        <v>0</v>
      </c>
      <c r="G1461">
        <v>0</v>
      </c>
      <c r="H1461">
        <v>5</v>
      </c>
      <c r="I1461">
        <v>0</v>
      </c>
      <c r="J1461">
        <v>0</v>
      </c>
      <c r="K1461">
        <v>12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805</v>
      </c>
      <c r="AF1461">
        <v>0</v>
      </c>
      <c r="AG1461">
        <v>1</v>
      </c>
      <c r="AH1461">
        <v>0</v>
      </c>
      <c r="AI1461">
        <v>0</v>
      </c>
      <c r="AJ1461">
        <v>0</v>
      </c>
      <c r="AP1461">
        <v>1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17.86</v>
      </c>
      <c r="AX1461">
        <v>0</v>
      </c>
      <c r="AY1461">
        <v>805</v>
      </c>
      <c r="AZ1461">
        <v>90</v>
      </c>
      <c r="BA1461">
        <v>740</v>
      </c>
      <c r="BD1461">
        <v>293</v>
      </c>
      <c r="BE1461" t="s">
        <v>440</v>
      </c>
      <c r="BF1461" t="s">
        <v>535</v>
      </c>
    </row>
    <row r="1462" spans="1:58" x14ac:dyDescent="0.45">
      <c r="A1462">
        <v>30018</v>
      </c>
      <c r="B1462">
        <v>1</v>
      </c>
      <c r="C1462">
        <v>89</v>
      </c>
      <c r="D1462">
        <v>0</v>
      </c>
      <c r="E1462">
        <v>0</v>
      </c>
      <c r="F1462">
        <v>0</v>
      </c>
      <c r="G1462">
        <v>0</v>
      </c>
      <c r="H1462">
        <v>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820.4</v>
      </c>
      <c r="AF1462">
        <v>0</v>
      </c>
      <c r="AG1462">
        <v>1</v>
      </c>
      <c r="AH1462">
        <v>0</v>
      </c>
      <c r="AI1462">
        <v>0</v>
      </c>
      <c r="AJ1462">
        <v>0</v>
      </c>
      <c r="AP1462">
        <v>1</v>
      </c>
      <c r="AQ1462">
        <v>0</v>
      </c>
      <c r="AR1462">
        <v>1</v>
      </c>
      <c r="AS1462">
        <v>0</v>
      </c>
      <c r="AT1462">
        <v>1</v>
      </c>
      <c r="AU1462">
        <v>0</v>
      </c>
      <c r="AV1462">
        <v>0</v>
      </c>
      <c r="AW1462">
        <v>13.14</v>
      </c>
      <c r="AX1462">
        <v>0</v>
      </c>
      <c r="AY1462">
        <v>820.4</v>
      </c>
      <c r="AZ1462">
        <v>110</v>
      </c>
      <c r="BA1462">
        <v>1250</v>
      </c>
      <c r="BD1462">
        <v>430</v>
      </c>
      <c r="BE1462" t="s">
        <v>440</v>
      </c>
      <c r="BF1462" t="s">
        <v>535</v>
      </c>
    </row>
    <row r="1463" spans="1:58" x14ac:dyDescent="0.45">
      <c r="A1463">
        <v>30019</v>
      </c>
      <c r="B1463">
        <v>1</v>
      </c>
      <c r="C1463">
        <v>86</v>
      </c>
      <c r="D1463">
        <v>0</v>
      </c>
      <c r="E1463">
        <v>0</v>
      </c>
      <c r="F1463">
        <v>0</v>
      </c>
      <c r="G1463">
        <v>0</v>
      </c>
      <c r="H1463">
        <v>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820.4</v>
      </c>
      <c r="AF1463">
        <v>0</v>
      </c>
      <c r="AG1463">
        <v>1</v>
      </c>
      <c r="AH1463">
        <v>0</v>
      </c>
      <c r="AI1463">
        <v>0</v>
      </c>
      <c r="AJ1463">
        <v>0</v>
      </c>
      <c r="AP1463">
        <v>1</v>
      </c>
      <c r="AQ1463">
        <v>0</v>
      </c>
      <c r="AR1463">
        <v>1</v>
      </c>
      <c r="AS1463">
        <v>0</v>
      </c>
      <c r="AT1463">
        <v>0</v>
      </c>
      <c r="AU1463">
        <v>1</v>
      </c>
      <c r="AV1463">
        <v>0</v>
      </c>
      <c r="AW1463">
        <v>13.8</v>
      </c>
      <c r="AX1463">
        <v>0</v>
      </c>
      <c r="AY1463">
        <v>820.4</v>
      </c>
      <c r="AZ1463">
        <v>121</v>
      </c>
      <c r="BA1463">
        <v>1360</v>
      </c>
      <c r="BD1463">
        <v>410</v>
      </c>
      <c r="BE1463" t="s">
        <v>440</v>
      </c>
      <c r="BF1463" t="s">
        <v>535</v>
      </c>
    </row>
    <row r="1464" spans="1:58" x14ac:dyDescent="0.45">
      <c r="A1464">
        <v>30020</v>
      </c>
      <c r="B1464">
        <v>1</v>
      </c>
      <c r="C1464">
        <v>81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13</v>
      </c>
      <c r="M1464">
        <v>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783.7</v>
      </c>
      <c r="AF1464">
        <v>0</v>
      </c>
      <c r="AG1464">
        <v>1</v>
      </c>
      <c r="AH1464">
        <v>0</v>
      </c>
      <c r="AI1464">
        <v>0</v>
      </c>
      <c r="AJ1464">
        <v>0</v>
      </c>
      <c r="AP1464">
        <v>1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0</v>
      </c>
      <c r="AW1464">
        <v>13</v>
      </c>
      <c r="AX1464">
        <v>2</v>
      </c>
      <c r="AY1464">
        <v>783.7</v>
      </c>
      <c r="AZ1464">
        <v>66</v>
      </c>
      <c r="BA1464">
        <v>650</v>
      </c>
      <c r="BD1464">
        <v>314</v>
      </c>
      <c r="BE1464" t="s">
        <v>441</v>
      </c>
      <c r="BF1464" t="s">
        <v>536</v>
      </c>
    </row>
    <row r="1465" spans="1:58" x14ac:dyDescent="0.45">
      <c r="A1465">
        <v>30021</v>
      </c>
      <c r="B1465">
        <v>1</v>
      </c>
      <c r="C1465">
        <v>91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796.5</v>
      </c>
      <c r="AF1465">
        <v>0</v>
      </c>
      <c r="AG1465">
        <v>1</v>
      </c>
      <c r="AH1465">
        <v>0</v>
      </c>
      <c r="AI1465">
        <v>0</v>
      </c>
      <c r="AJ1465">
        <v>0</v>
      </c>
      <c r="AP1465">
        <v>1</v>
      </c>
      <c r="AQ1465">
        <v>0</v>
      </c>
      <c r="AR1465">
        <v>1</v>
      </c>
      <c r="AS1465">
        <v>0</v>
      </c>
      <c r="AT1465">
        <v>0</v>
      </c>
      <c r="AU1465">
        <v>1</v>
      </c>
      <c r="AV1465">
        <v>0</v>
      </c>
      <c r="AW1465">
        <v>9</v>
      </c>
      <c r="AX1465">
        <v>0</v>
      </c>
      <c r="AY1465">
        <v>796.5</v>
      </c>
      <c r="AZ1465">
        <v>91</v>
      </c>
      <c r="BA1465">
        <v>537</v>
      </c>
      <c r="BB1465">
        <v>852</v>
      </c>
      <c r="BD1465">
        <v>350</v>
      </c>
      <c r="BE1465" t="s">
        <v>442</v>
      </c>
      <c r="BF1465" t="s">
        <v>537</v>
      </c>
    </row>
    <row r="1466" spans="1:58" x14ac:dyDescent="0.45">
      <c r="A1466">
        <v>30022</v>
      </c>
      <c r="B1466">
        <v>1</v>
      </c>
      <c r="C1466">
        <v>89.5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9</v>
      </c>
      <c r="M1466">
        <v>1.5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802.8</v>
      </c>
      <c r="AF1466">
        <v>0</v>
      </c>
      <c r="AG1466">
        <v>1</v>
      </c>
      <c r="AH1466">
        <v>0</v>
      </c>
      <c r="AI1466">
        <v>0</v>
      </c>
      <c r="AJ1466">
        <v>0</v>
      </c>
      <c r="AP1466">
        <v>1</v>
      </c>
      <c r="AQ1466">
        <v>0</v>
      </c>
      <c r="AR1466">
        <v>1</v>
      </c>
      <c r="AS1466">
        <v>0</v>
      </c>
      <c r="AT1466">
        <v>0</v>
      </c>
      <c r="AU1466">
        <v>1</v>
      </c>
      <c r="AV1466">
        <v>0</v>
      </c>
      <c r="AW1466">
        <v>9</v>
      </c>
      <c r="AX1466">
        <v>0.5</v>
      </c>
      <c r="AY1466">
        <v>802.8</v>
      </c>
      <c r="AZ1466">
        <v>89</v>
      </c>
      <c r="BA1466">
        <v>511</v>
      </c>
      <c r="BB1466">
        <v>847</v>
      </c>
      <c r="BD1466">
        <v>312</v>
      </c>
      <c r="BE1466" t="s">
        <v>442</v>
      </c>
      <c r="BF1466" t="s">
        <v>537</v>
      </c>
    </row>
    <row r="1467" spans="1:58" x14ac:dyDescent="0.45">
      <c r="A1467">
        <v>30023</v>
      </c>
      <c r="B1467">
        <v>1</v>
      </c>
      <c r="C1467">
        <v>85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9</v>
      </c>
      <c r="M1467">
        <v>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821.7</v>
      </c>
      <c r="AF1467">
        <v>0</v>
      </c>
      <c r="AG1467">
        <v>1</v>
      </c>
      <c r="AH1467">
        <v>0</v>
      </c>
      <c r="AI1467">
        <v>0</v>
      </c>
      <c r="AJ1467">
        <v>0</v>
      </c>
      <c r="AP1467">
        <v>1</v>
      </c>
      <c r="AQ1467">
        <v>0</v>
      </c>
      <c r="AR1467">
        <v>1</v>
      </c>
      <c r="AS1467">
        <v>0</v>
      </c>
      <c r="AT1467">
        <v>0</v>
      </c>
      <c r="AU1467">
        <v>1</v>
      </c>
      <c r="AV1467">
        <v>0</v>
      </c>
      <c r="AW1467">
        <v>9</v>
      </c>
      <c r="AX1467">
        <v>2</v>
      </c>
      <c r="AY1467">
        <v>821.7</v>
      </c>
      <c r="AZ1467">
        <v>78</v>
      </c>
      <c r="BA1467">
        <v>441</v>
      </c>
      <c r="BB1467">
        <v>803</v>
      </c>
      <c r="BD1467">
        <v>271</v>
      </c>
      <c r="BE1467" t="s">
        <v>442</v>
      </c>
      <c r="BF1467" t="s">
        <v>537</v>
      </c>
    </row>
    <row r="1468" spans="1:58" x14ac:dyDescent="0.45">
      <c r="A1468">
        <v>30024</v>
      </c>
      <c r="B1468">
        <v>1</v>
      </c>
      <c r="C1468">
        <v>51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25</v>
      </c>
      <c r="K1468">
        <v>24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J1468">
        <v>0</v>
      </c>
      <c r="AP1468">
        <v>1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0</v>
      </c>
      <c r="AW1468">
        <v>6.7200000000000006</v>
      </c>
      <c r="AX1468">
        <v>4.166666666666667</v>
      </c>
      <c r="AY1468">
        <v>709.5</v>
      </c>
      <c r="AZ1468">
        <v>62</v>
      </c>
      <c r="BA1468">
        <v>810</v>
      </c>
      <c r="BD1468">
        <v>241.3</v>
      </c>
      <c r="BE1468" t="s">
        <v>443</v>
      </c>
      <c r="BF1468" t="s">
        <v>538</v>
      </c>
    </row>
    <row r="1469" spans="1:58" x14ac:dyDescent="0.45">
      <c r="A1469">
        <v>30025</v>
      </c>
      <c r="B1469">
        <v>1</v>
      </c>
      <c r="C1469">
        <v>38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32</v>
      </c>
      <c r="K1469">
        <v>30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J1469">
        <v>0</v>
      </c>
      <c r="AP1469">
        <v>1</v>
      </c>
      <c r="AQ1469">
        <v>0</v>
      </c>
      <c r="AR1469">
        <v>1</v>
      </c>
      <c r="AS1469">
        <v>0</v>
      </c>
      <c r="AT1469">
        <v>0</v>
      </c>
      <c r="AU1469">
        <v>0</v>
      </c>
      <c r="AV1469">
        <v>0</v>
      </c>
      <c r="AW1469">
        <v>8.4</v>
      </c>
      <c r="AX1469">
        <v>5.333333333333333</v>
      </c>
      <c r="AY1469">
        <v>661.2</v>
      </c>
      <c r="AZ1469">
        <v>65</v>
      </c>
      <c r="BA1469">
        <v>782</v>
      </c>
      <c r="BD1469">
        <v>244.4</v>
      </c>
      <c r="BE1469" t="s">
        <v>443</v>
      </c>
      <c r="BF1469" t="s">
        <v>538</v>
      </c>
    </row>
    <row r="1470" spans="1:58" x14ac:dyDescent="0.45">
      <c r="A1470">
        <v>30026</v>
      </c>
      <c r="B1470">
        <v>1</v>
      </c>
      <c r="C1470">
        <v>37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35</v>
      </c>
      <c r="K1470">
        <v>28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J1470">
        <v>0</v>
      </c>
      <c r="AP1470">
        <v>1</v>
      </c>
      <c r="AQ1470">
        <v>0</v>
      </c>
      <c r="AR1470">
        <v>1</v>
      </c>
      <c r="AS1470">
        <v>0</v>
      </c>
      <c r="AT1470">
        <v>0</v>
      </c>
      <c r="AU1470">
        <v>0</v>
      </c>
      <c r="AV1470">
        <v>0</v>
      </c>
      <c r="AW1470">
        <v>7.8400000000000007</v>
      </c>
      <c r="AX1470">
        <v>5.833333333333333</v>
      </c>
      <c r="AY1470">
        <v>640.5</v>
      </c>
      <c r="AZ1470">
        <v>64</v>
      </c>
      <c r="BA1470">
        <v>729</v>
      </c>
      <c r="BD1470">
        <v>244</v>
      </c>
      <c r="BE1470" t="s">
        <v>443</v>
      </c>
      <c r="BF1470" t="s">
        <v>538</v>
      </c>
    </row>
    <row r="1471" spans="1:58" x14ac:dyDescent="0.45">
      <c r="A1471">
        <v>30027</v>
      </c>
      <c r="B1471">
        <v>1</v>
      </c>
      <c r="C1471">
        <v>34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41</v>
      </c>
      <c r="K1471">
        <v>25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J1471">
        <v>0</v>
      </c>
      <c r="AP1471">
        <v>1</v>
      </c>
      <c r="AQ1471">
        <v>0</v>
      </c>
      <c r="AR1471">
        <v>1</v>
      </c>
      <c r="AS1471">
        <v>0</v>
      </c>
      <c r="AT1471">
        <v>0</v>
      </c>
      <c r="AU1471">
        <v>0</v>
      </c>
      <c r="AV1471">
        <v>0</v>
      </c>
      <c r="AW1471">
        <v>7.0000000000000009</v>
      </c>
      <c r="AX1471">
        <v>6.833333333333333</v>
      </c>
      <c r="AY1471">
        <v>599.09999999999991</v>
      </c>
      <c r="AZ1471">
        <v>63</v>
      </c>
      <c r="BA1471">
        <v>682</v>
      </c>
      <c r="BD1471">
        <v>235.6</v>
      </c>
      <c r="BE1471" t="s">
        <v>443</v>
      </c>
      <c r="BF1471" t="s">
        <v>538</v>
      </c>
    </row>
    <row r="1472" spans="1:58" x14ac:dyDescent="0.45">
      <c r="A1472">
        <v>30028</v>
      </c>
      <c r="B1472">
        <v>1</v>
      </c>
      <c r="C1472">
        <v>74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13</v>
      </c>
      <c r="K1472">
        <v>13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792.3</v>
      </c>
      <c r="AF1472">
        <v>0</v>
      </c>
      <c r="AG1472">
        <v>1</v>
      </c>
      <c r="AH1472">
        <v>0</v>
      </c>
      <c r="AI1472">
        <v>0</v>
      </c>
      <c r="AJ1472">
        <v>0</v>
      </c>
      <c r="AP1472">
        <v>1</v>
      </c>
      <c r="AQ1472">
        <v>0</v>
      </c>
      <c r="AR1472">
        <v>1</v>
      </c>
      <c r="AS1472">
        <v>0</v>
      </c>
      <c r="AT1472">
        <v>1</v>
      </c>
      <c r="AU1472">
        <v>0</v>
      </c>
      <c r="AV1472">
        <v>0</v>
      </c>
      <c r="AW1472">
        <v>3.6400000000000006</v>
      </c>
      <c r="AX1472">
        <v>2.1666666666666665</v>
      </c>
      <c r="AY1472">
        <v>792.3</v>
      </c>
      <c r="AZ1472">
        <v>66</v>
      </c>
      <c r="BA1472">
        <v>501</v>
      </c>
      <c r="BD1472">
        <v>220</v>
      </c>
      <c r="BE1472" t="s">
        <v>342</v>
      </c>
      <c r="BF1472" t="s">
        <v>539</v>
      </c>
    </row>
    <row r="1473" spans="1:58" x14ac:dyDescent="0.45">
      <c r="A1473">
        <v>30029</v>
      </c>
      <c r="B1473">
        <v>1</v>
      </c>
      <c r="C1473">
        <v>58.5</v>
      </c>
      <c r="D1473">
        <v>0</v>
      </c>
      <c r="E1473">
        <v>0</v>
      </c>
      <c r="F1473">
        <v>0</v>
      </c>
      <c r="G1473">
        <v>0</v>
      </c>
      <c r="H1473">
        <v>0.5</v>
      </c>
      <c r="I1473">
        <v>0</v>
      </c>
      <c r="J1473">
        <v>13</v>
      </c>
      <c r="K1473">
        <v>28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784.59999999999991</v>
      </c>
      <c r="AF1473">
        <v>0</v>
      </c>
      <c r="AG1473">
        <v>1</v>
      </c>
      <c r="AH1473">
        <v>0</v>
      </c>
      <c r="AI1473">
        <v>0</v>
      </c>
      <c r="AJ1473">
        <v>0</v>
      </c>
      <c r="AP1473">
        <v>1</v>
      </c>
      <c r="AQ1473">
        <v>0</v>
      </c>
      <c r="AR1473">
        <v>1</v>
      </c>
      <c r="AS1473">
        <v>0</v>
      </c>
      <c r="AT1473">
        <v>1</v>
      </c>
      <c r="AU1473">
        <v>0</v>
      </c>
      <c r="AV1473">
        <v>0</v>
      </c>
      <c r="AW1473">
        <v>9.2900000000000009</v>
      </c>
      <c r="AX1473">
        <v>2.1666666666666665</v>
      </c>
      <c r="AY1473">
        <v>784.59999999999991</v>
      </c>
      <c r="AZ1473">
        <v>58</v>
      </c>
      <c r="BA1473">
        <v>780</v>
      </c>
      <c r="BE1473" t="s">
        <v>444</v>
      </c>
      <c r="BF1473" t="s">
        <v>540</v>
      </c>
    </row>
    <row r="1474" spans="1:58" x14ac:dyDescent="0.45">
      <c r="A1474">
        <v>30030</v>
      </c>
      <c r="B1474">
        <v>1</v>
      </c>
      <c r="C1474">
        <v>70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10</v>
      </c>
      <c r="K1474">
        <v>19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797.6</v>
      </c>
      <c r="AF1474">
        <v>0</v>
      </c>
      <c r="AG1474">
        <v>1</v>
      </c>
      <c r="AH1474">
        <v>0</v>
      </c>
      <c r="AI1474">
        <v>0</v>
      </c>
      <c r="AJ1474">
        <v>0</v>
      </c>
      <c r="AP1474">
        <v>1</v>
      </c>
      <c r="AQ1474">
        <v>0</v>
      </c>
      <c r="AR1474">
        <v>1</v>
      </c>
      <c r="AS1474">
        <v>0</v>
      </c>
      <c r="AT1474">
        <v>0</v>
      </c>
      <c r="AU1474">
        <v>1</v>
      </c>
      <c r="AV1474">
        <v>0</v>
      </c>
      <c r="AW1474">
        <v>8.2200000000000006</v>
      </c>
      <c r="AX1474">
        <v>1.6666666666666667</v>
      </c>
      <c r="AY1474">
        <v>797.6</v>
      </c>
      <c r="AZ1474">
        <v>59</v>
      </c>
      <c r="BA1474">
        <v>553</v>
      </c>
      <c r="BB1474">
        <v>723</v>
      </c>
      <c r="BE1474" t="s">
        <v>445</v>
      </c>
      <c r="BF1474" t="s">
        <v>541</v>
      </c>
    </row>
    <row r="1475" spans="1:58" x14ac:dyDescent="0.45">
      <c r="A1475">
        <v>30031</v>
      </c>
      <c r="B1475">
        <v>1</v>
      </c>
      <c r="C1475">
        <v>60.5</v>
      </c>
      <c r="D1475">
        <v>0</v>
      </c>
      <c r="E1475">
        <v>0</v>
      </c>
      <c r="F1475">
        <v>0</v>
      </c>
      <c r="G1475">
        <v>0</v>
      </c>
      <c r="H1475">
        <v>1.5</v>
      </c>
      <c r="I1475">
        <v>0</v>
      </c>
      <c r="J1475">
        <v>6</v>
      </c>
      <c r="K1475">
        <v>32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817.5</v>
      </c>
      <c r="AF1475">
        <v>0</v>
      </c>
      <c r="AG1475">
        <v>1</v>
      </c>
      <c r="AH1475">
        <v>0</v>
      </c>
      <c r="AI1475">
        <v>0</v>
      </c>
      <c r="AJ1475">
        <v>0</v>
      </c>
      <c r="AP1475">
        <v>1</v>
      </c>
      <c r="AQ1475">
        <v>0</v>
      </c>
      <c r="AR1475">
        <v>1</v>
      </c>
      <c r="AS1475">
        <v>0</v>
      </c>
      <c r="AT1475">
        <v>0</v>
      </c>
      <c r="AU1475">
        <v>0</v>
      </c>
      <c r="AV1475">
        <v>0</v>
      </c>
      <c r="AW1475">
        <v>13.31</v>
      </c>
      <c r="AX1475">
        <v>1</v>
      </c>
      <c r="AY1475">
        <v>817.5</v>
      </c>
      <c r="AZ1475">
        <v>62</v>
      </c>
      <c r="BA1475">
        <v>1038</v>
      </c>
      <c r="BB1475">
        <v>1083</v>
      </c>
      <c r="BD1475">
        <v>218</v>
      </c>
      <c r="BE1475" t="s">
        <v>446</v>
      </c>
      <c r="BF1475" t="s">
        <v>542</v>
      </c>
    </row>
    <row r="1476" spans="1:58" x14ac:dyDescent="0.45">
      <c r="A1476">
        <v>30032</v>
      </c>
      <c r="B1476">
        <v>1</v>
      </c>
      <c r="C1476">
        <v>66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32</v>
      </c>
      <c r="L1476">
        <v>0</v>
      </c>
      <c r="M1476">
        <v>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890.4</v>
      </c>
      <c r="AF1476">
        <v>0</v>
      </c>
      <c r="AG1476">
        <v>1</v>
      </c>
      <c r="AH1476">
        <v>0</v>
      </c>
      <c r="AI1476">
        <v>0</v>
      </c>
      <c r="AJ1476">
        <v>0</v>
      </c>
      <c r="AP1476">
        <v>1</v>
      </c>
      <c r="AQ1476">
        <v>0</v>
      </c>
      <c r="AR1476">
        <v>1</v>
      </c>
      <c r="AS1476">
        <v>0</v>
      </c>
      <c r="AT1476">
        <v>0</v>
      </c>
      <c r="AU1476">
        <v>0</v>
      </c>
      <c r="AV1476">
        <v>0</v>
      </c>
      <c r="AW1476">
        <v>8.9600000000000009</v>
      </c>
      <c r="AX1476">
        <v>0.66666666666666663</v>
      </c>
      <c r="AY1476">
        <v>890.4</v>
      </c>
      <c r="AZ1476">
        <v>60</v>
      </c>
      <c r="BA1476">
        <v>665</v>
      </c>
      <c r="BD1476">
        <v>260</v>
      </c>
      <c r="BE1476" t="s">
        <v>259</v>
      </c>
      <c r="BF1476" t="s">
        <v>543</v>
      </c>
    </row>
    <row r="1477" spans="1:58" x14ac:dyDescent="0.45">
      <c r="A1477">
        <v>30033</v>
      </c>
      <c r="B1477">
        <v>1</v>
      </c>
      <c r="C1477">
        <v>32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22</v>
      </c>
      <c r="K1477">
        <v>8</v>
      </c>
      <c r="L1477">
        <v>0</v>
      </c>
      <c r="M1477">
        <v>0</v>
      </c>
      <c r="N1477">
        <v>0</v>
      </c>
      <c r="O1477">
        <v>38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730.2</v>
      </c>
      <c r="AF1477">
        <v>0</v>
      </c>
      <c r="AG1477">
        <v>1</v>
      </c>
      <c r="AH1477">
        <v>0</v>
      </c>
      <c r="AI1477">
        <v>0</v>
      </c>
      <c r="AJ1477">
        <v>0</v>
      </c>
      <c r="AP1477">
        <v>1</v>
      </c>
      <c r="AQ1477">
        <v>0</v>
      </c>
      <c r="AR1477">
        <v>1</v>
      </c>
      <c r="AS1477">
        <v>0</v>
      </c>
      <c r="AT1477">
        <v>0</v>
      </c>
      <c r="AU1477">
        <v>1</v>
      </c>
      <c r="AV1477">
        <v>0</v>
      </c>
      <c r="AW1477">
        <v>10.6</v>
      </c>
      <c r="AX1477">
        <v>3.6666666666666665</v>
      </c>
      <c r="AY1477">
        <v>730.2</v>
      </c>
      <c r="AZ1477">
        <v>73</v>
      </c>
      <c r="BA1477">
        <v>1107</v>
      </c>
      <c r="BD1477">
        <v>365</v>
      </c>
      <c r="BE1477" t="s">
        <v>447</v>
      </c>
      <c r="BF1477" t="s">
        <v>544</v>
      </c>
    </row>
    <row r="1478" spans="1:58" x14ac:dyDescent="0.45">
      <c r="A1478">
        <v>30034</v>
      </c>
      <c r="B1478">
        <v>1</v>
      </c>
      <c r="C1478">
        <v>31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25</v>
      </c>
      <c r="K1478">
        <v>5</v>
      </c>
      <c r="L1478">
        <v>0</v>
      </c>
      <c r="M1478">
        <v>0</v>
      </c>
      <c r="N1478">
        <v>0</v>
      </c>
      <c r="O1478">
        <v>39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709.5</v>
      </c>
      <c r="AF1478">
        <v>0</v>
      </c>
      <c r="AG1478">
        <v>1</v>
      </c>
      <c r="AH1478">
        <v>0</v>
      </c>
      <c r="AI1478">
        <v>0</v>
      </c>
      <c r="AJ1478">
        <v>0</v>
      </c>
      <c r="AP1478">
        <v>1</v>
      </c>
      <c r="AQ1478">
        <v>0</v>
      </c>
      <c r="AR1478">
        <v>1</v>
      </c>
      <c r="AS1478">
        <v>0</v>
      </c>
      <c r="AT1478">
        <v>0</v>
      </c>
      <c r="AU1478">
        <v>1</v>
      </c>
      <c r="AV1478">
        <v>0</v>
      </c>
      <c r="AW1478">
        <v>9.98</v>
      </c>
      <c r="AX1478">
        <v>4.166666666666667</v>
      </c>
      <c r="AY1478">
        <v>709.5</v>
      </c>
      <c r="AZ1478">
        <v>75</v>
      </c>
      <c r="BA1478">
        <v>932</v>
      </c>
      <c r="BD1478">
        <v>422</v>
      </c>
      <c r="BE1478" t="s">
        <v>447</v>
      </c>
      <c r="BF1478" t="s">
        <v>544</v>
      </c>
    </row>
    <row r="1479" spans="1:58" x14ac:dyDescent="0.45">
      <c r="A1479">
        <v>30035</v>
      </c>
      <c r="B1479">
        <v>1</v>
      </c>
      <c r="C1479">
        <v>30.5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28</v>
      </c>
      <c r="K1479">
        <v>2.5</v>
      </c>
      <c r="L1479">
        <v>0</v>
      </c>
      <c r="M1479">
        <v>0</v>
      </c>
      <c r="N1479">
        <v>0</v>
      </c>
      <c r="O1479">
        <v>39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688.8</v>
      </c>
      <c r="AF1479">
        <v>0</v>
      </c>
      <c r="AG1479">
        <v>1</v>
      </c>
      <c r="AH1479">
        <v>0</v>
      </c>
      <c r="AI1479">
        <v>0</v>
      </c>
      <c r="AJ1479">
        <v>0</v>
      </c>
      <c r="AP1479">
        <v>1</v>
      </c>
      <c r="AQ1479">
        <v>0</v>
      </c>
      <c r="AR1479">
        <v>1</v>
      </c>
      <c r="AS1479">
        <v>0</v>
      </c>
      <c r="AT1479">
        <v>0</v>
      </c>
      <c r="AU1479">
        <v>1</v>
      </c>
      <c r="AV1479">
        <v>0</v>
      </c>
      <c r="AW1479">
        <v>9.2799999999999994</v>
      </c>
      <c r="AX1479">
        <v>4.666666666666667</v>
      </c>
      <c r="AY1479">
        <v>688.8</v>
      </c>
      <c r="AZ1479">
        <v>77</v>
      </c>
      <c r="BA1479">
        <v>953</v>
      </c>
      <c r="BD1479">
        <v>433</v>
      </c>
      <c r="BE1479" t="s">
        <v>447</v>
      </c>
      <c r="BF1479" t="s">
        <v>544</v>
      </c>
    </row>
    <row r="1480" spans="1:58" x14ac:dyDescent="0.45">
      <c r="A1480">
        <v>30036</v>
      </c>
      <c r="B1480">
        <v>1</v>
      </c>
      <c r="C1480">
        <v>90</v>
      </c>
      <c r="D1480">
        <v>0</v>
      </c>
      <c r="E1480">
        <v>0</v>
      </c>
      <c r="F1480">
        <v>0</v>
      </c>
      <c r="G1480">
        <v>0</v>
      </c>
      <c r="H1480">
        <v>5</v>
      </c>
      <c r="I1480">
        <v>0</v>
      </c>
      <c r="J1480">
        <v>0</v>
      </c>
      <c r="K1480">
        <v>0</v>
      </c>
      <c r="L1480">
        <v>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757.5</v>
      </c>
      <c r="AF1480">
        <v>0</v>
      </c>
      <c r="AG1480">
        <v>1</v>
      </c>
      <c r="AH1480">
        <v>0</v>
      </c>
      <c r="AI1480">
        <v>0</v>
      </c>
      <c r="AJ1480">
        <v>0</v>
      </c>
      <c r="AP1480">
        <v>1</v>
      </c>
      <c r="AQ1480">
        <v>0</v>
      </c>
      <c r="AR1480">
        <v>1</v>
      </c>
      <c r="AS1480">
        <v>0</v>
      </c>
      <c r="AT1480">
        <v>1</v>
      </c>
      <c r="AU1480">
        <v>0</v>
      </c>
      <c r="AV1480">
        <v>0</v>
      </c>
      <c r="AW1480">
        <v>19.5</v>
      </c>
      <c r="AX1480">
        <v>0</v>
      </c>
      <c r="AY1480">
        <v>757.5</v>
      </c>
      <c r="AZ1480">
        <v>83</v>
      </c>
      <c r="BA1480">
        <v>936</v>
      </c>
      <c r="BD1480">
        <v>452</v>
      </c>
      <c r="BE1480" t="s">
        <v>448</v>
      </c>
      <c r="BF1480" t="s">
        <v>545</v>
      </c>
    </row>
    <row r="1481" spans="1:58" x14ac:dyDescent="0.45">
      <c r="A1481">
        <v>30037</v>
      </c>
      <c r="B1481">
        <v>1</v>
      </c>
      <c r="C1481">
        <v>54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12</v>
      </c>
      <c r="K1481">
        <v>26</v>
      </c>
      <c r="L1481">
        <v>8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723.2</v>
      </c>
      <c r="AF1481">
        <v>0</v>
      </c>
      <c r="AG1481">
        <v>1</v>
      </c>
      <c r="AH1481">
        <v>0</v>
      </c>
      <c r="AI1481">
        <v>0</v>
      </c>
      <c r="AJ1481">
        <v>0</v>
      </c>
      <c r="AP1481">
        <v>1</v>
      </c>
      <c r="AQ1481">
        <v>0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15.280000000000001</v>
      </c>
      <c r="AX1481">
        <v>2</v>
      </c>
      <c r="AY1481">
        <v>723.2</v>
      </c>
      <c r="AZ1481">
        <v>66.599999999999994</v>
      </c>
      <c r="BA1481">
        <v>754.7</v>
      </c>
      <c r="BB1481">
        <v>759</v>
      </c>
      <c r="BE1481" t="s">
        <v>449</v>
      </c>
      <c r="BF1481" t="s">
        <v>546</v>
      </c>
    </row>
    <row r="1482" spans="1:58" x14ac:dyDescent="0.45">
      <c r="A1482">
        <v>30038</v>
      </c>
      <c r="B1482">
        <v>1</v>
      </c>
      <c r="C1482">
        <v>65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30</v>
      </c>
      <c r="L1482">
        <v>1</v>
      </c>
      <c r="M1482">
        <v>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889.3</v>
      </c>
      <c r="AF1482">
        <v>0</v>
      </c>
      <c r="AG1482">
        <v>1</v>
      </c>
      <c r="AH1482">
        <v>0</v>
      </c>
      <c r="AI1482">
        <v>0</v>
      </c>
      <c r="AJ1482">
        <v>0</v>
      </c>
      <c r="AP1482">
        <v>1</v>
      </c>
      <c r="AQ1482">
        <v>0</v>
      </c>
      <c r="AR1482">
        <v>1</v>
      </c>
      <c r="AS1482">
        <v>0</v>
      </c>
      <c r="AT1482">
        <v>1</v>
      </c>
      <c r="AU1482">
        <v>0</v>
      </c>
      <c r="AV1482">
        <v>0</v>
      </c>
      <c r="AW1482">
        <v>9.4</v>
      </c>
      <c r="AX1482">
        <v>1.3333333333333333</v>
      </c>
      <c r="AY1482">
        <v>889.3</v>
      </c>
      <c r="AZ1482">
        <v>46</v>
      </c>
      <c r="BA1482">
        <v>130</v>
      </c>
      <c r="BB1482">
        <v>380</v>
      </c>
      <c r="BE1482" t="s">
        <v>450</v>
      </c>
      <c r="BF1482" t="s">
        <v>547</v>
      </c>
    </row>
    <row r="1483" spans="1:58" x14ac:dyDescent="0.45">
      <c r="A1483">
        <v>30039</v>
      </c>
      <c r="B1483">
        <v>1</v>
      </c>
      <c r="C1483">
        <v>53.4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4.5999999999999996</v>
      </c>
      <c r="K1483">
        <v>29</v>
      </c>
      <c r="L1483">
        <v>0</v>
      </c>
      <c r="M1483">
        <v>0</v>
      </c>
      <c r="N1483">
        <v>0</v>
      </c>
      <c r="O1483">
        <v>13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850.26</v>
      </c>
      <c r="AF1483">
        <v>0</v>
      </c>
      <c r="AG1483">
        <v>1</v>
      </c>
      <c r="AH1483">
        <v>0</v>
      </c>
      <c r="AI1483">
        <v>0</v>
      </c>
      <c r="AJ1483">
        <v>0</v>
      </c>
      <c r="AP1483">
        <v>1</v>
      </c>
      <c r="AQ1483">
        <v>0</v>
      </c>
      <c r="AR1483">
        <v>1</v>
      </c>
      <c r="AS1483">
        <v>0</v>
      </c>
      <c r="AT1483">
        <v>0</v>
      </c>
      <c r="AU1483">
        <v>0</v>
      </c>
      <c r="AV1483">
        <v>0</v>
      </c>
      <c r="AW1483">
        <v>10.98</v>
      </c>
      <c r="AX1483">
        <v>0.76666666666666661</v>
      </c>
      <c r="AY1483">
        <v>850.26</v>
      </c>
      <c r="AZ1483">
        <v>65</v>
      </c>
      <c r="BA1483">
        <v>600</v>
      </c>
      <c r="BB1483">
        <v>650</v>
      </c>
      <c r="BD1483">
        <v>175</v>
      </c>
      <c r="BE1483" t="s">
        <v>451</v>
      </c>
      <c r="BF1483" t="s">
        <v>548</v>
      </c>
    </row>
    <row r="1484" spans="1:58" x14ac:dyDescent="0.45">
      <c r="A1484">
        <v>30040</v>
      </c>
      <c r="B1484">
        <v>1</v>
      </c>
      <c r="C1484">
        <v>62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9</v>
      </c>
      <c r="K1484">
        <v>18</v>
      </c>
      <c r="L1484">
        <v>5</v>
      </c>
      <c r="M1484">
        <v>6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J1484">
        <v>0</v>
      </c>
      <c r="AP1484">
        <v>1</v>
      </c>
      <c r="AQ1484">
        <v>0</v>
      </c>
      <c r="AR1484">
        <v>1</v>
      </c>
      <c r="AS1484">
        <v>0</v>
      </c>
      <c r="AT1484">
        <v>1</v>
      </c>
      <c r="AU1484">
        <v>0</v>
      </c>
      <c r="AV1484">
        <v>0</v>
      </c>
      <c r="AW1484">
        <v>10.040000000000001</v>
      </c>
      <c r="AX1484">
        <v>3.5</v>
      </c>
      <c r="AY1484">
        <v>797.6</v>
      </c>
      <c r="AZ1484">
        <v>72</v>
      </c>
      <c r="BA1484">
        <v>499</v>
      </c>
      <c r="BB1484">
        <v>519</v>
      </c>
      <c r="BE1484" t="s">
        <v>304</v>
      </c>
      <c r="BF1484" t="s">
        <v>549</v>
      </c>
    </row>
    <row r="1485" spans="1:58" x14ac:dyDescent="0.45">
      <c r="A1485">
        <v>30041</v>
      </c>
      <c r="B1485">
        <v>1</v>
      </c>
      <c r="C1485">
        <v>66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9</v>
      </c>
      <c r="K1485">
        <v>14</v>
      </c>
      <c r="L1485">
        <v>5</v>
      </c>
      <c r="M1485">
        <v>6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J1485">
        <v>0</v>
      </c>
      <c r="AP1485">
        <v>1</v>
      </c>
      <c r="AQ1485">
        <v>0</v>
      </c>
      <c r="AR1485">
        <v>1</v>
      </c>
      <c r="AS1485">
        <v>0</v>
      </c>
      <c r="AT1485">
        <v>1</v>
      </c>
      <c r="AU1485">
        <v>0</v>
      </c>
      <c r="AV1485">
        <v>0</v>
      </c>
      <c r="AW1485">
        <v>8.92</v>
      </c>
      <c r="AX1485">
        <v>3.5</v>
      </c>
      <c r="AY1485">
        <v>797.6</v>
      </c>
      <c r="AZ1485">
        <v>56</v>
      </c>
      <c r="BA1485">
        <v>566</v>
      </c>
      <c r="BB1485">
        <v>701</v>
      </c>
      <c r="BE1485" t="s">
        <v>304</v>
      </c>
      <c r="BF1485" t="s">
        <v>549</v>
      </c>
    </row>
    <row r="1486" spans="1:58" x14ac:dyDescent="0.45">
      <c r="A1486">
        <v>30042</v>
      </c>
      <c r="B1486">
        <v>1</v>
      </c>
      <c r="C1486">
        <v>69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5</v>
      </c>
      <c r="K1486">
        <v>15</v>
      </c>
      <c r="L1486">
        <v>5</v>
      </c>
      <c r="M1486">
        <v>6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J1486">
        <v>0</v>
      </c>
      <c r="AP1486">
        <v>1</v>
      </c>
      <c r="AQ1486">
        <v>0</v>
      </c>
      <c r="AR1486">
        <v>1</v>
      </c>
      <c r="AS1486">
        <v>0</v>
      </c>
      <c r="AT1486">
        <v>1</v>
      </c>
      <c r="AU1486">
        <v>0</v>
      </c>
      <c r="AV1486">
        <v>0</v>
      </c>
      <c r="AW1486">
        <v>9.1999999999999993</v>
      </c>
      <c r="AX1486">
        <v>2.8333333333333335</v>
      </c>
      <c r="AY1486">
        <v>825.2</v>
      </c>
      <c r="AZ1486">
        <v>55</v>
      </c>
      <c r="BA1486">
        <v>533</v>
      </c>
      <c r="BB1486">
        <v>692</v>
      </c>
      <c r="BE1486" t="s">
        <v>304</v>
      </c>
      <c r="BF1486" t="s">
        <v>549</v>
      </c>
    </row>
    <row r="1487" spans="1:58" x14ac:dyDescent="0.45">
      <c r="A1487">
        <v>30043</v>
      </c>
      <c r="B1487">
        <v>0</v>
      </c>
      <c r="C1487">
        <v>57.7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7</v>
      </c>
      <c r="K1487">
        <v>32</v>
      </c>
      <c r="L1487">
        <v>0</v>
      </c>
      <c r="M1487">
        <v>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0.3</v>
      </c>
      <c r="U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883.2</v>
      </c>
      <c r="AF1487">
        <v>0</v>
      </c>
      <c r="AG1487">
        <v>1</v>
      </c>
      <c r="AH1487">
        <v>0</v>
      </c>
      <c r="AI1487">
        <v>0</v>
      </c>
      <c r="AJ1487">
        <v>0</v>
      </c>
      <c r="AP1487">
        <v>1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8.9600000000000009</v>
      </c>
      <c r="AX1487">
        <v>2.1966666666666668</v>
      </c>
      <c r="AY1487">
        <v>883.2</v>
      </c>
      <c r="AZ1487">
        <v>66.900000000000006</v>
      </c>
      <c r="BA1487">
        <v>806</v>
      </c>
      <c r="BB1487">
        <v>829</v>
      </c>
      <c r="BD1487">
        <v>282</v>
      </c>
      <c r="BE1487" t="s">
        <v>452</v>
      </c>
      <c r="BF1487" t="s">
        <v>550</v>
      </c>
    </row>
    <row r="1488" spans="1:58" x14ac:dyDescent="0.45">
      <c r="A1488">
        <v>30044</v>
      </c>
      <c r="B1488">
        <v>1</v>
      </c>
      <c r="C1488">
        <v>69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25</v>
      </c>
      <c r="L1488">
        <v>2</v>
      </c>
      <c r="M1488">
        <v>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879.8</v>
      </c>
      <c r="AF1488">
        <v>0</v>
      </c>
      <c r="AG1488">
        <v>1</v>
      </c>
      <c r="AH1488">
        <v>0</v>
      </c>
      <c r="AI1488">
        <v>0</v>
      </c>
      <c r="AJ1488">
        <v>0</v>
      </c>
      <c r="AP1488">
        <v>1</v>
      </c>
      <c r="AQ1488">
        <v>0</v>
      </c>
      <c r="AR1488">
        <v>1</v>
      </c>
      <c r="AS1488">
        <v>0</v>
      </c>
      <c r="AT1488">
        <v>1</v>
      </c>
      <c r="AU1488">
        <v>0</v>
      </c>
      <c r="AV1488">
        <v>0</v>
      </c>
      <c r="AW1488">
        <v>9</v>
      </c>
      <c r="AX1488">
        <v>1.3333333333333333</v>
      </c>
      <c r="AY1488">
        <v>879.8</v>
      </c>
      <c r="AZ1488">
        <v>53.1</v>
      </c>
      <c r="BA1488">
        <v>361</v>
      </c>
      <c r="BB1488">
        <v>511</v>
      </c>
      <c r="BE1488" t="s">
        <v>351</v>
      </c>
      <c r="BF1488" t="s">
        <v>551</v>
      </c>
    </row>
    <row r="1489" spans="1:58" x14ac:dyDescent="0.45">
      <c r="A1489">
        <v>30045</v>
      </c>
      <c r="B1489">
        <v>1</v>
      </c>
      <c r="C1489">
        <v>80</v>
      </c>
      <c r="D1489">
        <v>0</v>
      </c>
      <c r="E1489">
        <v>0</v>
      </c>
      <c r="F1489">
        <v>0</v>
      </c>
      <c r="G1489">
        <v>0</v>
      </c>
      <c r="H1489">
        <v>2</v>
      </c>
      <c r="I1489">
        <v>0</v>
      </c>
      <c r="J1489">
        <v>6</v>
      </c>
      <c r="K1489">
        <v>0</v>
      </c>
      <c r="L1489">
        <v>12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695.80000000000007</v>
      </c>
      <c r="AF1489">
        <v>0</v>
      </c>
      <c r="AJ1489">
        <v>0</v>
      </c>
      <c r="AP1489">
        <v>1</v>
      </c>
      <c r="AQ1489">
        <v>0</v>
      </c>
      <c r="AR1489">
        <v>1</v>
      </c>
      <c r="AS1489">
        <v>0</v>
      </c>
      <c r="AT1489">
        <v>0</v>
      </c>
      <c r="AU1489">
        <v>0</v>
      </c>
      <c r="AV1489">
        <v>0</v>
      </c>
      <c r="AW1489">
        <v>17.8</v>
      </c>
      <c r="AX1489">
        <v>1</v>
      </c>
      <c r="AY1489">
        <v>695.80000000000007</v>
      </c>
      <c r="AZ1489">
        <v>79.5</v>
      </c>
      <c r="BA1489">
        <v>897</v>
      </c>
      <c r="BB1489">
        <v>931.5</v>
      </c>
      <c r="BE1489" t="s">
        <v>453</v>
      </c>
      <c r="BF1489" t="s">
        <v>552</v>
      </c>
    </row>
    <row r="1490" spans="1:58" x14ac:dyDescent="0.45">
      <c r="A1490">
        <v>30046</v>
      </c>
      <c r="B1490">
        <v>1</v>
      </c>
      <c r="C1490">
        <v>90</v>
      </c>
      <c r="D1490">
        <v>6</v>
      </c>
      <c r="E1490">
        <v>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847.4</v>
      </c>
      <c r="AF1490">
        <v>0</v>
      </c>
      <c r="AJ1490">
        <v>0</v>
      </c>
      <c r="AP1490">
        <v>1</v>
      </c>
      <c r="AQ1490">
        <v>1</v>
      </c>
      <c r="AR1490">
        <v>1</v>
      </c>
      <c r="AS1490">
        <v>0</v>
      </c>
      <c r="AT1490">
        <v>0</v>
      </c>
      <c r="AU1490">
        <v>0</v>
      </c>
      <c r="AV1490">
        <v>0</v>
      </c>
      <c r="AW1490">
        <v>-3.32</v>
      </c>
      <c r="AX1490">
        <v>6</v>
      </c>
      <c r="AY1490">
        <v>847.4</v>
      </c>
      <c r="AZ1490">
        <v>110</v>
      </c>
      <c r="BA1490">
        <v>760</v>
      </c>
      <c r="BB1490">
        <v>825</v>
      </c>
      <c r="BE1490" t="s">
        <v>454</v>
      </c>
      <c r="BF1490" t="s">
        <v>553</v>
      </c>
    </row>
    <row r="1491" spans="1:58" x14ac:dyDescent="0.45">
      <c r="A1491">
        <v>30047</v>
      </c>
      <c r="B1491">
        <v>1</v>
      </c>
      <c r="C1491">
        <v>87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7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894.6</v>
      </c>
      <c r="AF1491">
        <v>0</v>
      </c>
      <c r="AJ1491">
        <v>0</v>
      </c>
      <c r="AP1491">
        <v>1</v>
      </c>
      <c r="AQ1491">
        <v>1</v>
      </c>
      <c r="AR1491">
        <v>1</v>
      </c>
      <c r="AS1491">
        <v>0</v>
      </c>
      <c r="AT1491">
        <v>0</v>
      </c>
      <c r="AU1491">
        <v>0</v>
      </c>
      <c r="AV1491">
        <v>0</v>
      </c>
      <c r="AW1491">
        <v>-4.04</v>
      </c>
      <c r="AX1491">
        <v>6</v>
      </c>
      <c r="AY1491">
        <v>894.6</v>
      </c>
      <c r="AZ1491">
        <v>110</v>
      </c>
      <c r="BA1491">
        <v>800</v>
      </c>
      <c r="BB1491">
        <v>900</v>
      </c>
      <c r="BE1491" t="s">
        <v>455</v>
      </c>
      <c r="BF1491" t="s">
        <v>554</v>
      </c>
    </row>
    <row r="1492" spans="1:58" x14ac:dyDescent="0.45">
      <c r="A1492">
        <v>30048</v>
      </c>
      <c r="B1492">
        <v>1</v>
      </c>
      <c r="C1492">
        <v>90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882</v>
      </c>
      <c r="AF1492">
        <v>0</v>
      </c>
      <c r="AG1492">
        <v>1</v>
      </c>
      <c r="AH1492">
        <v>0</v>
      </c>
      <c r="AI1492">
        <v>0</v>
      </c>
      <c r="AJ1492">
        <v>0</v>
      </c>
      <c r="AP1492">
        <v>1</v>
      </c>
      <c r="AQ1492">
        <v>0</v>
      </c>
      <c r="AR1492">
        <v>0</v>
      </c>
      <c r="AS1492">
        <v>1</v>
      </c>
      <c r="AT1492">
        <v>0</v>
      </c>
      <c r="AU1492">
        <v>0</v>
      </c>
      <c r="AV1492">
        <v>0</v>
      </c>
      <c r="AW1492">
        <v>2.2000000000000002</v>
      </c>
      <c r="AX1492">
        <v>0</v>
      </c>
      <c r="AY1492">
        <v>882</v>
      </c>
      <c r="AZ1492">
        <v>100</v>
      </c>
      <c r="BA1492">
        <v>396</v>
      </c>
      <c r="BB1492">
        <v>504</v>
      </c>
      <c r="BE1492" t="s">
        <v>456</v>
      </c>
      <c r="BF1492" t="s">
        <v>555</v>
      </c>
    </row>
    <row r="1493" spans="1:58" x14ac:dyDescent="0.45">
      <c r="A1493">
        <v>30049</v>
      </c>
      <c r="B1493">
        <v>1</v>
      </c>
      <c r="C1493">
        <v>70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30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882</v>
      </c>
      <c r="AF1493">
        <v>0</v>
      </c>
      <c r="AG1493">
        <v>1</v>
      </c>
      <c r="AH1493">
        <v>0</v>
      </c>
      <c r="AI1493">
        <v>0</v>
      </c>
      <c r="AJ1493">
        <v>0</v>
      </c>
      <c r="AP1493">
        <v>1</v>
      </c>
      <c r="AQ1493">
        <v>0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6.6</v>
      </c>
      <c r="AX1493">
        <v>0</v>
      </c>
      <c r="AY1493">
        <v>882</v>
      </c>
      <c r="AZ1493">
        <v>69</v>
      </c>
      <c r="BA1493">
        <v>441</v>
      </c>
      <c r="BB1493">
        <v>587</v>
      </c>
      <c r="BE1493" t="s">
        <v>456</v>
      </c>
      <c r="BF1493" t="s">
        <v>555</v>
      </c>
    </row>
    <row r="1494" spans="1:58" x14ac:dyDescent="0.45">
      <c r="A1494">
        <v>30050</v>
      </c>
      <c r="B1494">
        <v>1</v>
      </c>
      <c r="C1494">
        <v>50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50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882</v>
      </c>
      <c r="AF1494">
        <v>0</v>
      </c>
      <c r="AG1494">
        <v>1</v>
      </c>
      <c r="AH1494">
        <v>0</v>
      </c>
      <c r="AI1494">
        <v>0</v>
      </c>
      <c r="AJ1494">
        <v>0</v>
      </c>
      <c r="AP1494">
        <v>1</v>
      </c>
      <c r="AQ1494">
        <v>0</v>
      </c>
      <c r="AR1494">
        <v>1</v>
      </c>
      <c r="AS1494">
        <v>0</v>
      </c>
      <c r="AT1494">
        <v>1</v>
      </c>
      <c r="AU1494">
        <v>0</v>
      </c>
      <c r="AV1494">
        <v>0</v>
      </c>
      <c r="AW1494">
        <v>11</v>
      </c>
      <c r="AX1494">
        <v>0</v>
      </c>
      <c r="AY1494">
        <v>882</v>
      </c>
      <c r="AZ1494">
        <v>88</v>
      </c>
      <c r="BA1494">
        <v>379</v>
      </c>
      <c r="BB1494">
        <v>530</v>
      </c>
      <c r="BE1494" t="s">
        <v>456</v>
      </c>
      <c r="BF1494" t="s">
        <v>555</v>
      </c>
    </row>
    <row r="1495" spans="1:58" x14ac:dyDescent="0.45">
      <c r="A1495">
        <v>30051</v>
      </c>
      <c r="B1495">
        <v>1</v>
      </c>
      <c r="C1495">
        <v>30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70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882</v>
      </c>
      <c r="AF1495">
        <v>0</v>
      </c>
      <c r="AG1495">
        <v>1</v>
      </c>
      <c r="AH1495">
        <v>0</v>
      </c>
      <c r="AI1495">
        <v>0</v>
      </c>
      <c r="AJ1495">
        <v>0</v>
      </c>
      <c r="AP1495">
        <v>1</v>
      </c>
      <c r="AQ1495">
        <v>0</v>
      </c>
      <c r="AR1495">
        <v>1</v>
      </c>
      <c r="AS1495">
        <v>0</v>
      </c>
      <c r="AT1495">
        <v>0</v>
      </c>
      <c r="AU1495">
        <v>0</v>
      </c>
      <c r="AV1495">
        <v>0</v>
      </c>
      <c r="AW1495">
        <v>15.4</v>
      </c>
      <c r="AX1495">
        <v>0</v>
      </c>
      <c r="AY1495">
        <v>882</v>
      </c>
      <c r="AZ1495">
        <v>67</v>
      </c>
      <c r="BA1495">
        <v>373</v>
      </c>
      <c r="BB1495">
        <v>600</v>
      </c>
      <c r="BE1495" t="s">
        <v>456</v>
      </c>
      <c r="BF1495" t="s">
        <v>555</v>
      </c>
    </row>
    <row r="1496" spans="1:58" x14ac:dyDescent="0.45">
      <c r="A1496">
        <v>30052</v>
      </c>
      <c r="B1496">
        <v>1</v>
      </c>
      <c r="C1496">
        <v>61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35</v>
      </c>
      <c r="L1496">
        <v>0</v>
      </c>
      <c r="M1496">
        <v>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898.8</v>
      </c>
      <c r="AF1496">
        <v>0</v>
      </c>
      <c r="AG1496">
        <v>1</v>
      </c>
      <c r="AH1496">
        <v>0</v>
      </c>
      <c r="AI1496">
        <v>0</v>
      </c>
      <c r="AJ1496">
        <v>0</v>
      </c>
      <c r="AP1496">
        <v>1</v>
      </c>
      <c r="AQ1496">
        <v>0</v>
      </c>
      <c r="AR1496">
        <v>1</v>
      </c>
      <c r="AS1496">
        <v>0</v>
      </c>
      <c r="AT1496">
        <v>1</v>
      </c>
      <c r="AU1496">
        <v>0</v>
      </c>
      <c r="AV1496">
        <v>0</v>
      </c>
      <c r="AW1496">
        <v>9.8000000000000007</v>
      </c>
      <c r="AX1496">
        <v>1.3333333333333333</v>
      </c>
      <c r="AY1496">
        <v>898.8</v>
      </c>
      <c r="AZ1496">
        <v>55</v>
      </c>
      <c r="BA1496">
        <v>376</v>
      </c>
      <c r="BB1496">
        <v>480</v>
      </c>
      <c r="BE1496" t="s">
        <v>253</v>
      </c>
      <c r="BF1496" t="s">
        <v>556</v>
      </c>
    </row>
    <row r="1497" spans="1:58" x14ac:dyDescent="0.45">
      <c r="A1497">
        <v>30053</v>
      </c>
      <c r="B1497">
        <v>1</v>
      </c>
      <c r="C1497">
        <v>57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35</v>
      </c>
      <c r="L1497">
        <v>0</v>
      </c>
      <c r="M1497">
        <v>8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915.6</v>
      </c>
      <c r="AF1497">
        <v>0</v>
      </c>
      <c r="AG1497">
        <v>1</v>
      </c>
      <c r="AH1497">
        <v>0</v>
      </c>
      <c r="AI1497">
        <v>0</v>
      </c>
      <c r="AJ1497">
        <v>0</v>
      </c>
      <c r="AP1497">
        <v>1</v>
      </c>
      <c r="AQ1497">
        <v>0</v>
      </c>
      <c r="AR1497">
        <v>1</v>
      </c>
      <c r="AS1497">
        <v>0</v>
      </c>
      <c r="AT1497">
        <v>0</v>
      </c>
      <c r="AU1497">
        <v>0</v>
      </c>
      <c r="AV1497">
        <v>0</v>
      </c>
      <c r="AW1497">
        <v>9.8000000000000007</v>
      </c>
      <c r="AX1497">
        <v>2.6666666666666665</v>
      </c>
      <c r="AY1497">
        <v>915.6</v>
      </c>
      <c r="AZ1497">
        <v>61</v>
      </c>
      <c r="BA1497">
        <v>444</v>
      </c>
      <c r="BB1497">
        <v>480</v>
      </c>
      <c r="BE1497" t="s">
        <v>253</v>
      </c>
      <c r="BF1497" t="s">
        <v>556</v>
      </c>
    </row>
    <row r="1498" spans="1:58" x14ac:dyDescent="0.45">
      <c r="A1498">
        <v>30054</v>
      </c>
      <c r="B1498">
        <v>1</v>
      </c>
      <c r="C1498">
        <v>53.4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4.5999999999999996</v>
      </c>
      <c r="K1498">
        <v>29</v>
      </c>
      <c r="L1498">
        <v>0</v>
      </c>
      <c r="M1498">
        <v>0</v>
      </c>
      <c r="N1498">
        <v>0</v>
      </c>
      <c r="O1498">
        <v>13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850.26</v>
      </c>
      <c r="AF1498">
        <v>0</v>
      </c>
      <c r="AG1498">
        <v>1</v>
      </c>
      <c r="AH1498">
        <v>0</v>
      </c>
      <c r="AI1498">
        <v>0</v>
      </c>
      <c r="AJ1498">
        <v>0</v>
      </c>
      <c r="AP1498">
        <v>1</v>
      </c>
      <c r="AQ1498">
        <v>0</v>
      </c>
      <c r="AR1498">
        <v>1</v>
      </c>
      <c r="AS1498">
        <v>0</v>
      </c>
      <c r="AT1498">
        <v>0</v>
      </c>
      <c r="AU1498">
        <v>0</v>
      </c>
      <c r="AV1498">
        <v>0</v>
      </c>
      <c r="AW1498">
        <v>10.98</v>
      </c>
      <c r="AX1498">
        <v>0.76666666666666661</v>
      </c>
      <c r="AY1498">
        <v>850.26</v>
      </c>
      <c r="AZ1498">
        <v>55</v>
      </c>
      <c r="BA1498">
        <v>257</v>
      </c>
      <c r="BB1498">
        <v>535</v>
      </c>
      <c r="BE1498" t="s">
        <v>242</v>
      </c>
      <c r="BF1498" t="s">
        <v>557</v>
      </c>
    </row>
    <row r="1499" spans="1:58" x14ac:dyDescent="0.45">
      <c r="A1499">
        <v>30055</v>
      </c>
      <c r="B1499">
        <v>1</v>
      </c>
      <c r="C1499">
        <v>67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16</v>
      </c>
      <c r="L1499">
        <v>4</v>
      </c>
      <c r="M1499">
        <v>0</v>
      </c>
      <c r="N1499">
        <v>0</v>
      </c>
      <c r="O1499">
        <v>13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844</v>
      </c>
      <c r="AF1499">
        <v>0</v>
      </c>
      <c r="AG1499">
        <v>1</v>
      </c>
      <c r="AH1499">
        <v>0</v>
      </c>
      <c r="AI1499">
        <v>0</v>
      </c>
      <c r="AJ1499">
        <v>0</v>
      </c>
      <c r="AP1499">
        <v>1</v>
      </c>
      <c r="AQ1499">
        <v>0</v>
      </c>
      <c r="AR1499">
        <v>1</v>
      </c>
      <c r="AS1499">
        <v>0</v>
      </c>
      <c r="AT1499">
        <v>0</v>
      </c>
      <c r="AU1499">
        <v>0</v>
      </c>
      <c r="AV1499">
        <v>0</v>
      </c>
      <c r="AW1499">
        <v>11.34</v>
      </c>
      <c r="AX1499">
        <v>0</v>
      </c>
      <c r="AY1499">
        <v>844</v>
      </c>
      <c r="AZ1499">
        <v>50</v>
      </c>
      <c r="BA1499">
        <v>557</v>
      </c>
      <c r="BB1499">
        <v>641</v>
      </c>
      <c r="BE1499" t="s">
        <v>242</v>
      </c>
      <c r="BF1499" t="s">
        <v>557</v>
      </c>
    </row>
    <row r="1500" spans="1:58" x14ac:dyDescent="0.45">
      <c r="A1500">
        <v>30056</v>
      </c>
      <c r="B1500">
        <v>1</v>
      </c>
      <c r="C1500">
        <v>58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29</v>
      </c>
      <c r="L1500">
        <v>0</v>
      </c>
      <c r="M1500">
        <v>0</v>
      </c>
      <c r="N1500">
        <v>0</v>
      </c>
      <c r="O1500">
        <v>13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882</v>
      </c>
      <c r="AF1500">
        <v>0</v>
      </c>
      <c r="AG1500">
        <v>1</v>
      </c>
      <c r="AH1500">
        <v>0</v>
      </c>
      <c r="AI1500">
        <v>0</v>
      </c>
      <c r="AJ1500">
        <v>0</v>
      </c>
      <c r="AP1500">
        <v>1</v>
      </c>
      <c r="AQ1500">
        <v>0</v>
      </c>
      <c r="AR1500">
        <v>1</v>
      </c>
      <c r="AS1500">
        <v>0</v>
      </c>
      <c r="AT1500">
        <v>0</v>
      </c>
      <c r="AU1500">
        <v>0</v>
      </c>
      <c r="AV1500">
        <v>0</v>
      </c>
      <c r="AW1500">
        <v>10.98</v>
      </c>
      <c r="AX1500">
        <v>0</v>
      </c>
      <c r="AY1500">
        <v>882</v>
      </c>
      <c r="AZ1500">
        <v>66</v>
      </c>
      <c r="BA1500">
        <v>213</v>
      </c>
      <c r="BB1500">
        <v>572</v>
      </c>
      <c r="BE1500" t="s">
        <v>242</v>
      </c>
      <c r="BF1500" t="s">
        <v>557</v>
      </c>
    </row>
    <row r="1501" spans="1:58" x14ac:dyDescent="0.45">
      <c r="A1501">
        <v>30057</v>
      </c>
      <c r="B1501">
        <v>1</v>
      </c>
      <c r="C1501">
        <v>54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29</v>
      </c>
      <c r="L1501">
        <v>4</v>
      </c>
      <c r="M1501">
        <v>0</v>
      </c>
      <c r="N1501">
        <v>0</v>
      </c>
      <c r="O1501">
        <v>13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844</v>
      </c>
      <c r="AF1501">
        <v>0</v>
      </c>
      <c r="AG1501">
        <v>1</v>
      </c>
      <c r="AH1501">
        <v>0</v>
      </c>
      <c r="AI1501">
        <v>0</v>
      </c>
      <c r="AJ1501">
        <v>0</v>
      </c>
      <c r="AP1501">
        <v>1</v>
      </c>
      <c r="AQ1501">
        <v>0</v>
      </c>
      <c r="AR1501">
        <v>1</v>
      </c>
      <c r="AS1501">
        <v>0</v>
      </c>
      <c r="AT1501">
        <v>0</v>
      </c>
      <c r="AU1501">
        <v>0</v>
      </c>
      <c r="AV1501">
        <v>0</v>
      </c>
      <c r="AW1501">
        <v>14.98</v>
      </c>
      <c r="AX1501">
        <v>0</v>
      </c>
      <c r="AY1501">
        <v>844</v>
      </c>
      <c r="AZ1501">
        <v>53</v>
      </c>
      <c r="BA1501">
        <v>599</v>
      </c>
      <c r="BB1501">
        <v>608</v>
      </c>
      <c r="BE1501" t="s">
        <v>242</v>
      </c>
      <c r="BF1501" t="s">
        <v>557</v>
      </c>
    </row>
    <row r="1502" spans="1:58" x14ac:dyDescent="0.45">
      <c r="A1502">
        <v>30058</v>
      </c>
      <c r="B1502">
        <v>1</v>
      </c>
      <c r="C1502">
        <v>56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29</v>
      </c>
      <c r="L1502">
        <v>0</v>
      </c>
      <c r="M1502">
        <v>2</v>
      </c>
      <c r="N1502">
        <v>0</v>
      </c>
      <c r="O1502">
        <v>13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890.4</v>
      </c>
      <c r="AF1502">
        <v>0</v>
      </c>
      <c r="AG1502">
        <v>1</v>
      </c>
      <c r="AH1502">
        <v>0</v>
      </c>
      <c r="AI1502">
        <v>0</v>
      </c>
      <c r="AJ1502">
        <v>0</v>
      </c>
      <c r="AP1502">
        <v>1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10.98</v>
      </c>
      <c r="AX1502">
        <v>0.66666666666666663</v>
      </c>
      <c r="AY1502">
        <v>890.4</v>
      </c>
      <c r="AZ1502">
        <v>48</v>
      </c>
      <c r="BA1502">
        <v>432</v>
      </c>
      <c r="BB1502">
        <v>497</v>
      </c>
      <c r="BE1502" t="s">
        <v>242</v>
      </c>
      <c r="BF1502" t="s">
        <v>557</v>
      </c>
    </row>
    <row r="1503" spans="1:58" x14ac:dyDescent="0.45">
      <c r="A1503">
        <v>30059</v>
      </c>
      <c r="B1503">
        <v>1</v>
      </c>
      <c r="C1503">
        <v>53.4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29</v>
      </c>
      <c r="L1503">
        <v>0</v>
      </c>
      <c r="M1503">
        <v>4.5999999999999996</v>
      </c>
      <c r="N1503">
        <v>0</v>
      </c>
      <c r="O1503">
        <v>13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901.32</v>
      </c>
      <c r="AF1503">
        <v>0</v>
      </c>
      <c r="AG1503">
        <v>1</v>
      </c>
      <c r="AH1503">
        <v>0</v>
      </c>
      <c r="AI1503">
        <v>0</v>
      </c>
      <c r="AJ1503">
        <v>0</v>
      </c>
      <c r="AP1503">
        <v>1</v>
      </c>
      <c r="AQ1503">
        <v>0</v>
      </c>
      <c r="AR1503">
        <v>1</v>
      </c>
      <c r="AS1503">
        <v>0</v>
      </c>
      <c r="AT1503">
        <v>0</v>
      </c>
      <c r="AU1503">
        <v>0</v>
      </c>
      <c r="AV1503">
        <v>0</v>
      </c>
      <c r="AW1503">
        <v>10.98</v>
      </c>
      <c r="AX1503">
        <v>1.5333333333333332</v>
      </c>
      <c r="AY1503">
        <v>901.32</v>
      </c>
      <c r="AZ1503">
        <v>55</v>
      </c>
      <c r="BA1503">
        <v>367</v>
      </c>
      <c r="BB1503">
        <v>528</v>
      </c>
      <c r="BE1503" t="s">
        <v>242</v>
      </c>
      <c r="BF1503" t="s">
        <v>557</v>
      </c>
    </row>
    <row r="1504" spans="1:58" x14ac:dyDescent="0.45">
      <c r="A1504">
        <v>30060</v>
      </c>
      <c r="B1504">
        <v>1</v>
      </c>
      <c r="C1504">
        <v>52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29</v>
      </c>
      <c r="L1504">
        <v>0</v>
      </c>
      <c r="M1504">
        <v>6</v>
      </c>
      <c r="N1504">
        <v>0</v>
      </c>
      <c r="O1504">
        <v>13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907.2</v>
      </c>
      <c r="AF1504">
        <v>0</v>
      </c>
      <c r="AG1504">
        <v>1</v>
      </c>
      <c r="AH1504">
        <v>0</v>
      </c>
      <c r="AI1504">
        <v>0</v>
      </c>
      <c r="AJ1504">
        <v>0</v>
      </c>
      <c r="AP1504">
        <v>1</v>
      </c>
      <c r="AQ1504">
        <v>0</v>
      </c>
      <c r="AR1504">
        <v>1</v>
      </c>
      <c r="AS1504">
        <v>0</v>
      </c>
      <c r="AT1504">
        <v>0</v>
      </c>
      <c r="AU1504">
        <v>0</v>
      </c>
      <c r="AV1504">
        <v>0</v>
      </c>
      <c r="AW1504">
        <v>10.98</v>
      </c>
      <c r="AX1504">
        <v>2</v>
      </c>
      <c r="AY1504">
        <v>907.2</v>
      </c>
      <c r="AZ1504">
        <v>69</v>
      </c>
      <c r="BA1504">
        <v>501</v>
      </c>
      <c r="BB1504">
        <v>523</v>
      </c>
      <c r="BE1504" t="s">
        <v>242</v>
      </c>
      <c r="BF1504" t="s">
        <v>557</v>
      </c>
    </row>
    <row r="1505" spans="1:58" x14ac:dyDescent="0.45">
      <c r="A1505">
        <v>30061</v>
      </c>
      <c r="B1505">
        <v>1</v>
      </c>
      <c r="C1505">
        <v>83</v>
      </c>
      <c r="D1505">
        <v>0</v>
      </c>
      <c r="E1505">
        <v>0</v>
      </c>
      <c r="F1505">
        <v>0</v>
      </c>
      <c r="G1505">
        <v>0</v>
      </c>
      <c r="H1505">
        <v>6</v>
      </c>
      <c r="I1505">
        <v>0</v>
      </c>
      <c r="J1505">
        <v>0</v>
      </c>
      <c r="K1505">
        <v>11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Z1505">
        <v>1</v>
      </c>
      <c r="AA1505">
        <v>0</v>
      </c>
      <c r="AB1505">
        <v>0</v>
      </c>
      <c r="AC1505">
        <v>0</v>
      </c>
      <c r="AD1505">
        <v>0</v>
      </c>
      <c r="AJ1505">
        <v>0</v>
      </c>
      <c r="AP1505">
        <v>1</v>
      </c>
      <c r="AQ1505">
        <v>0</v>
      </c>
      <c r="AR1505">
        <v>1</v>
      </c>
      <c r="AS1505">
        <v>0</v>
      </c>
      <c r="AT1505">
        <v>1</v>
      </c>
      <c r="AU1505">
        <v>0</v>
      </c>
      <c r="AV1505">
        <v>0</v>
      </c>
      <c r="AW1505">
        <v>20.479999999999997</v>
      </c>
      <c r="AX1505">
        <v>0</v>
      </c>
      <c r="AY1505">
        <v>789.6</v>
      </c>
      <c r="AZ1505">
        <v>89</v>
      </c>
      <c r="BA1505">
        <v>1137</v>
      </c>
      <c r="BD1505">
        <v>357</v>
      </c>
      <c r="BE1505" t="s">
        <v>457</v>
      </c>
      <c r="BF1505" t="s">
        <v>558</v>
      </c>
    </row>
    <row r="1506" spans="1:58" x14ac:dyDescent="0.45">
      <c r="A1506">
        <v>30062</v>
      </c>
      <c r="B1506">
        <v>1</v>
      </c>
      <c r="C1506">
        <v>80</v>
      </c>
      <c r="D1506">
        <v>0</v>
      </c>
      <c r="E1506">
        <v>0</v>
      </c>
      <c r="F1506">
        <v>0</v>
      </c>
      <c r="G1506">
        <v>0</v>
      </c>
      <c r="H1506">
        <v>9</v>
      </c>
      <c r="I1506">
        <v>0</v>
      </c>
      <c r="J1506">
        <v>0</v>
      </c>
      <c r="K1506">
        <v>11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J1506">
        <v>0</v>
      </c>
      <c r="AP1506">
        <v>1</v>
      </c>
      <c r="AQ1506">
        <v>0</v>
      </c>
      <c r="AR1506">
        <v>1</v>
      </c>
      <c r="AS1506">
        <v>0</v>
      </c>
      <c r="AT1506">
        <v>0</v>
      </c>
      <c r="AU1506">
        <v>0</v>
      </c>
      <c r="AV1506">
        <v>0</v>
      </c>
      <c r="AW1506">
        <v>29.18</v>
      </c>
      <c r="AX1506">
        <v>0</v>
      </c>
      <c r="AY1506">
        <v>743.4</v>
      </c>
      <c r="AZ1506">
        <v>82</v>
      </c>
      <c r="BA1506">
        <v>1078</v>
      </c>
      <c r="BD1506">
        <v>334</v>
      </c>
      <c r="BE1506" t="s">
        <v>457</v>
      </c>
      <c r="BF1506" t="s">
        <v>558</v>
      </c>
    </row>
    <row r="1507" spans="1:58" x14ac:dyDescent="0.45">
      <c r="A1507">
        <v>30063</v>
      </c>
      <c r="B1507">
        <v>1</v>
      </c>
      <c r="C1507">
        <v>82</v>
      </c>
      <c r="D1507">
        <v>5</v>
      </c>
      <c r="E1507">
        <v>5</v>
      </c>
      <c r="F1507">
        <v>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749.7</v>
      </c>
      <c r="AF1507">
        <v>0</v>
      </c>
      <c r="AG1507">
        <v>1</v>
      </c>
      <c r="AH1507">
        <v>0</v>
      </c>
      <c r="AI1507">
        <v>0</v>
      </c>
      <c r="AJ1507">
        <v>0</v>
      </c>
      <c r="AP1507">
        <v>1</v>
      </c>
      <c r="AQ1507">
        <v>0</v>
      </c>
      <c r="AR1507">
        <v>1</v>
      </c>
      <c r="AS1507">
        <v>0</v>
      </c>
      <c r="AT1507">
        <v>0</v>
      </c>
      <c r="AU1507">
        <v>1</v>
      </c>
      <c r="AV1507">
        <v>0</v>
      </c>
      <c r="AW1507">
        <v>8.15</v>
      </c>
      <c r="AX1507">
        <v>5</v>
      </c>
      <c r="AY1507">
        <v>749.7</v>
      </c>
      <c r="AZ1507">
        <v>115</v>
      </c>
      <c r="BA1507">
        <v>636</v>
      </c>
      <c r="BD1507">
        <v>314</v>
      </c>
      <c r="BE1507" t="s">
        <v>458</v>
      </c>
      <c r="BF1507" t="s">
        <v>559</v>
      </c>
    </row>
    <row r="1508" spans="1:58" x14ac:dyDescent="0.45">
      <c r="A1508">
        <v>30064</v>
      </c>
      <c r="B1508">
        <v>1</v>
      </c>
      <c r="C1508">
        <v>90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787</v>
      </c>
      <c r="AF1508">
        <v>0</v>
      </c>
      <c r="AG1508">
        <v>1</v>
      </c>
      <c r="AH1508">
        <v>0</v>
      </c>
      <c r="AI1508">
        <v>0</v>
      </c>
      <c r="AJ1508">
        <v>0</v>
      </c>
      <c r="AP1508">
        <v>1</v>
      </c>
      <c r="AQ1508">
        <v>0</v>
      </c>
      <c r="AR1508">
        <v>1</v>
      </c>
      <c r="AS1508">
        <v>0</v>
      </c>
      <c r="AT1508">
        <v>0</v>
      </c>
      <c r="AU1508">
        <v>1</v>
      </c>
      <c r="AV1508">
        <v>0</v>
      </c>
      <c r="AW1508">
        <v>10</v>
      </c>
      <c r="AX1508">
        <v>0</v>
      </c>
      <c r="AY1508">
        <v>787</v>
      </c>
      <c r="AZ1508">
        <v>93</v>
      </c>
      <c r="BA1508">
        <v>731</v>
      </c>
      <c r="BE1508" t="s">
        <v>459</v>
      </c>
      <c r="BF1508" t="s">
        <v>560</v>
      </c>
    </row>
    <row r="1509" spans="1:58" x14ac:dyDescent="0.45">
      <c r="A1509">
        <v>30065</v>
      </c>
      <c r="B1509">
        <v>1</v>
      </c>
      <c r="C1509">
        <v>80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692</v>
      </c>
      <c r="AF1509">
        <v>0</v>
      </c>
      <c r="AG1509">
        <v>1</v>
      </c>
      <c r="AH1509">
        <v>0</v>
      </c>
      <c r="AI1509">
        <v>0</v>
      </c>
      <c r="AJ1509">
        <v>0</v>
      </c>
      <c r="AP1509">
        <v>1</v>
      </c>
      <c r="AQ1509">
        <v>0</v>
      </c>
      <c r="AR1509">
        <v>1</v>
      </c>
      <c r="AS1509">
        <v>0</v>
      </c>
      <c r="AT1509">
        <v>0</v>
      </c>
      <c r="AU1509">
        <v>0</v>
      </c>
      <c r="AV1509">
        <v>0</v>
      </c>
      <c r="AW1509">
        <v>20</v>
      </c>
      <c r="AX1509">
        <v>0</v>
      </c>
      <c r="AY1509">
        <v>692</v>
      </c>
      <c r="AZ1509">
        <v>75</v>
      </c>
      <c r="BA1509">
        <v>823</v>
      </c>
      <c r="BE1509" t="s">
        <v>459</v>
      </c>
      <c r="BF1509" t="s">
        <v>560</v>
      </c>
    </row>
    <row r="1510" spans="1:58" x14ac:dyDescent="0.45">
      <c r="A1510">
        <v>30066</v>
      </c>
      <c r="B1510">
        <v>1</v>
      </c>
      <c r="C1510">
        <v>90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J1510">
        <v>0</v>
      </c>
      <c r="AP1510">
        <v>1</v>
      </c>
      <c r="AQ1510">
        <v>1</v>
      </c>
      <c r="AR1510">
        <v>1</v>
      </c>
      <c r="AS1510">
        <v>0</v>
      </c>
      <c r="AT1510">
        <v>0</v>
      </c>
      <c r="AU1510">
        <v>0</v>
      </c>
      <c r="AV1510">
        <v>0</v>
      </c>
      <c r="AW1510">
        <v>10</v>
      </c>
      <c r="AX1510">
        <v>0</v>
      </c>
      <c r="AY1510">
        <v>787</v>
      </c>
      <c r="AZ1510">
        <v>77.599999999999994</v>
      </c>
      <c r="BA1510">
        <v>862</v>
      </c>
      <c r="BB1510">
        <v>916</v>
      </c>
      <c r="BE1510" t="s">
        <v>460</v>
      </c>
      <c r="BF1510" t="s">
        <v>561</v>
      </c>
    </row>
    <row r="1511" spans="1:58" x14ac:dyDescent="0.45">
      <c r="A1511">
        <v>30067</v>
      </c>
      <c r="B1511">
        <v>0</v>
      </c>
      <c r="C1511">
        <v>89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10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J1511">
        <v>0</v>
      </c>
      <c r="AP1511">
        <v>1</v>
      </c>
      <c r="AQ1511">
        <v>1</v>
      </c>
      <c r="AR1511">
        <v>1</v>
      </c>
      <c r="AS1511">
        <v>0</v>
      </c>
      <c r="AT1511">
        <v>0</v>
      </c>
      <c r="AU1511">
        <v>0</v>
      </c>
      <c r="AV1511">
        <v>1</v>
      </c>
      <c r="AW1511">
        <v>10</v>
      </c>
      <c r="AX1511">
        <v>0</v>
      </c>
      <c r="AY1511">
        <v>787</v>
      </c>
      <c r="AZ1511">
        <v>73.5</v>
      </c>
      <c r="BA1511">
        <v>972</v>
      </c>
      <c r="BB1511">
        <v>1002.3</v>
      </c>
      <c r="BE1511" t="s">
        <v>460</v>
      </c>
      <c r="BF1511" t="s">
        <v>561</v>
      </c>
    </row>
    <row r="1512" spans="1:58" x14ac:dyDescent="0.45">
      <c r="A1512">
        <v>30068</v>
      </c>
      <c r="B1512">
        <v>0</v>
      </c>
      <c r="C1512">
        <v>87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3</v>
      </c>
      <c r="J1512">
        <v>0</v>
      </c>
      <c r="K1512">
        <v>0</v>
      </c>
      <c r="L1512">
        <v>10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J1512">
        <v>0</v>
      </c>
      <c r="AP1512">
        <v>1</v>
      </c>
      <c r="AQ1512">
        <v>1</v>
      </c>
      <c r="AR1512">
        <v>1</v>
      </c>
      <c r="AS1512">
        <v>0</v>
      </c>
      <c r="AT1512">
        <v>0</v>
      </c>
      <c r="AU1512">
        <v>0</v>
      </c>
      <c r="AV1512">
        <v>1</v>
      </c>
      <c r="AW1512">
        <v>10</v>
      </c>
      <c r="AX1512">
        <v>0</v>
      </c>
      <c r="AY1512">
        <v>787</v>
      </c>
      <c r="AZ1512">
        <v>71.099999999999994</v>
      </c>
      <c r="BA1512">
        <v>1062</v>
      </c>
      <c r="BB1512">
        <v>1098.0999999999999</v>
      </c>
      <c r="BE1512" t="s">
        <v>460</v>
      </c>
      <c r="BF1512" t="s">
        <v>561</v>
      </c>
    </row>
    <row r="1513" spans="1:58" x14ac:dyDescent="0.45">
      <c r="A1513">
        <v>30069</v>
      </c>
      <c r="B1513">
        <v>0</v>
      </c>
      <c r="C1513">
        <v>85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5</v>
      </c>
      <c r="J1513">
        <v>0</v>
      </c>
      <c r="K1513">
        <v>0</v>
      </c>
      <c r="L1513">
        <v>10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J1513">
        <v>0</v>
      </c>
      <c r="AP1513">
        <v>1</v>
      </c>
      <c r="AQ1513">
        <v>1</v>
      </c>
      <c r="AR1513">
        <v>1</v>
      </c>
      <c r="AS1513">
        <v>0</v>
      </c>
      <c r="AT1513">
        <v>0</v>
      </c>
      <c r="AU1513">
        <v>0</v>
      </c>
      <c r="AV1513">
        <v>1</v>
      </c>
      <c r="AW1513">
        <v>10</v>
      </c>
      <c r="AX1513">
        <v>0</v>
      </c>
      <c r="AY1513">
        <v>787</v>
      </c>
      <c r="AZ1513">
        <v>74.900000000000006</v>
      </c>
      <c r="BA1513">
        <v>1152</v>
      </c>
      <c r="BB1513">
        <v>1162.2</v>
      </c>
      <c r="BE1513" t="s">
        <v>460</v>
      </c>
      <c r="BF1513" t="s">
        <v>561</v>
      </c>
    </row>
    <row r="1514" spans="1:58" x14ac:dyDescent="0.45">
      <c r="A1514">
        <v>30070</v>
      </c>
      <c r="B1514">
        <v>0</v>
      </c>
      <c r="C1514">
        <v>97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882</v>
      </c>
      <c r="AF1514">
        <v>0</v>
      </c>
      <c r="AJ1514">
        <v>0</v>
      </c>
      <c r="AP1514">
        <v>1</v>
      </c>
      <c r="AQ1514">
        <v>0</v>
      </c>
      <c r="AR1514">
        <v>0</v>
      </c>
      <c r="AS1514">
        <v>1</v>
      </c>
      <c r="AT1514">
        <v>0</v>
      </c>
      <c r="AU1514">
        <v>0</v>
      </c>
      <c r="AV1514">
        <v>1</v>
      </c>
      <c r="AW1514">
        <v>0</v>
      </c>
      <c r="AX1514">
        <v>0</v>
      </c>
      <c r="AY1514">
        <v>882</v>
      </c>
      <c r="BA1514">
        <v>535</v>
      </c>
      <c r="BB1514">
        <v>633</v>
      </c>
      <c r="BD1514">
        <v>243</v>
      </c>
      <c r="BE1514" t="s">
        <v>461</v>
      </c>
      <c r="BF1514" t="s">
        <v>562</v>
      </c>
    </row>
    <row r="1515" spans="1:58" x14ac:dyDescent="0.45">
      <c r="A1515">
        <v>30071</v>
      </c>
      <c r="B1515">
        <v>0</v>
      </c>
      <c r="C1515">
        <v>95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882</v>
      </c>
      <c r="AF1515">
        <v>0</v>
      </c>
      <c r="AJ1515">
        <v>0</v>
      </c>
      <c r="AP1515">
        <v>1</v>
      </c>
      <c r="AQ1515">
        <v>0</v>
      </c>
      <c r="AR1515">
        <v>0</v>
      </c>
      <c r="AS1515">
        <v>1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>
        <v>882</v>
      </c>
      <c r="BA1515">
        <v>588</v>
      </c>
      <c r="BB1515">
        <v>745</v>
      </c>
      <c r="BD1515">
        <v>272</v>
      </c>
      <c r="BE1515" t="s">
        <v>461</v>
      </c>
      <c r="BF1515" t="s">
        <v>562</v>
      </c>
    </row>
    <row r="1516" spans="1:58" x14ac:dyDescent="0.45">
      <c r="A1516">
        <v>30072</v>
      </c>
      <c r="B1516">
        <v>0</v>
      </c>
      <c r="C1516">
        <v>93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7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882</v>
      </c>
      <c r="AF1516">
        <v>0</v>
      </c>
      <c r="AJ1516">
        <v>0</v>
      </c>
      <c r="AP1516">
        <v>1</v>
      </c>
      <c r="AQ1516">
        <v>0</v>
      </c>
      <c r="AR1516">
        <v>0</v>
      </c>
      <c r="AS1516">
        <v>1</v>
      </c>
      <c r="AT1516">
        <v>0</v>
      </c>
      <c r="AU1516">
        <v>0</v>
      </c>
      <c r="AV1516">
        <v>1</v>
      </c>
      <c r="AW1516">
        <v>0</v>
      </c>
      <c r="AX1516">
        <v>0</v>
      </c>
      <c r="AY1516">
        <v>882</v>
      </c>
      <c r="BA1516">
        <v>711</v>
      </c>
      <c r="BB1516">
        <v>877</v>
      </c>
      <c r="BD1516">
        <v>298</v>
      </c>
      <c r="BE1516" t="s">
        <v>461</v>
      </c>
      <c r="BF1516" t="s">
        <v>562</v>
      </c>
    </row>
    <row r="1517" spans="1:58" x14ac:dyDescent="0.45">
      <c r="A1517">
        <v>30073</v>
      </c>
      <c r="B1517">
        <v>1</v>
      </c>
      <c r="C1517">
        <v>62</v>
      </c>
      <c r="D1517">
        <v>5</v>
      </c>
      <c r="E1517">
        <v>3</v>
      </c>
      <c r="F1517">
        <v>0</v>
      </c>
      <c r="G1517">
        <v>0</v>
      </c>
      <c r="H1517">
        <v>0</v>
      </c>
      <c r="I1517">
        <v>0</v>
      </c>
      <c r="J1517">
        <v>30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650.1</v>
      </c>
      <c r="AF1517">
        <v>0</v>
      </c>
      <c r="AJ1517">
        <v>0</v>
      </c>
      <c r="AP1517">
        <v>1</v>
      </c>
      <c r="AQ1517">
        <v>0</v>
      </c>
      <c r="AR1517">
        <v>1</v>
      </c>
      <c r="AS1517">
        <v>1</v>
      </c>
      <c r="AT1517">
        <v>0</v>
      </c>
      <c r="AU1517">
        <v>0</v>
      </c>
      <c r="AV1517">
        <v>0</v>
      </c>
      <c r="AW1517">
        <v>-2.9899999999999998</v>
      </c>
      <c r="AX1517">
        <v>10</v>
      </c>
      <c r="AY1517">
        <v>650.1</v>
      </c>
      <c r="AZ1517">
        <v>97</v>
      </c>
      <c r="BA1517">
        <v>1181</v>
      </c>
      <c r="BB1517">
        <v>1302</v>
      </c>
      <c r="BD1517">
        <v>400</v>
      </c>
      <c r="BE1517" t="s">
        <v>462</v>
      </c>
      <c r="BF1517" t="s">
        <v>563</v>
      </c>
    </row>
    <row r="1518" spans="1:58" x14ac:dyDescent="0.45">
      <c r="A1518">
        <v>30074</v>
      </c>
      <c r="B1518">
        <v>1</v>
      </c>
      <c r="C1518">
        <v>61.5</v>
      </c>
      <c r="D1518">
        <v>5</v>
      </c>
      <c r="E1518">
        <v>3</v>
      </c>
      <c r="F1518">
        <v>0</v>
      </c>
      <c r="G1518">
        <v>0</v>
      </c>
      <c r="H1518">
        <v>0.5</v>
      </c>
      <c r="I1518">
        <v>0</v>
      </c>
      <c r="J1518">
        <v>30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642.4</v>
      </c>
      <c r="AF1518">
        <v>0</v>
      </c>
      <c r="AJ1518">
        <v>0</v>
      </c>
      <c r="AP1518">
        <v>1</v>
      </c>
      <c r="AQ1518">
        <v>0</v>
      </c>
      <c r="AR1518">
        <v>1</v>
      </c>
      <c r="AS1518">
        <v>1</v>
      </c>
      <c r="AT1518">
        <v>0</v>
      </c>
      <c r="AU1518">
        <v>0</v>
      </c>
      <c r="AV1518">
        <v>0</v>
      </c>
      <c r="AW1518">
        <v>-1.54</v>
      </c>
      <c r="AX1518">
        <v>10</v>
      </c>
      <c r="AY1518">
        <v>642.4</v>
      </c>
      <c r="AZ1518">
        <v>92</v>
      </c>
      <c r="BA1518">
        <v>1299</v>
      </c>
      <c r="BB1518">
        <v>1420</v>
      </c>
      <c r="BD1518">
        <v>439</v>
      </c>
      <c r="BE1518" t="s">
        <v>462</v>
      </c>
      <c r="BF1518" t="s">
        <v>563</v>
      </c>
    </row>
    <row r="1519" spans="1:58" x14ac:dyDescent="0.45">
      <c r="A1519">
        <v>30075</v>
      </c>
      <c r="B1519">
        <v>1</v>
      </c>
      <c r="C1519">
        <v>61</v>
      </c>
      <c r="D1519">
        <v>5</v>
      </c>
      <c r="E1519">
        <v>3</v>
      </c>
      <c r="F1519">
        <v>0</v>
      </c>
      <c r="G1519">
        <v>0</v>
      </c>
      <c r="H1519">
        <v>1</v>
      </c>
      <c r="I1519">
        <v>0</v>
      </c>
      <c r="J1519">
        <v>30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634.70000000000005</v>
      </c>
      <c r="AF1519">
        <v>0</v>
      </c>
      <c r="AJ1519">
        <v>0</v>
      </c>
      <c r="AP1519">
        <v>1</v>
      </c>
      <c r="AQ1519">
        <v>0</v>
      </c>
      <c r="AR1519">
        <v>1</v>
      </c>
      <c r="AS1519">
        <v>1</v>
      </c>
      <c r="AT1519">
        <v>0</v>
      </c>
      <c r="AU1519">
        <v>0</v>
      </c>
      <c r="AV1519">
        <v>0</v>
      </c>
      <c r="AW1519">
        <v>-8.9999999999999858E-2</v>
      </c>
      <c r="AX1519">
        <v>10</v>
      </c>
      <c r="AY1519">
        <v>634.70000000000005</v>
      </c>
      <c r="AZ1519">
        <v>100</v>
      </c>
      <c r="BA1519">
        <v>1421</v>
      </c>
      <c r="BB1519">
        <v>1533</v>
      </c>
      <c r="BD1519">
        <v>475</v>
      </c>
      <c r="BE1519" t="s">
        <v>462</v>
      </c>
      <c r="BF1519" t="s">
        <v>563</v>
      </c>
    </row>
    <row r="1520" spans="1:58" x14ac:dyDescent="0.45">
      <c r="A1520">
        <v>30076</v>
      </c>
      <c r="B1520">
        <v>1</v>
      </c>
      <c r="C1520">
        <v>60.5</v>
      </c>
      <c r="D1520">
        <v>5</v>
      </c>
      <c r="E1520">
        <v>3</v>
      </c>
      <c r="F1520">
        <v>0</v>
      </c>
      <c r="G1520">
        <v>0</v>
      </c>
      <c r="H1520">
        <v>1.5</v>
      </c>
      <c r="I1520">
        <v>0</v>
      </c>
      <c r="J1520">
        <v>30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627</v>
      </c>
      <c r="AF1520">
        <v>0</v>
      </c>
      <c r="AJ1520">
        <v>0</v>
      </c>
      <c r="AP1520">
        <v>1</v>
      </c>
      <c r="AQ1520">
        <v>0</v>
      </c>
      <c r="AR1520">
        <v>1</v>
      </c>
      <c r="AS1520">
        <v>1</v>
      </c>
      <c r="AT1520">
        <v>0</v>
      </c>
      <c r="AU1520">
        <v>0</v>
      </c>
      <c r="AV1520">
        <v>0</v>
      </c>
      <c r="AW1520">
        <v>1.3599999999999994</v>
      </c>
      <c r="AX1520">
        <v>10</v>
      </c>
      <c r="AY1520">
        <v>627</v>
      </c>
      <c r="AZ1520">
        <v>96</v>
      </c>
      <c r="BA1520">
        <v>1553</v>
      </c>
      <c r="BB1520">
        <v>1667</v>
      </c>
      <c r="BD1520">
        <v>488</v>
      </c>
      <c r="BE1520" t="s">
        <v>462</v>
      </c>
      <c r="BF1520" t="s">
        <v>563</v>
      </c>
    </row>
    <row r="1521" spans="1:58" x14ac:dyDescent="0.45">
      <c r="A1521">
        <v>30077</v>
      </c>
      <c r="B1521">
        <v>1</v>
      </c>
      <c r="C1521">
        <v>60</v>
      </c>
      <c r="D1521">
        <v>5</v>
      </c>
      <c r="E1521">
        <v>3</v>
      </c>
      <c r="F1521">
        <v>0</v>
      </c>
      <c r="G1521">
        <v>0</v>
      </c>
      <c r="H1521">
        <v>2</v>
      </c>
      <c r="I1521">
        <v>0</v>
      </c>
      <c r="J1521">
        <v>30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619.30000000000007</v>
      </c>
      <c r="AF1521">
        <v>0</v>
      </c>
      <c r="AJ1521">
        <v>0</v>
      </c>
      <c r="AP1521">
        <v>1</v>
      </c>
      <c r="AQ1521">
        <v>0</v>
      </c>
      <c r="AR1521">
        <v>1</v>
      </c>
      <c r="AS1521">
        <v>1</v>
      </c>
      <c r="AT1521">
        <v>0</v>
      </c>
      <c r="AU1521">
        <v>0</v>
      </c>
      <c r="AV1521">
        <v>0</v>
      </c>
      <c r="AW1521">
        <v>2.8100000000000005</v>
      </c>
      <c r="AX1521">
        <v>10</v>
      </c>
      <c r="AY1521">
        <v>619.30000000000007</v>
      </c>
      <c r="AZ1521">
        <v>103</v>
      </c>
      <c r="BA1521">
        <v>1399</v>
      </c>
      <c r="BB1521">
        <v>1538</v>
      </c>
      <c r="BD1521">
        <v>484</v>
      </c>
      <c r="BE1521" t="s">
        <v>462</v>
      </c>
      <c r="BF1521" t="s">
        <v>563</v>
      </c>
    </row>
    <row r="1522" spans="1:58" x14ac:dyDescent="0.45">
      <c r="A1522">
        <v>30078</v>
      </c>
      <c r="B1522">
        <v>1</v>
      </c>
      <c r="C1522">
        <v>59.5</v>
      </c>
      <c r="D1522">
        <v>5</v>
      </c>
      <c r="E1522">
        <v>3</v>
      </c>
      <c r="F1522">
        <v>0</v>
      </c>
      <c r="G1522">
        <v>0</v>
      </c>
      <c r="H1522">
        <v>2.5</v>
      </c>
      <c r="I1522">
        <v>0</v>
      </c>
      <c r="J1522">
        <v>30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611.6</v>
      </c>
      <c r="AF1522">
        <v>0</v>
      </c>
      <c r="AJ1522">
        <v>0</v>
      </c>
      <c r="AP1522">
        <v>1</v>
      </c>
      <c r="AQ1522">
        <v>0</v>
      </c>
      <c r="AR1522">
        <v>1</v>
      </c>
      <c r="AS1522">
        <v>1</v>
      </c>
      <c r="AT1522">
        <v>0</v>
      </c>
      <c r="AU1522">
        <v>0</v>
      </c>
      <c r="AV1522">
        <v>0</v>
      </c>
      <c r="AW1522">
        <v>4.26</v>
      </c>
      <c r="AX1522">
        <v>10</v>
      </c>
      <c r="AY1522">
        <v>611.6</v>
      </c>
      <c r="AZ1522">
        <v>79</v>
      </c>
      <c r="BA1522">
        <v>1068</v>
      </c>
      <c r="BB1522">
        <v>1115</v>
      </c>
      <c r="BD1522">
        <v>403</v>
      </c>
      <c r="BE1522" t="s">
        <v>462</v>
      </c>
      <c r="BF1522" t="s">
        <v>563</v>
      </c>
    </row>
    <row r="1523" spans="1:58" x14ac:dyDescent="0.45">
      <c r="A1523">
        <v>30079</v>
      </c>
      <c r="B1523">
        <v>1</v>
      </c>
      <c r="C1523">
        <v>67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3</v>
      </c>
      <c r="K1523">
        <v>25</v>
      </c>
      <c r="L1523">
        <v>3</v>
      </c>
      <c r="M1523">
        <v>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841.19999999999993</v>
      </c>
      <c r="AF1523">
        <v>0</v>
      </c>
      <c r="AJ1523">
        <v>0</v>
      </c>
      <c r="AP1523">
        <v>1</v>
      </c>
      <c r="AQ1523">
        <v>0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10</v>
      </c>
      <c r="AX1523">
        <v>1.1666666666666665</v>
      </c>
      <c r="AY1523">
        <v>841.19999999999993</v>
      </c>
      <c r="AZ1523">
        <v>83</v>
      </c>
      <c r="BA1523">
        <v>499.1</v>
      </c>
      <c r="BB1523">
        <v>708.5</v>
      </c>
      <c r="BE1523" t="s">
        <v>463</v>
      </c>
      <c r="BF1523" t="s">
        <v>564</v>
      </c>
    </row>
    <row r="1524" spans="1:58" x14ac:dyDescent="0.45">
      <c r="A1524">
        <v>30080</v>
      </c>
      <c r="B1524">
        <v>0</v>
      </c>
      <c r="C1524">
        <v>95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882</v>
      </c>
      <c r="AF1524">
        <v>0</v>
      </c>
      <c r="AG1524">
        <v>1</v>
      </c>
      <c r="AH1524">
        <v>0</v>
      </c>
      <c r="AI1524">
        <v>0</v>
      </c>
      <c r="AJ1524">
        <v>0</v>
      </c>
      <c r="AP1524">
        <v>1</v>
      </c>
      <c r="AQ1524">
        <v>0</v>
      </c>
      <c r="AR1524">
        <v>0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882</v>
      </c>
      <c r="AZ1524">
        <v>115</v>
      </c>
      <c r="BA1524">
        <v>369</v>
      </c>
      <c r="BB1524">
        <v>455</v>
      </c>
      <c r="BE1524" t="s">
        <v>464</v>
      </c>
      <c r="BF1524" t="s">
        <v>565</v>
      </c>
    </row>
    <row r="1525" spans="1:58" x14ac:dyDescent="0.45">
      <c r="A1525">
        <v>30081</v>
      </c>
      <c r="B1525">
        <v>0</v>
      </c>
      <c r="C1525">
        <v>90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882</v>
      </c>
      <c r="AF1525">
        <v>0</v>
      </c>
      <c r="AG1525">
        <v>1</v>
      </c>
      <c r="AH1525">
        <v>0</v>
      </c>
      <c r="AI1525">
        <v>0</v>
      </c>
      <c r="AJ1525">
        <v>0</v>
      </c>
      <c r="AP1525">
        <v>1</v>
      </c>
      <c r="AQ1525">
        <v>0</v>
      </c>
      <c r="AR1525">
        <v>0</v>
      </c>
      <c r="AS1525">
        <v>1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882</v>
      </c>
      <c r="AZ1525">
        <v>114</v>
      </c>
      <c r="BA1525">
        <v>406</v>
      </c>
      <c r="BB1525">
        <v>482</v>
      </c>
      <c r="BE1525" t="s">
        <v>464</v>
      </c>
      <c r="BF1525" t="s">
        <v>565</v>
      </c>
    </row>
    <row r="1526" spans="1:58" x14ac:dyDescent="0.45">
      <c r="A1526">
        <v>30082</v>
      </c>
      <c r="B1526">
        <v>0</v>
      </c>
      <c r="C1526">
        <v>85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882</v>
      </c>
      <c r="AF1526">
        <v>0</v>
      </c>
      <c r="AG1526">
        <v>1</v>
      </c>
      <c r="AH1526">
        <v>0</v>
      </c>
      <c r="AI1526">
        <v>0</v>
      </c>
      <c r="AJ1526">
        <v>0</v>
      </c>
      <c r="AP1526">
        <v>1</v>
      </c>
      <c r="AQ1526">
        <v>0</v>
      </c>
      <c r="AR1526">
        <v>0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882</v>
      </c>
      <c r="AZ1526">
        <v>113</v>
      </c>
      <c r="BA1526">
        <v>439</v>
      </c>
      <c r="BB1526">
        <v>546</v>
      </c>
      <c r="BE1526" t="s">
        <v>464</v>
      </c>
      <c r="BF1526" t="s">
        <v>565</v>
      </c>
    </row>
    <row r="1527" spans="1:58" x14ac:dyDescent="0.45">
      <c r="A1527">
        <v>30083</v>
      </c>
      <c r="B1527">
        <v>0</v>
      </c>
      <c r="C1527">
        <v>80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20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882</v>
      </c>
      <c r="AF1527">
        <v>0</v>
      </c>
      <c r="AG1527">
        <v>1</v>
      </c>
      <c r="AH1527">
        <v>0</v>
      </c>
      <c r="AI1527">
        <v>0</v>
      </c>
      <c r="AJ1527">
        <v>0</v>
      </c>
      <c r="AP1527">
        <v>1</v>
      </c>
      <c r="AQ1527">
        <v>0</v>
      </c>
      <c r="AR1527">
        <v>0</v>
      </c>
      <c r="AS1527">
        <v>1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882</v>
      </c>
      <c r="AZ1527">
        <v>112</v>
      </c>
      <c r="BA1527">
        <v>530</v>
      </c>
      <c r="BB1527">
        <v>634</v>
      </c>
      <c r="BE1527" t="s">
        <v>464</v>
      </c>
      <c r="BF1527" t="s">
        <v>565</v>
      </c>
    </row>
    <row r="1528" spans="1:58" x14ac:dyDescent="0.45">
      <c r="A1528">
        <v>30084</v>
      </c>
      <c r="B1528">
        <v>0</v>
      </c>
      <c r="C1528">
        <v>70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30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882</v>
      </c>
      <c r="AF1528">
        <v>0</v>
      </c>
      <c r="AG1528">
        <v>1</v>
      </c>
      <c r="AH1528">
        <v>0</v>
      </c>
      <c r="AI1528">
        <v>0</v>
      </c>
      <c r="AJ1528">
        <v>0</v>
      </c>
      <c r="AP1528">
        <v>1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882</v>
      </c>
      <c r="AZ1528">
        <v>110</v>
      </c>
      <c r="BA1528">
        <v>551</v>
      </c>
      <c r="BB1528">
        <v>681</v>
      </c>
      <c r="BE1528" t="s">
        <v>464</v>
      </c>
      <c r="BF1528" t="s">
        <v>565</v>
      </c>
    </row>
    <row r="1529" spans="1:58" x14ac:dyDescent="0.45">
      <c r="A1529">
        <v>30085</v>
      </c>
      <c r="B1529">
        <v>0</v>
      </c>
      <c r="C1529">
        <v>60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40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882</v>
      </c>
      <c r="AF1529">
        <v>0</v>
      </c>
      <c r="AG1529">
        <v>1</v>
      </c>
      <c r="AH1529">
        <v>0</v>
      </c>
      <c r="AI1529">
        <v>0</v>
      </c>
      <c r="AJ1529">
        <v>0</v>
      </c>
      <c r="AP1529">
        <v>1</v>
      </c>
      <c r="AQ1529">
        <v>0</v>
      </c>
      <c r="AR1529">
        <v>0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882</v>
      </c>
      <c r="AZ1529">
        <v>109</v>
      </c>
      <c r="BA1529">
        <v>964</v>
      </c>
      <c r="BB1529">
        <v>1106</v>
      </c>
      <c r="BE1529" t="s">
        <v>464</v>
      </c>
      <c r="BF1529" t="s">
        <v>565</v>
      </c>
    </row>
    <row r="1530" spans="1:58" x14ac:dyDescent="0.45">
      <c r="A1530">
        <v>30086</v>
      </c>
      <c r="B1530">
        <v>1</v>
      </c>
      <c r="C1530">
        <v>50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25</v>
      </c>
      <c r="K1530">
        <v>25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709.5</v>
      </c>
      <c r="AF1530">
        <v>0</v>
      </c>
      <c r="AJ1530">
        <v>0</v>
      </c>
      <c r="AP1530">
        <v>1</v>
      </c>
      <c r="AQ1530">
        <v>0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7.0000000000000009</v>
      </c>
      <c r="AX1530">
        <v>4.166666666666667</v>
      </c>
      <c r="AY1530">
        <v>709.5</v>
      </c>
      <c r="AZ1530">
        <v>70</v>
      </c>
      <c r="BA1530">
        <v>480</v>
      </c>
      <c r="BB1530">
        <v>552</v>
      </c>
      <c r="BD1530">
        <v>220</v>
      </c>
      <c r="BE1530" t="s">
        <v>465</v>
      </c>
      <c r="BF1530" t="s">
        <v>566</v>
      </c>
    </row>
    <row r="1531" spans="1:58" x14ac:dyDescent="0.45">
      <c r="A1531">
        <v>30087</v>
      </c>
      <c r="B1531">
        <v>1</v>
      </c>
      <c r="C1531">
        <v>92</v>
      </c>
      <c r="D1531">
        <v>0</v>
      </c>
      <c r="E1531">
        <v>0</v>
      </c>
      <c r="F1531">
        <v>0</v>
      </c>
      <c r="G1531">
        <v>0</v>
      </c>
      <c r="H1531">
        <v>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J1531">
        <v>0</v>
      </c>
      <c r="AP1531">
        <v>1</v>
      </c>
      <c r="AQ1531">
        <v>0</v>
      </c>
      <c r="AR1531">
        <v>1</v>
      </c>
      <c r="AS1531">
        <v>0</v>
      </c>
      <c r="AT1531">
        <v>1</v>
      </c>
      <c r="AU1531">
        <v>0</v>
      </c>
      <c r="AV1531">
        <v>0</v>
      </c>
      <c r="AW1531">
        <v>23.2</v>
      </c>
      <c r="AX1531">
        <v>0</v>
      </c>
      <c r="AY1531">
        <v>758.8</v>
      </c>
      <c r="AZ1531">
        <v>129</v>
      </c>
      <c r="BA1531">
        <v>1560</v>
      </c>
      <c r="BD1531">
        <v>468</v>
      </c>
      <c r="BE1531" t="s">
        <v>466</v>
      </c>
      <c r="BF1531" t="s">
        <v>567</v>
      </c>
    </row>
    <row r="1532" spans="1:58" x14ac:dyDescent="0.45">
      <c r="A1532">
        <v>30088</v>
      </c>
      <c r="B1532">
        <v>1</v>
      </c>
      <c r="C1532">
        <v>87</v>
      </c>
      <c r="D1532">
        <v>0</v>
      </c>
      <c r="E1532">
        <v>0</v>
      </c>
      <c r="F1532">
        <v>0</v>
      </c>
      <c r="G1532">
        <v>0</v>
      </c>
      <c r="H1532">
        <v>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</v>
      </c>
      <c r="W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J1532">
        <v>0</v>
      </c>
      <c r="AP1532">
        <v>1</v>
      </c>
      <c r="AQ1532">
        <v>0</v>
      </c>
      <c r="AR1532">
        <v>1</v>
      </c>
      <c r="AS1532">
        <v>0</v>
      </c>
      <c r="AT1532">
        <v>1</v>
      </c>
      <c r="AU1532">
        <v>0</v>
      </c>
      <c r="AV1532">
        <v>0</v>
      </c>
      <c r="AW1532">
        <v>24.3</v>
      </c>
      <c r="AX1532">
        <v>0</v>
      </c>
      <c r="AY1532">
        <v>758.8</v>
      </c>
      <c r="AZ1532">
        <v>120</v>
      </c>
      <c r="BA1532">
        <v>1103</v>
      </c>
      <c r="BD1532">
        <v>389</v>
      </c>
      <c r="BE1532" t="s">
        <v>466</v>
      </c>
      <c r="BF1532" t="s">
        <v>567</v>
      </c>
    </row>
    <row r="1533" spans="1:58" x14ac:dyDescent="0.45">
      <c r="A1533">
        <v>30089</v>
      </c>
      <c r="B1533">
        <v>1</v>
      </c>
      <c r="C1533">
        <v>84</v>
      </c>
      <c r="D1533">
        <v>0</v>
      </c>
      <c r="E1533">
        <v>0</v>
      </c>
      <c r="F1533">
        <v>0</v>
      </c>
      <c r="G1533">
        <v>0</v>
      </c>
      <c r="H1533">
        <v>8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J1533">
        <v>0</v>
      </c>
      <c r="AP1533">
        <v>1</v>
      </c>
      <c r="AQ1533">
        <v>0</v>
      </c>
      <c r="AR1533">
        <v>1</v>
      </c>
      <c r="AS1533">
        <v>0</v>
      </c>
      <c r="AT1533">
        <v>1</v>
      </c>
      <c r="AU1533">
        <v>0</v>
      </c>
      <c r="AV1533">
        <v>0</v>
      </c>
      <c r="AW1533">
        <v>24.96</v>
      </c>
      <c r="AX1533">
        <v>0</v>
      </c>
      <c r="AY1533">
        <v>758.8</v>
      </c>
      <c r="AZ1533">
        <v>106</v>
      </c>
      <c r="BA1533">
        <v>1050</v>
      </c>
      <c r="BD1533">
        <v>379</v>
      </c>
      <c r="BE1533" t="s">
        <v>466</v>
      </c>
      <c r="BF1533" t="s">
        <v>567</v>
      </c>
    </row>
    <row r="1534" spans="1:58" x14ac:dyDescent="0.45">
      <c r="A1534">
        <v>30090</v>
      </c>
      <c r="B1534">
        <v>1</v>
      </c>
      <c r="C1534">
        <v>89</v>
      </c>
      <c r="D1534">
        <v>0</v>
      </c>
      <c r="E1534">
        <v>0</v>
      </c>
      <c r="F1534">
        <v>0</v>
      </c>
      <c r="G1534">
        <v>0</v>
      </c>
      <c r="H1534">
        <v>9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J1534">
        <v>0</v>
      </c>
      <c r="AP1534">
        <v>1</v>
      </c>
      <c r="AQ1534">
        <v>0</v>
      </c>
      <c r="AR1534">
        <v>1</v>
      </c>
      <c r="AS1534">
        <v>0</v>
      </c>
      <c r="AT1534">
        <v>1</v>
      </c>
      <c r="AU1534">
        <v>0</v>
      </c>
      <c r="AV1534">
        <v>0</v>
      </c>
      <c r="AW1534">
        <v>26.54</v>
      </c>
      <c r="AX1534">
        <v>0</v>
      </c>
      <c r="AY1534">
        <v>743.4</v>
      </c>
      <c r="AZ1534">
        <v>110</v>
      </c>
      <c r="BA1534">
        <v>1143</v>
      </c>
      <c r="BD1534">
        <v>390</v>
      </c>
      <c r="BE1534" t="s">
        <v>466</v>
      </c>
      <c r="BF1534" t="s">
        <v>567</v>
      </c>
    </row>
    <row r="1535" spans="1:58" x14ac:dyDescent="0.45">
      <c r="A1535">
        <v>30091</v>
      </c>
      <c r="B1535">
        <v>1</v>
      </c>
      <c r="C1535">
        <v>86</v>
      </c>
      <c r="D1535">
        <v>0</v>
      </c>
      <c r="E1535">
        <v>0</v>
      </c>
      <c r="F1535">
        <v>0</v>
      </c>
      <c r="G1535">
        <v>0</v>
      </c>
      <c r="H1535">
        <v>9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5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J1535">
        <v>0</v>
      </c>
      <c r="AP1535">
        <v>1</v>
      </c>
      <c r="AQ1535">
        <v>0</v>
      </c>
      <c r="AR1535">
        <v>1</v>
      </c>
      <c r="AS1535">
        <v>0</v>
      </c>
      <c r="AT1535">
        <v>1</v>
      </c>
      <c r="AU1535">
        <v>0</v>
      </c>
      <c r="AV1535">
        <v>0</v>
      </c>
      <c r="AW1535">
        <v>27.2</v>
      </c>
      <c r="AX1535">
        <v>0</v>
      </c>
      <c r="AY1535">
        <v>743.4</v>
      </c>
      <c r="AZ1535">
        <v>103</v>
      </c>
      <c r="BA1535">
        <v>1079</v>
      </c>
      <c r="BD1535">
        <v>370</v>
      </c>
      <c r="BE1535" t="s">
        <v>466</v>
      </c>
      <c r="BF1535" t="s">
        <v>567</v>
      </c>
    </row>
    <row r="1536" spans="1:58" x14ac:dyDescent="0.45">
      <c r="A1536">
        <v>30092</v>
      </c>
      <c r="B1536">
        <v>1</v>
      </c>
      <c r="C1536">
        <v>82</v>
      </c>
      <c r="D1536">
        <v>0</v>
      </c>
      <c r="E1536">
        <v>0</v>
      </c>
      <c r="F1536">
        <v>0</v>
      </c>
      <c r="G1536">
        <v>0</v>
      </c>
      <c r="H1536">
        <v>9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J1536">
        <v>0</v>
      </c>
      <c r="AP1536">
        <v>1</v>
      </c>
      <c r="AQ1536">
        <v>0</v>
      </c>
      <c r="AR1536">
        <v>1</v>
      </c>
      <c r="AS1536">
        <v>0</v>
      </c>
      <c r="AT1536">
        <v>1</v>
      </c>
      <c r="AU1536">
        <v>0</v>
      </c>
      <c r="AV1536">
        <v>0</v>
      </c>
      <c r="AW1536">
        <v>28.08</v>
      </c>
      <c r="AX1536">
        <v>0</v>
      </c>
      <c r="AY1536">
        <v>743.4</v>
      </c>
      <c r="AZ1536">
        <v>99</v>
      </c>
      <c r="BA1536">
        <v>1016</v>
      </c>
      <c r="BD1536">
        <v>351</v>
      </c>
      <c r="BE1536" t="s">
        <v>466</v>
      </c>
      <c r="BF1536" t="s">
        <v>567</v>
      </c>
    </row>
    <row r="1537" spans="1:58" x14ac:dyDescent="0.45">
      <c r="A1537">
        <v>30093</v>
      </c>
      <c r="B1537">
        <v>1</v>
      </c>
      <c r="C1537">
        <v>80</v>
      </c>
      <c r="D1537">
        <v>0</v>
      </c>
      <c r="E1537">
        <v>0</v>
      </c>
      <c r="F1537">
        <v>0</v>
      </c>
      <c r="G1537">
        <v>0</v>
      </c>
      <c r="H1537">
        <v>10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J1537">
        <v>0</v>
      </c>
      <c r="AP1537">
        <v>1</v>
      </c>
      <c r="AQ1537">
        <v>0</v>
      </c>
      <c r="AR1537">
        <v>1</v>
      </c>
      <c r="AS1537">
        <v>0</v>
      </c>
      <c r="AT1537">
        <v>1</v>
      </c>
      <c r="AU1537">
        <v>0</v>
      </c>
      <c r="AV1537">
        <v>0</v>
      </c>
      <c r="AW1537">
        <v>31.2</v>
      </c>
      <c r="AX1537">
        <v>0</v>
      </c>
      <c r="AY1537">
        <v>728</v>
      </c>
      <c r="AZ1537">
        <v>92</v>
      </c>
      <c r="BA1537">
        <v>1008</v>
      </c>
      <c r="BD1537">
        <v>343</v>
      </c>
      <c r="BE1537" t="s">
        <v>466</v>
      </c>
      <c r="BF1537" t="s">
        <v>567</v>
      </c>
    </row>
    <row r="1538" spans="1:58" x14ac:dyDescent="0.45">
      <c r="A1538">
        <v>30094</v>
      </c>
      <c r="B1538">
        <v>1</v>
      </c>
      <c r="C1538">
        <v>83</v>
      </c>
      <c r="D1538">
        <v>4</v>
      </c>
      <c r="E1538">
        <v>3</v>
      </c>
      <c r="F1538">
        <v>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7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752.2</v>
      </c>
      <c r="AF1538">
        <v>0</v>
      </c>
      <c r="AG1538">
        <v>1</v>
      </c>
      <c r="AH1538">
        <v>0</v>
      </c>
      <c r="AI1538">
        <v>0</v>
      </c>
      <c r="AJ1538">
        <v>0</v>
      </c>
      <c r="AP1538">
        <v>1</v>
      </c>
      <c r="AQ1538">
        <v>0</v>
      </c>
      <c r="AR1538">
        <v>1</v>
      </c>
      <c r="AS1538">
        <v>0</v>
      </c>
      <c r="AT1538">
        <v>0</v>
      </c>
      <c r="AU1538">
        <v>0</v>
      </c>
      <c r="AV1538">
        <v>0</v>
      </c>
      <c r="AW1538">
        <v>9.81</v>
      </c>
      <c r="AX1538">
        <v>4</v>
      </c>
      <c r="AY1538">
        <v>752.2</v>
      </c>
      <c r="BA1538">
        <v>829</v>
      </c>
      <c r="BB1538">
        <v>884</v>
      </c>
      <c r="BE1538" t="s">
        <v>467</v>
      </c>
      <c r="BF1538" t="s">
        <v>568</v>
      </c>
    </row>
    <row r="1539" spans="1:58" x14ac:dyDescent="0.45">
      <c r="A1539">
        <v>30095</v>
      </c>
      <c r="B1539">
        <v>1</v>
      </c>
      <c r="C1539">
        <v>82</v>
      </c>
      <c r="D1539">
        <v>5</v>
      </c>
      <c r="E1539">
        <v>5</v>
      </c>
      <c r="F1539">
        <v>3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749.7</v>
      </c>
      <c r="AF1539">
        <v>0</v>
      </c>
      <c r="AG1539">
        <v>1</v>
      </c>
      <c r="AH1539">
        <v>0</v>
      </c>
      <c r="AI1539">
        <v>0</v>
      </c>
      <c r="AJ1539">
        <v>0</v>
      </c>
      <c r="AP1539">
        <v>1</v>
      </c>
      <c r="AQ1539">
        <v>0</v>
      </c>
      <c r="AR1539">
        <v>1</v>
      </c>
      <c r="AS1539">
        <v>0</v>
      </c>
      <c r="AT1539">
        <v>0</v>
      </c>
      <c r="AU1539">
        <v>0</v>
      </c>
      <c r="AV1539">
        <v>0</v>
      </c>
      <c r="AW1539">
        <v>8.15</v>
      </c>
      <c r="AX1539">
        <v>5</v>
      </c>
      <c r="AY1539">
        <v>749.7</v>
      </c>
      <c r="BA1539">
        <v>804</v>
      </c>
      <c r="BB1539">
        <v>836</v>
      </c>
      <c r="BE1539" t="s">
        <v>467</v>
      </c>
      <c r="BF1539" t="s">
        <v>568</v>
      </c>
    </row>
    <row r="1540" spans="1:58" x14ac:dyDescent="0.45">
      <c r="A1540">
        <v>30096</v>
      </c>
      <c r="B1540">
        <v>1</v>
      </c>
      <c r="C1540">
        <v>82</v>
      </c>
      <c r="D1540">
        <v>3</v>
      </c>
      <c r="E1540">
        <v>7</v>
      </c>
      <c r="F1540">
        <v>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721.9</v>
      </c>
      <c r="AF1540">
        <v>0</v>
      </c>
      <c r="AG1540">
        <v>1</v>
      </c>
      <c r="AH1540">
        <v>0</v>
      </c>
      <c r="AI1540">
        <v>0</v>
      </c>
      <c r="AJ1540">
        <v>0</v>
      </c>
      <c r="AP1540">
        <v>1</v>
      </c>
      <c r="AQ1540">
        <v>0</v>
      </c>
      <c r="AR1540">
        <v>1</v>
      </c>
      <c r="AS1540">
        <v>0</v>
      </c>
      <c r="AT1540">
        <v>0</v>
      </c>
      <c r="AU1540">
        <v>1</v>
      </c>
      <c r="AV1540">
        <v>0</v>
      </c>
      <c r="AW1540">
        <v>11.490000000000002</v>
      </c>
      <c r="AX1540">
        <v>3</v>
      </c>
      <c r="AY1540">
        <v>721.9</v>
      </c>
      <c r="BA1540">
        <v>750</v>
      </c>
      <c r="BB1540">
        <v>1100</v>
      </c>
      <c r="BE1540" t="s">
        <v>468</v>
      </c>
      <c r="BF1540" t="s">
        <v>569</v>
      </c>
    </row>
    <row r="1541" spans="1:58" x14ac:dyDescent="0.45">
      <c r="A1541">
        <v>30097</v>
      </c>
      <c r="B1541">
        <v>1</v>
      </c>
      <c r="C1541">
        <v>47.5</v>
      </c>
      <c r="D1541">
        <v>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47.5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564.75</v>
      </c>
      <c r="AF1541">
        <v>0</v>
      </c>
      <c r="AG1541">
        <v>1</v>
      </c>
      <c r="AH1541">
        <v>0</v>
      </c>
      <c r="AI1541">
        <v>0</v>
      </c>
      <c r="AJ1541">
        <v>0</v>
      </c>
      <c r="AP1541">
        <v>1</v>
      </c>
      <c r="AQ1541">
        <v>0</v>
      </c>
      <c r="AR1541">
        <v>0</v>
      </c>
      <c r="AS1541">
        <v>1</v>
      </c>
      <c r="AT1541">
        <v>0</v>
      </c>
      <c r="AU1541">
        <v>0</v>
      </c>
      <c r="AV1541">
        <v>0</v>
      </c>
      <c r="AW1541">
        <v>-5</v>
      </c>
      <c r="AX1541">
        <v>12.916666666666668</v>
      </c>
      <c r="AY1541">
        <v>564.75</v>
      </c>
      <c r="AZ1541">
        <v>100</v>
      </c>
      <c r="BA1541">
        <v>1710</v>
      </c>
      <c r="BB1541">
        <v>1665</v>
      </c>
      <c r="BE1541" t="s">
        <v>469</v>
      </c>
      <c r="BF1541" t="s">
        <v>570</v>
      </c>
    </row>
    <row r="1542" spans="1:58" x14ac:dyDescent="0.45">
      <c r="A1542">
        <v>30098</v>
      </c>
      <c r="B1542">
        <v>1</v>
      </c>
      <c r="C1542">
        <v>47</v>
      </c>
      <c r="D1542">
        <v>5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47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556.40000000000009</v>
      </c>
      <c r="AF1542">
        <v>0</v>
      </c>
      <c r="AG1542">
        <v>1</v>
      </c>
      <c r="AH1542">
        <v>0</v>
      </c>
      <c r="AI1542">
        <v>0</v>
      </c>
      <c r="AJ1542">
        <v>0</v>
      </c>
      <c r="AP1542">
        <v>1</v>
      </c>
      <c r="AQ1542">
        <v>0</v>
      </c>
      <c r="AR1542">
        <v>1</v>
      </c>
      <c r="AS1542">
        <v>1</v>
      </c>
      <c r="AT1542">
        <v>1</v>
      </c>
      <c r="AU1542">
        <v>0</v>
      </c>
      <c r="AV1542">
        <v>0</v>
      </c>
      <c r="AW1542">
        <v>-4.33</v>
      </c>
      <c r="AX1542">
        <v>12.833333333333332</v>
      </c>
      <c r="AY1542">
        <v>556.40000000000009</v>
      </c>
      <c r="AZ1542">
        <v>72</v>
      </c>
      <c r="BA1542">
        <v>740</v>
      </c>
      <c r="BB1542">
        <v>1255</v>
      </c>
      <c r="BE1542" t="s">
        <v>469</v>
      </c>
      <c r="BF1542" t="s">
        <v>570</v>
      </c>
    </row>
    <row r="1543" spans="1:58" x14ac:dyDescent="0.45">
      <c r="A1543">
        <v>30099</v>
      </c>
      <c r="B1543">
        <v>1</v>
      </c>
      <c r="C1543">
        <v>46</v>
      </c>
      <c r="D1543">
        <v>5</v>
      </c>
      <c r="E1543">
        <v>3</v>
      </c>
      <c r="F1543">
        <v>0</v>
      </c>
      <c r="G1543">
        <v>0</v>
      </c>
      <c r="H1543">
        <v>0</v>
      </c>
      <c r="I1543">
        <v>0</v>
      </c>
      <c r="J1543">
        <v>46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539.69999999999993</v>
      </c>
      <c r="AF1543">
        <v>0</v>
      </c>
      <c r="AG1543">
        <v>1</v>
      </c>
      <c r="AH1543">
        <v>0</v>
      </c>
      <c r="AI1543">
        <v>0</v>
      </c>
      <c r="AJ1543">
        <v>0</v>
      </c>
      <c r="AP1543">
        <v>1</v>
      </c>
      <c r="AQ1543">
        <v>0</v>
      </c>
      <c r="AR1543">
        <v>1</v>
      </c>
      <c r="AS1543">
        <v>0</v>
      </c>
      <c r="AT1543">
        <v>1</v>
      </c>
      <c r="AU1543">
        <v>0</v>
      </c>
      <c r="AV1543">
        <v>0</v>
      </c>
      <c r="AW1543">
        <v>-2.9899999999999998</v>
      </c>
      <c r="AX1543">
        <v>12.666666666666668</v>
      </c>
      <c r="AY1543">
        <v>539.69999999999993</v>
      </c>
      <c r="AZ1543">
        <v>68</v>
      </c>
      <c r="BA1543">
        <v>690</v>
      </c>
      <c r="BB1543">
        <v>1355</v>
      </c>
      <c r="BE1543" t="s">
        <v>469</v>
      </c>
      <c r="BF1543" t="s">
        <v>570</v>
      </c>
    </row>
    <row r="1544" spans="1:58" x14ac:dyDescent="0.45">
      <c r="A1544">
        <v>30100</v>
      </c>
      <c r="B1544">
        <v>1</v>
      </c>
      <c r="C1544">
        <v>45</v>
      </c>
      <c r="D1544">
        <v>5</v>
      </c>
      <c r="E1544">
        <v>5</v>
      </c>
      <c r="F1544">
        <v>0</v>
      </c>
      <c r="G1544">
        <v>0</v>
      </c>
      <c r="H1544">
        <v>0</v>
      </c>
      <c r="I1544">
        <v>0</v>
      </c>
      <c r="J1544">
        <v>45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523</v>
      </c>
      <c r="AF1544">
        <v>0</v>
      </c>
      <c r="AG1544">
        <v>1</v>
      </c>
      <c r="AH1544">
        <v>0</v>
      </c>
      <c r="AI1544">
        <v>0</v>
      </c>
      <c r="AJ1544">
        <v>0</v>
      </c>
      <c r="AP1544">
        <v>1</v>
      </c>
      <c r="AQ1544">
        <v>0</v>
      </c>
      <c r="AR1544">
        <v>1</v>
      </c>
      <c r="AS1544">
        <v>0</v>
      </c>
      <c r="AT1544">
        <v>1</v>
      </c>
      <c r="AU1544">
        <v>0</v>
      </c>
      <c r="AV1544">
        <v>0</v>
      </c>
      <c r="AW1544">
        <v>-1.65</v>
      </c>
      <c r="AX1544">
        <v>12.5</v>
      </c>
      <c r="AY1544">
        <v>523</v>
      </c>
      <c r="AZ1544">
        <v>73</v>
      </c>
      <c r="BA1544">
        <v>955</v>
      </c>
      <c r="BB1544">
        <v>1055</v>
      </c>
      <c r="BE1544" t="s">
        <v>469</v>
      </c>
      <c r="BF1544" t="s">
        <v>570</v>
      </c>
    </row>
    <row r="1545" spans="1:58" x14ac:dyDescent="0.45">
      <c r="A1545">
        <v>30101</v>
      </c>
      <c r="B1545">
        <v>1</v>
      </c>
      <c r="C1545">
        <v>44</v>
      </c>
      <c r="D1545">
        <v>5</v>
      </c>
      <c r="E1545">
        <v>7</v>
      </c>
      <c r="F1545">
        <v>0</v>
      </c>
      <c r="G1545">
        <v>0</v>
      </c>
      <c r="H1545">
        <v>0</v>
      </c>
      <c r="I1545">
        <v>0</v>
      </c>
      <c r="J1545">
        <v>44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506.29999999999995</v>
      </c>
      <c r="AF1545">
        <v>0</v>
      </c>
      <c r="AG1545">
        <v>1</v>
      </c>
      <c r="AH1545">
        <v>0</v>
      </c>
      <c r="AI1545">
        <v>0</v>
      </c>
      <c r="AJ1545">
        <v>0</v>
      </c>
      <c r="AP1545">
        <v>1</v>
      </c>
      <c r="AQ1545">
        <v>0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-0.30999999999999961</v>
      </c>
      <c r="AX1545">
        <v>12.333333333333332</v>
      </c>
      <c r="AY1545">
        <v>506.29999999999995</v>
      </c>
      <c r="AZ1545">
        <v>81</v>
      </c>
      <c r="BA1545">
        <v>1065</v>
      </c>
      <c r="BB1545">
        <v>1185</v>
      </c>
      <c r="BE1545" t="s">
        <v>469</v>
      </c>
      <c r="BF1545" t="s">
        <v>570</v>
      </c>
    </row>
    <row r="1546" spans="1:58" x14ac:dyDescent="0.45">
      <c r="A1546">
        <v>30102</v>
      </c>
      <c r="B1546">
        <v>0</v>
      </c>
      <c r="C1546">
        <v>61.87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38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0.13</v>
      </c>
      <c r="U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897.99</v>
      </c>
      <c r="AF1546">
        <v>0</v>
      </c>
      <c r="AG1546">
        <v>1</v>
      </c>
      <c r="AH1546">
        <v>0</v>
      </c>
      <c r="AI1546">
        <v>0</v>
      </c>
      <c r="AJ1546">
        <v>0</v>
      </c>
      <c r="AP1546">
        <v>1</v>
      </c>
      <c r="AQ1546">
        <v>0</v>
      </c>
      <c r="AR1546">
        <v>1</v>
      </c>
      <c r="AS1546">
        <v>0</v>
      </c>
      <c r="AT1546">
        <v>1</v>
      </c>
      <c r="AU1546">
        <v>0</v>
      </c>
      <c r="AV1546">
        <v>0</v>
      </c>
      <c r="AW1546">
        <v>10.64</v>
      </c>
      <c r="AX1546">
        <v>1.3000000000000001E-2</v>
      </c>
      <c r="AY1546">
        <v>897.99</v>
      </c>
      <c r="AZ1546">
        <v>56</v>
      </c>
      <c r="BA1546">
        <v>203</v>
      </c>
      <c r="BB1546">
        <v>481</v>
      </c>
      <c r="BE1546" t="s">
        <v>470</v>
      </c>
      <c r="BF1546" t="s">
        <v>571</v>
      </c>
    </row>
    <row r="1547" spans="1:58" x14ac:dyDescent="0.45">
      <c r="A1547">
        <v>30103</v>
      </c>
      <c r="B1547">
        <v>0</v>
      </c>
      <c r="C1547">
        <v>61.76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0.24</v>
      </c>
      <c r="U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911.52</v>
      </c>
      <c r="AF1547">
        <v>0</v>
      </c>
      <c r="AG1547">
        <v>1</v>
      </c>
      <c r="AH1547">
        <v>0</v>
      </c>
      <c r="AI1547">
        <v>0</v>
      </c>
      <c r="AJ1547">
        <v>0</v>
      </c>
      <c r="AP1547">
        <v>1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10.64</v>
      </c>
      <c r="AX1547">
        <v>2.4E-2</v>
      </c>
      <c r="AY1547">
        <v>911.52</v>
      </c>
      <c r="AZ1547">
        <v>58</v>
      </c>
      <c r="BA1547">
        <v>301</v>
      </c>
      <c r="BB1547">
        <v>578</v>
      </c>
      <c r="BE1547" t="s">
        <v>470</v>
      </c>
      <c r="BF1547" t="s">
        <v>571</v>
      </c>
    </row>
    <row r="1548" spans="1:58" x14ac:dyDescent="0.45">
      <c r="A1548">
        <v>30104</v>
      </c>
      <c r="B1548">
        <v>0</v>
      </c>
      <c r="C1548">
        <v>61.54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38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0.46</v>
      </c>
      <c r="U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938.58</v>
      </c>
      <c r="AF1548">
        <v>0</v>
      </c>
      <c r="AG1548">
        <v>1</v>
      </c>
      <c r="AH1548">
        <v>0</v>
      </c>
      <c r="AI1548">
        <v>0</v>
      </c>
      <c r="AJ1548">
        <v>0</v>
      </c>
      <c r="AP1548">
        <v>1</v>
      </c>
      <c r="AQ1548">
        <v>0</v>
      </c>
      <c r="AR1548">
        <v>1</v>
      </c>
      <c r="AS1548">
        <v>0</v>
      </c>
      <c r="AT1548">
        <v>0</v>
      </c>
      <c r="AU1548">
        <v>0</v>
      </c>
      <c r="AV1548">
        <v>0</v>
      </c>
      <c r="AW1548">
        <v>10.64</v>
      </c>
      <c r="AX1548">
        <v>4.5999999999999999E-2</v>
      </c>
      <c r="AY1548">
        <v>938.58</v>
      </c>
      <c r="AZ1548">
        <v>62</v>
      </c>
      <c r="BA1548">
        <v>575</v>
      </c>
      <c r="BB1548">
        <v>780</v>
      </c>
      <c r="BE1548" t="s">
        <v>470</v>
      </c>
      <c r="BF1548" t="s">
        <v>571</v>
      </c>
    </row>
    <row r="1549" spans="1:58" x14ac:dyDescent="0.45">
      <c r="A1549">
        <v>30105</v>
      </c>
      <c r="B1549">
        <v>1</v>
      </c>
      <c r="C1549">
        <v>83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5</v>
      </c>
      <c r="K1549">
        <v>0</v>
      </c>
      <c r="L1549">
        <v>12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733.5</v>
      </c>
      <c r="AF1549">
        <v>0</v>
      </c>
      <c r="AG1549">
        <v>1</v>
      </c>
      <c r="AH1549">
        <v>0</v>
      </c>
      <c r="AI1549">
        <v>0</v>
      </c>
      <c r="AJ1549">
        <v>0</v>
      </c>
      <c r="AP1549">
        <v>1</v>
      </c>
      <c r="AQ1549">
        <v>0</v>
      </c>
      <c r="AR1549">
        <v>1</v>
      </c>
      <c r="AS1549">
        <v>0</v>
      </c>
      <c r="AT1549">
        <v>1</v>
      </c>
      <c r="AU1549">
        <v>0</v>
      </c>
      <c r="AV1549">
        <v>0</v>
      </c>
      <c r="AW1549">
        <v>12</v>
      </c>
      <c r="AX1549">
        <v>0.83333333333333337</v>
      </c>
      <c r="AY1549">
        <v>733.5</v>
      </c>
      <c r="AZ1549">
        <v>64.5</v>
      </c>
      <c r="BA1549">
        <v>509</v>
      </c>
      <c r="BB1549">
        <v>628</v>
      </c>
      <c r="BD1549">
        <v>442</v>
      </c>
      <c r="BE1549" t="s">
        <v>471</v>
      </c>
      <c r="BF1549" t="s">
        <v>572</v>
      </c>
    </row>
    <row r="1550" spans="1:58" x14ac:dyDescent="0.45">
      <c r="A1550">
        <v>30106</v>
      </c>
      <c r="B1550">
        <v>1</v>
      </c>
      <c r="C1550">
        <v>50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25</v>
      </c>
      <c r="L1550">
        <v>0</v>
      </c>
      <c r="M1550">
        <v>0</v>
      </c>
      <c r="N1550">
        <v>0</v>
      </c>
      <c r="O1550">
        <v>25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882</v>
      </c>
      <c r="AF1550">
        <v>0</v>
      </c>
      <c r="AG1550">
        <v>1</v>
      </c>
      <c r="AH1550">
        <v>0</v>
      </c>
      <c r="AI1550">
        <v>0</v>
      </c>
      <c r="AJ1550">
        <v>0</v>
      </c>
      <c r="AP1550">
        <v>1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12.5</v>
      </c>
      <c r="AX1550">
        <v>0</v>
      </c>
      <c r="AY1550">
        <v>882</v>
      </c>
      <c r="AZ1550">
        <v>55</v>
      </c>
      <c r="BA1550">
        <v>200</v>
      </c>
      <c r="BB1550">
        <v>530</v>
      </c>
      <c r="BD1550">
        <v>145</v>
      </c>
      <c r="BE1550" t="s">
        <v>472</v>
      </c>
      <c r="BF1550" t="s">
        <v>573</v>
      </c>
    </row>
    <row r="1551" spans="1:58" x14ac:dyDescent="0.45">
      <c r="A1551">
        <v>30107</v>
      </c>
      <c r="B1551">
        <v>1</v>
      </c>
      <c r="C1551">
        <v>100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882</v>
      </c>
      <c r="AF1551">
        <v>0</v>
      </c>
      <c r="AJ1551">
        <v>0</v>
      </c>
      <c r="AP1551">
        <v>1</v>
      </c>
      <c r="AQ1551">
        <v>1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882</v>
      </c>
      <c r="AZ1551">
        <v>105</v>
      </c>
      <c r="BA1551">
        <v>200</v>
      </c>
      <c r="BB1551">
        <v>360</v>
      </c>
      <c r="BD1551">
        <v>134</v>
      </c>
      <c r="BE1551" t="s">
        <v>472</v>
      </c>
      <c r="BF1551" t="s">
        <v>573</v>
      </c>
    </row>
    <row r="1552" spans="1:58" x14ac:dyDescent="0.45">
      <c r="A1552">
        <v>30108</v>
      </c>
      <c r="B1552">
        <v>0</v>
      </c>
      <c r="C1552">
        <v>84.85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0.15</v>
      </c>
      <c r="U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900.45</v>
      </c>
      <c r="AF1552">
        <v>0</v>
      </c>
      <c r="AJ1552">
        <v>0</v>
      </c>
      <c r="AP1552">
        <v>1</v>
      </c>
      <c r="AQ1552">
        <v>1</v>
      </c>
      <c r="AR1552">
        <v>1</v>
      </c>
      <c r="AS1552">
        <v>0</v>
      </c>
      <c r="AT1552">
        <v>0</v>
      </c>
      <c r="AU1552">
        <v>0</v>
      </c>
      <c r="AV1552">
        <v>0</v>
      </c>
      <c r="AW1552">
        <v>4.2</v>
      </c>
      <c r="AX1552">
        <v>1.4999999999999999E-2</v>
      </c>
      <c r="AY1552">
        <v>900.45</v>
      </c>
      <c r="AZ1552">
        <v>96</v>
      </c>
      <c r="BA1552">
        <v>558</v>
      </c>
      <c r="BD1552">
        <v>211</v>
      </c>
      <c r="BE1552" t="s">
        <v>473</v>
      </c>
      <c r="BF1552" t="s">
        <v>574</v>
      </c>
    </row>
    <row r="1553" spans="1:58" x14ac:dyDescent="0.45">
      <c r="A1553">
        <v>30109</v>
      </c>
      <c r="B1553">
        <v>0</v>
      </c>
      <c r="C1553">
        <v>84.75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15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0.25</v>
      </c>
      <c r="U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912.75</v>
      </c>
      <c r="AF1553">
        <v>0</v>
      </c>
      <c r="AJ1553">
        <v>0</v>
      </c>
      <c r="AP1553">
        <v>1</v>
      </c>
      <c r="AQ1553">
        <v>1</v>
      </c>
      <c r="AR1553">
        <v>1</v>
      </c>
      <c r="AS1553">
        <v>0</v>
      </c>
      <c r="AT1553">
        <v>0</v>
      </c>
      <c r="AU1553">
        <v>0</v>
      </c>
      <c r="AV1553">
        <v>0</v>
      </c>
      <c r="AW1553">
        <v>4.2</v>
      </c>
      <c r="AX1553">
        <v>2.5000000000000001E-2</v>
      </c>
      <c r="AY1553">
        <v>912.75</v>
      </c>
      <c r="AZ1553">
        <v>103</v>
      </c>
      <c r="BA1553">
        <v>744</v>
      </c>
      <c r="BD1553">
        <v>245</v>
      </c>
      <c r="BE1553" t="s">
        <v>473</v>
      </c>
      <c r="BF1553" t="s">
        <v>574</v>
      </c>
    </row>
    <row r="1554" spans="1:58" x14ac:dyDescent="0.45">
      <c r="A1554">
        <v>30110</v>
      </c>
      <c r="B1554">
        <v>0</v>
      </c>
      <c r="C1554">
        <v>84.6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15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0.4</v>
      </c>
      <c r="U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931.2</v>
      </c>
      <c r="AF1554">
        <v>0</v>
      </c>
      <c r="AJ1554">
        <v>0</v>
      </c>
      <c r="AP1554">
        <v>1</v>
      </c>
      <c r="AQ1554">
        <v>1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4.2</v>
      </c>
      <c r="AX1554">
        <v>0.04</v>
      </c>
      <c r="AY1554">
        <v>931.2</v>
      </c>
      <c r="AZ1554">
        <v>102</v>
      </c>
      <c r="BA1554">
        <v>962</v>
      </c>
      <c r="BD1554">
        <v>265</v>
      </c>
      <c r="BE1554" t="s">
        <v>473</v>
      </c>
      <c r="BF1554" t="s">
        <v>574</v>
      </c>
    </row>
    <row r="1555" spans="1:58" x14ac:dyDescent="0.45">
      <c r="A1555">
        <v>30111</v>
      </c>
      <c r="B1555">
        <v>0</v>
      </c>
      <c r="C1555">
        <v>82.35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17.5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0.15</v>
      </c>
      <c r="U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900.45</v>
      </c>
      <c r="AF1555">
        <v>0</v>
      </c>
      <c r="AJ1555">
        <v>0</v>
      </c>
      <c r="AP1555">
        <v>1</v>
      </c>
      <c r="AQ1555">
        <v>1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4.9000000000000004</v>
      </c>
      <c r="AX1555">
        <v>1.4999999999999999E-2</v>
      </c>
      <c r="AY1555">
        <v>900.45</v>
      </c>
      <c r="AZ1555">
        <v>89</v>
      </c>
      <c r="BA1555">
        <v>628</v>
      </c>
      <c r="BD1555">
        <v>220</v>
      </c>
      <c r="BE1555" t="s">
        <v>473</v>
      </c>
      <c r="BF1555" t="s">
        <v>574</v>
      </c>
    </row>
    <row r="1556" spans="1:58" x14ac:dyDescent="0.45">
      <c r="A1556">
        <v>30112</v>
      </c>
      <c r="B1556">
        <v>0</v>
      </c>
      <c r="C1556">
        <v>82.25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17.5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0.25</v>
      </c>
      <c r="U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912.75</v>
      </c>
      <c r="AF1556">
        <v>0</v>
      </c>
      <c r="AJ1556">
        <v>0</v>
      </c>
      <c r="AP1556">
        <v>1</v>
      </c>
      <c r="AQ1556">
        <v>1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4.9000000000000004</v>
      </c>
      <c r="AX1556">
        <v>2.5000000000000001E-2</v>
      </c>
      <c r="AY1556">
        <v>912.75</v>
      </c>
      <c r="AZ1556">
        <v>91</v>
      </c>
      <c r="BA1556">
        <v>822</v>
      </c>
      <c r="BD1556">
        <v>252</v>
      </c>
      <c r="BE1556" t="s">
        <v>473</v>
      </c>
      <c r="BF1556" t="s">
        <v>574</v>
      </c>
    </row>
    <row r="1557" spans="1:58" x14ac:dyDescent="0.45">
      <c r="A1557">
        <v>30113</v>
      </c>
      <c r="B1557">
        <v>0</v>
      </c>
      <c r="C1557">
        <v>82.1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17.5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0.4</v>
      </c>
      <c r="U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931.2</v>
      </c>
      <c r="AF1557">
        <v>0</v>
      </c>
      <c r="AJ1557">
        <v>0</v>
      </c>
      <c r="AP1557">
        <v>1</v>
      </c>
      <c r="AQ1557">
        <v>1</v>
      </c>
      <c r="AR1557">
        <v>1</v>
      </c>
      <c r="AS1557">
        <v>0</v>
      </c>
      <c r="AT1557">
        <v>0</v>
      </c>
      <c r="AU1557">
        <v>0</v>
      </c>
      <c r="AV1557">
        <v>0</v>
      </c>
      <c r="AW1557">
        <v>4.9000000000000004</v>
      </c>
      <c r="AX1557">
        <v>0.04</v>
      </c>
      <c r="AY1557">
        <v>931.2</v>
      </c>
      <c r="AZ1557">
        <v>92</v>
      </c>
      <c r="BA1557">
        <v>893</v>
      </c>
      <c r="BD1557">
        <v>275</v>
      </c>
      <c r="BE1557" t="s">
        <v>473</v>
      </c>
      <c r="BF1557" t="s">
        <v>574</v>
      </c>
    </row>
    <row r="1558" spans="1:58" x14ac:dyDescent="0.45">
      <c r="A1558">
        <v>30114</v>
      </c>
      <c r="B1558">
        <v>0</v>
      </c>
      <c r="C1558">
        <v>79.849999999999994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20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0.15</v>
      </c>
      <c r="U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900.45</v>
      </c>
      <c r="AF1558">
        <v>0</v>
      </c>
      <c r="AJ1558">
        <v>0</v>
      </c>
      <c r="AP1558">
        <v>1</v>
      </c>
      <c r="AQ1558">
        <v>1</v>
      </c>
      <c r="AR1558">
        <v>1</v>
      </c>
      <c r="AS1558">
        <v>0</v>
      </c>
      <c r="AT1558">
        <v>0</v>
      </c>
      <c r="AU1558">
        <v>0</v>
      </c>
      <c r="AV1558">
        <v>0</v>
      </c>
      <c r="AW1558">
        <v>5.6000000000000005</v>
      </c>
      <c r="AX1558">
        <v>1.4999999999999999E-2</v>
      </c>
      <c r="AY1558">
        <v>900.45</v>
      </c>
      <c r="AZ1558">
        <v>89</v>
      </c>
      <c r="BA1558">
        <v>655</v>
      </c>
      <c r="BD1558">
        <v>239</v>
      </c>
      <c r="BE1558" t="s">
        <v>473</v>
      </c>
      <c r="BF1558" t="s">
        <v>574</v>
      </c>
    </row>
    <row r="1559" spans="1:58" x14ac:dyDescent="0.45">
      <c r="A1559">
        <v>30115</v>
      </c>
      <c r="B1559">
        <v>0</v>
      </c>
      <c r="C1559">
        <v>79.75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20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0.25</v>
      </c>
      <c r="U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912.75</v>
      </c>
      <c r="AF1559">
        <v>0</v>
      </c>
      <c r="AJ1559">
        <v>0</v>
      </c>
      <c r="AP1559">
        <v>1</v>
      </c>
      <c r="AQ1559">
        <v>1</v>
      </c>
      <c r="AR1559">
        <v>1</v>
      </c>
      <c r="AS1559">
        <v>0</v>
      </c>
      <c r="AT1559">
        <v>0</v>
      </c>
      <c r="AU1559">
        <v>0</v>
      </c>
      <c r="AV1559">
        <v>0</v>
      </c>
      <c r="AW1559">
        <v>5.6000000000000005</v>
      </c>
      <c r="AX1559">
        <v>2.5000000000000001E-2</v>
      </c>
      <c r="AY1559">
        <v>912.75</v>
      </c>
      <c r="AZ1559">
        <v>87</v>
      </c>
      <c r="BA1559">
        <v>818</v>
      </c>
      <c r="BD1559">
        <v>273</v>
      </c>
      <c r="BE1559" t="s">
        <v>473</v>
      </c>
      <c r="BF1559" t="s">
        <v>574</v>
      </c>
    </row>
    <row r="1560" spans="1:58" x14ac:dyDescent="0.45">
      <c r="A1560">
        <v>30116</v>
      </c>
      <c r="B1560">
        <v>0</v>
      </c>
      <c r="C1560">
        <v>79.599999999999994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20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0.4</v>
      </c>
      <c r="U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931.2</v>
      </c>
      <c r="AF1560">
        <v>0</v>
      </c>
      <c r="AJ1560">
        <v>0</v>
      </c>
      <c r="AP1560">
        <v>1</v>
      </c>
      <c r="AQ1560">
        <v>1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5.6000000000000005</v>
      </c>
      <c r="AX1560">
        <v>0.04</v>
      </c>
      <c r="AY1560">
        <v>931.2</v>
      </c>
      <c r="AZ1560">
        <v>94</v>
      </c>
      <c r="BA1560">
        <v>906</v>
      </c>
      <c r="BD1560">
        <v>291</v>
      </c>
      <c r="BE1560" t="s">
        <v>473</v>
      </c>
      <c r="BF1560" t="s">
        <v>574</v>
      </c>
    </row>
    <row r="1561" spans="1:58" x14ac:dyDescent="0.45">
      <c r="A1561">
        <v>30117</v>
      </c>
      <c r="B1561">
        <v>0</v>
      </c>
      <c r="C1561">
        <v>77.349999999999994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22.5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0.15</v>
      </c>
      <c r="U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900.45</v>
      </c>
      <c r="AF1561">
        <v>0</v>
      </c>
      <c r="AJ1561">
        <v>0</v>
      </c>
      <c r="AP1561">
        <v>1</v>
      </c>
      <c r="AQ1561">
        <v>1</v>
      </c>
      <c r="AR1561">
        <v>1</v>
      </c>
      <c r="AS1561">
        <v>0</v>
      </c>
      <c r="AT1561">
        <v>0</v>
      </c>
      <c r="AU1561">
        <v>0</v>
      </c>
      <c r="AV1561">
        <v>0</v>
      </c>
      <c r="AW1561">
        <v>6.3000000000000007</v>
      </c>
      <c r="AX1561">
        <v>1.4999999999999999E-2</v>
      </c>
      <c r="AY1561">
        <v>900.45</v>
      </c>
      <c r="AZ1561">
        <v>89</v>
      </c>
      <c r="BA1561">
        <v>734</v>
      </c>
      <c r="BD1561">
        <v>262</v>
      </c>
      <c r="BE1561" t="s">
        <v>473</v>
      </c>
      <c r="BF1561" t="s">
        <v>574</v>
      </c>
    </row>
    <row r="1562" spans="1:58" x14ac:dyDescent="0.45">
      <c r="A1562">
        <v>30118</v>
      </c>
      <c r="B1562">
        <v>0</v>
      </c>
      <c r="C1562">
        <v>77.25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22.5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0.25</v>
      </c>
      <c r="U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912.75</v>
      </c>
      <c r="AF1562">
        <v>0</v>
      </c>
      <c r="AJ1562">
        <v>0</v>
      </c>
      <c r="AP1562">
        <v>1</v>
      </c>
      <c r="AQ1562">
        <v>1</v>
      </c>
      <c r="AR1562">
        <v>1</v>
      </c>
      <c r="AS1562">
        <v>0</v>
      </c>
      <c r="AT1562">
        <v>0</v>
      </c>
      <c r="AU1562">
        <v>0</v>
      </c>
      <c r="AV1562">
        <v>0</v>
      </c>
      <c r="AW1562">
        <v>6.3000000000000007</v>
      </c>
      <c r="AX1562">
        <v>2.5000000000000001E-2</v>
      </c>
      <c r="AY1562">
        <v>912.75</v>
      </c>
      <c r="AZ1562">
        <v>99</v>
      </c>
      <c r="BA1562">
        <v>854</v>
      </c>
      <c r="BD1562">
        <v>290</v>
      </c>
      <c r="BE1562" t="s">
        <v>473</v>
      </c>
      <c r="BF1562" t="s">
        <v>574</v>
      </c>
    </row>
    <row r="1563" spans="1:58" x14ac:dyDescent="0.45">
      <c r="A1563">
        <v>30119</v>
      </c>
      <c r="B1563">
        <v>0</v>
      </c>
      <c r="C1563">
        <v>77.099999999999994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22.5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0.4</v>
      </c>
      <c r="U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931.2</v>
      </c>
      <c r="AF1563">
        <v>0</v>
      </c>
      <c r="AJ1563">
        <v>0</v>
      </c>
      <c r="AP1563">
        <v>1</v>
      </c>
      <c r="AQ1563">
        <v>1</v>
      </c>
      <c r="AR1563">
        <v>1</v>
      </c>
      <c r="AS1563">
        <v>0</v>
      </c>
      <c r="AT1563">
        <v>0</v>
      </c>
      <c r="AU1563">
        <v>0</v>
      </c>
      <c r="AV1563">
        <v>0</v>
      </c>
      <c r="AW1563">
        <v>6.3000000000000007</v>
      </c>
      <c r="AX1563">
        <v>0.04</v>
      </c>
      <c r="AY1563">
        <v>931.2</v>
      </c>
      <c r="AZ1563">
        <v>100</v>
      </c>
      <c r="BA1563">
        <v>930</v>
      </c>
      <c r="BD1563">
        <v>303</v>
      </c>
      <c r="BE1563" t="s">
        <v>473</v>
      </c>
      <c r="BF1563" t="s">
        <v>574</v>
      </c>
    </row>
    <row r="1564" spans="1:58" x14ac:dyDescent="0.45">
      <c r="A1564">
        <v>30120</v>
      </c>
      <c r="B1564">
        <v>1</v>
      </c>
      <c r="C1564">
        <v>99.801699999999997</v>
      </c>
      <c r="D1564">
        <v>0</v>
      </c>
      <c r="E1564">
        <v>0</v>
      </c>
      <c r="F1564">
        <v>0</v>
      </c>
      <c r="G1564">
        <v>0</v>
      </c>
      <c r="H1564">
        <v>0.1983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878.94655000575472</v>
      </c>
      <c r="AF1564">
        <v>0</v>
      </c>
      <c r="AJ1564">
        <v>0</v>
      </c>
      <c r="AP1564">
        <v>1</v>
      </c>
      <c r="AQ1564">
        <v>1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0.57500032359165043</v>
      </c>
      <c r="AX1564">
        <v>0</v>
      </c>
      <c r="AY1564">
        <v>878.94655000575472</v>
      </c>
      <c r="AZ1564">
        <v>102</v>
      </c>
      <c r="BA1564">
        <v>170</v>
      </c>
      <c r="BE1564" t="s">
        <v>474</v>
      </c>
      <c r="BF1564" t="s">
        <v>575</v>
      </c>
    </row>
    <row r="1565" spans="1:58" x14ac:dyDescent="0.45">
      <c r="A1565">
        <v>30121</v>
      </c>
      <c r="B1565">
        <v>1</v>
      </c>
      <c r="C1565">
        <v>99.801699999999997</v>
      </c>
      <c r="D1565">
        <v>0</v>
      </c>
      <c r="E1565">
        <v>0</v>
      </c>
      <c r="F1565">
        <v>0</v>
      </c>
      <c r="G1565">
        <v>0</v>
      </c>
      <c r="H1565">
        <v>0.1983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878.94655000575472</v>
      </c>
      <c r="AF1565">
        <v>0</v>
      </c>
      <c r="AJ1565">
        <v>0</v>
      </c>
      <c r="AP1565">
        <v>1</v>
      </c>
      <c r="AQ1565">
        <v>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0.57500032359165043</v>
      </c>
      <c r="AX1565">
        <v>0</v>
      </c>
      <c r="AY1565">
        <v>878.94655000575472</v>
      </c>
      <c r="AZ1565">
        <v>102</v>
      </c>
      <c r="BA1565">
        <v>275</v>
      </c>
      <c r="BE1565" t="s">
        <v>474</v>
      </c>
      <c r="BF1565" t="s">
        <v>575</v>
      </c>
    </row>
    <row r="1566" spans="1:58" x14ac:dyDescent="0.45">
      <c r="A1566">
        <v>30122</v>
      </c>
      <c r="B1566">
        <v>1</v>
      </c>
      <c r="C1566">
        <v>99.801699999999997</v>
      </c>
      <c r="D1566">
        <v>0</v>
      </c>
      <c r="E1566">
        <v>0</v>
      </c>
      <c r="F1566">
        <v>0</v>
      </c>
      <c r="G1566">
        <v>0</v>
      </c>
      <c r="H1566">
        <v>0.1983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878.94655000575472</v>
      </c>
      <c r="AF1566">
        <v>0</v>
      </c>
      <c r="AJ1566">
        <v>0</v>
      </c>
      <c r="AP1566">
        <v>1</v>
      </c>
      <c r="AQ1566">
        <v>1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0.57500032359165043</v>
      </c>
      <c r="AX1566">
        <v>0</v>
      </c>
      <c r="AY1566">
        <v>878.94655000575472</v>
      </c>
      <c r="AZ1566">
        <v>102</v>
      </c>
      <c r="BA1566">
        <v>380</v>
      </c>
      <c r="BE1566" t="s">
        <v>474</v>
      </c>
      <c r="BF1566" t="s">
        <v>575</v>
      </c>
    </row>
    <row r="1567" spans="1:58" x14ac:dyDescent="0.45">
      <c r="A1567">
        <v>30123</v>
      </c>
      <c r="B1567">
        <v>1</v>
      </c>
      <c r="C1567">
        <v>99.696799999999996</v>
      </c>
      <c r="D1567">
        <v>0</v>
      </c>
      <c r="E1567">
        <v>0</v>
      </c>
      <c r="F1567">
        <v>0</v>
      </c>
      <c r="G1567">
        <v>0</v>
      </c>
      <c r="H1567">
        <v>0.30320000000000003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877.33071782055117</v>
      </c>
      <c r="AF1567">
        <v>0</v>
      </c>
      <c r="AJ1567">
        <v>0</v>
      </c>
      <c r="AP1567">
        <v>1</v>
      </c>
      <c r="AQ1567">
        <v>1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0.87928041041568017</v>
      </c>
      <c r="AX1567">
        <v>0</v>
      </c>
      <c r="AY1567">
        <v>877.33071782055117</v>
      </c>
      <c r="AZ1567">
        <v>104</v>
      </c>
      <c r="BA1567">
        <v>483</v>
      </c>
      <c r="BE1567" t="s">
        <v>474</v>
      </c>
      <c r="BF1567" t="s">
        <v>575</v>
      </c>
    </row>
    <row r="1568" spans="1:58" x14ac:dyDescent="0.45">
      <c r="A1568">
        <v>30124</v>
      </c>
      <c r="B1568">
        <v>1</v>
      </c>
      <c r="C1568">
        <v>93</v>
      </c>
      <c r="D1568">
        <v>0</v>
      </c>
      <c r="E1568">
        <v>0</v>
      </c>
      <c r="F1568">
        <v>0</v>
      </c>
      <c r="G1568">
        <v>0</v>
      </c>
      <c r="H1568">
        <v>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J1568">
        <v>0</v>
      </c>
      <c r="AP1568">
        <v>1</v>
      </c>
      <c r="AQ1568">
        <v>0</v>
      </c>
      <c r="AR1568">
        <v>1</v>
      </c>
      <c r="AS1568">
        <v>0</v>
      </c>
      <c r="AT1568">
        <v>1</v>
      </c>
      <c r="AU1568">
        <v>0</v>
      </c>
      <c r="AV1568">
        <v>0</v>
      </c>
      <c r="AW1568">
        <v>20.3</v>
      </c>
      <c r="AX1568">
        <v>0</v>
      </c>
      <c r="AY1568">
        <v>774.2</v>
      </c>
      <c r="AZ1568">
        <v>130</v>
      </c>
      <c r="BA1568">
        <v>1847</v>
      </c>
      <c r="BD1568">
        <v>560</v>
      </c>
      <c r="BE1568" t="s">
        <v>475</v>
      </c>
      <c r="BF1568" t="s">
        <v>558</v>
      </c>
    </row>
    <row r="1569" spans="1:58" x14ac:dyDescent="0.45">
      <c r="A1569">
        <v>30125</v>
      </c>
      <c r="B1569">
        <v>1</v>
      </c>
      <c r="C1569">
        <v>92</v>
      </c>
      <c r="D1569">
        <v>0</v>
      </c>
      <c r="E1569">
        <v>0</v>
      </c>
      <c r="F1569">
        <v>0</v>
      </c>
      <c r="G1569">
        <v>0</v>
      </c>
      <c r="H1569">
        <v>7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J1569">
        <v>0</v>
      </c>
      <c r="AP1569">
        <v>1</v>
      </c>
      <c r="AQ1569">
        <v>0</v>
      </c>
      <c r="AR1569">
        <v>1</v>
      </c>
      <c r="AS1569">
        <v>0</v>
      </c>
      <c r="AT1569">
        <v>1</v>
      </c>
      <c r="AU1569">
        <v>0</v>
      </c>
      <c r="AV1569">
        <v>0</v>
      </c>
      <c r="AW1569">
        <v>20.580000000000002</v>
      </c>
      <c r="AX1569">
        <v>0</v>
      </c>
      <c r="AY1569">
        <v>774.2</v>
      </c>
      <c r="AZ1569">
        <v>124</v>
      </c>
      <c r="BA1569">
        <v>1785</v>
      </c>
      <c r="BD1569">
        <v>525</v>
      </c>
      <c r="BE1569" t="s">
        <v>475</v>
      </c>
      <c r="BF1569" t="s">
        <v>558</v>
      </c>
    </row>
    <row r="1570" spans="1:58" x14ac:dyDescent="0.45">
      <c r="A1570">
        <v>30126</v>
      </c>
      <c r="B1570">
        <v>1</v>
      </c>
      <c r="C1570">
        <v>89</v>
      </c>
      <c r="D1570">
        <v>0</v>
      </c>
      <c r="E1570">
        <v>0</v>
      </c>
      <c r="F1570">
        <v>0</v>
      </c>
      <c r="G1570">
        <v>0</v>
      </c>
      <c r="H1570">
        <v>7</v>
      </c>
      <c r="I1570">
        <v>0</v>
      </c>
      <c r="J1570">
        <v>0</v>
      </c>
      <c r="K1570">
        <v>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J1570">
        <v>0</v>
      </c>
      <c r="AP1570">
        <v>1</v>
      </c>
      <c r="AQ1570">
        <v>0</v>
      </c>
      <c r="AR1570">
        <v>1</v>
      </c>
      <c r="AS1570">
        <v>0</v>
      </c>
      <c r="AT1570">
        <v>1</v>
      </c>
      <c r="AU1570">
        <v>0</v>
      </c>
      <c r="AV1570">
        <v>0</v>
      </c>
      <c r="AW1570">
        <v>21.42</v>
      </c>
      <c r="AX1570">
        <v>0</v>
      </c>
      <c r="AY1570">
        <v>774.2</v>
      </c>
      <c r="AZ1570">
        <v>115</v>
      </c>
      <c r="BA1570">
        <v>1539</v>
      </c>
      <c r="BD1570">
        <v>472</v>
      </c>
      <c r="BE1570" t="s">
        <v>475</v>
      </c>
      <c r="BF1570" t="s">
        <v>558</v>
      </c>
    </row>
    <row r="1571" spans="1:58" x14ac:dyDescent="0.45">
      <c r="A1571">
        <v>30127</v>
      </c>
      <c r="B1571">
        <v>1</v>
      </c>
      <c r="C1571">
        <v>87</v>
      </c>
      <c r="D1571">
        <v>0</v>
      </c>
      <c r="E1571">
        <v>0</v>
      </c>
      <c r="F1571">
        <v>0</v>
      </c>
      <c r="G1571">
        <v>0</v>
      </c>
      <c r="H1571">
        <v>7</v>
      </c>
      <c r="I1571">
        <v>0</v>
      </c>
      <c r="J1571">
        <v>0</v>
      </c>
      <c r="K1571">
        <v>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J1571">
        <v>0</v>
      </c>
      <c r="AP1571">
        <v>1</v>
      </c>
      <c r="AQ1571">
        <v>0</v>
      </c>
      <c r="AR1571">
        <v>1</v>
      </c>
      <c r="AS1571">
        <v>0</v>
      </c>
      <c r="AT1571">
        <v>1</v>
      </c>
      <c r="AU1571">
        <v>0</v>
      </c>
      <c r="AV1571">
        <v>0</v>
      </c>
      <c r="AW1571">
        <v>21.98</v>
      </c>
      <c r="AX1571">
        <v>0</v>
      </c>
      <c r="AY1571">
        <v>774.2</v>
      </c>
      <c r="AZ1571">
        <v>97</v>
      </c>
      <c r="BA1571">
        <v>1144</v>
      </c>
      <c r="BD1571">
        <v>372</v>
      </c>
      <c r="BE1571" t="s">
        <v>475</v>
      </c>
      <c r="BF1571" t="s">
        <v>558</v>
      </c>
    </row>
    <row r="1572" spans="1:58" x14ac:dyDescent="0.45">
      <c r="A1572">
        <v>30128</v>
      </c>
      <c r="B1572">
        <v>1</v>
      </c>
      <c r="C1572">
        <v>84</v>
      </c>
      <c r="D1572">
        <v>0</v>
      </c>
      <c r="E1572">
        <v>0</v>
      </c>
      <c r="F1572">
        <v>0</v>
      </c>
      <c r="G1572">
        <v>0</v>
      </c>
      <c r="H1572">
        <v>7</v>
      </c>
      <c r="I1572">
        <v>0</v>
      </c>
      <c r="J1572">
        <v>0</v>
      </c>
      <c r="K1572">
        <v>9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J1572">
        <v>0</v>
      </c>
      <c r="AP1572">
        <v>1</v>
      </c>
      <c r="AQ1572">
        <v>0</v>
      </c>
      <c r="AR1572">
        <v>1</v>
      </c>
      <c r="AS1572">
        <v>0</v>
      </c>
      <c r="AT1572">
        <v>1</v>
      </c>
      <c r="AU1572">
        <v>0</v>
      </c>
      <c r="AV1572">
        <v>0</v>
      </c>
      <c r="AW1572">
        <v>22.82</v>
      </c>
      <c r="AX1572">
        <v>0</v>
      </c>
      <c r="AY1572">
        <v>774.2</v>
      </c>
      <c r="AZ1572">
        <v>89</v>
      </c>
      <c r="BA1572">
        <v>1010</v>
      </c>
      <c r="BD1572">
        <v>335</v>
      </c>
      <c r="BE1572" t="s">
        <v>475</v>
      </c>
      <c r="BF1572" t="s">
        <v>558</v>
      </c>
    </row>
    <row r="1573" spans="1:58" x14ac:dyDescent="0.45">
      <c r="A1573">
        <v>30129</v>
      </c>
      <c r="B1573">
        <v>1</v>
      </c>
      <c r="C1573">
        <v>82</v>
      </c>
      <c r="D1573">
        <v>0</v>
      </c>
      <c r="E1573">
        <v>0</v>
      </c>
      <c r="F1573">
        <v>0</v>
      </c>
      <c r="G1573">
        <v>0</v>
      </c>
      <c r="H1573">
        <v>7</v>
      </c>
      <c r="I1573">
        <v>0</v>
      </c>
      <c r="J1573">
        <v>0</v>
      </c>
      <c r="K1573">
        <v>11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J1573">
        <v>0</v>
      </c>
      <c r="AP1573">
        <v>1</v>
      </c>
      <c r="AQ1573">
        <v>0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23.380000000000003</v>
      </c>
      <c r="AX1573">
        <v>0</v>
      </c>
      <c r="AY1573">
        <v>774.2</v>
      </c>
      <c r="AZ1573">
        <v>86</v>
      </c>
      <c r="BA1573">
        <v>985</v>
      </c>
      <c r="BD1573">
        <v>325</v>
      </c>
      <c r="BE1573" t="s">
        <v>475</v>
      </c>
      <c r="BF1573" t="s">
        <v>558</v>
      </c>
    </row>
    <row r="1574" spans="1:58" x14ac:dyDescent="0.45">
      <c r="A1574">
        <v>30130</v>
      </c>
      <c r="B1574">
        <v>1</v>
      </c>
      <c r="C1574">
        <v>62</v>
      </c>
      <c r="D1574">
        <v>0</v>
      </c>
      <c r="E1574">
        <v>0</v>
      </c>
      <c r="F1574">
        <v>2</v>
      </c>
      <c r="G1574">
        <v>0</v>
      </c>
      <c r="H1574">
        <v>3</v>
      </c>
      <c r="I1574">
        <v>0</v>
      </c>
      <c r="J1574">
        <v>33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J1574">
        <v>0</v>
      </c>
      <c r="AP1574">
        <v>1</v>
      </c>
      <c r="AQ1574">
        <v>0</v>
      </c>
      <c r="AR1574">
        <v>1</v>
      </c>
      <c r="AS1574">
        <v>0</v>
      </c>
      <c r="AT1574">
        <v>0</v>
      </c>
      <c r="AU1574">
        <v>0</v>
      </c>
      <c r="AV1574">
        <v>1</v>
      </c>
      <c r="AW1574">
        <v>11.899999999999999</v>
      </c>
      <c r="AX1574">
        <v>5.5</v>
      </c>
      <c r="AY1574">
        <v>583.89999999999986</v>
      </c>
      <c r="AZ1574">
        <v>140</v>
      </c>
      <c r="BA1574">
        <v>1049</v>
      </c>
      <c r="BB1574">
        <v>1755</v>
      </c>
      <c r="BE1574" t="s">
        <v>476</v>
      </c>
      <c r="BF1574" t="s">
        <v>576</v>
      </c>
    </row>
    <row r="1575" spans="1:58" x14ac:dyDescent="0.45">
      <c r="A1575">
        <v>30131</v>
      </c>
      <c r="B1575">
        <v>1</v>
      </c>
      <c r="C1575">
        <v>60</v>
      </c>
      <c r="D1575">
        <v>0</v>
      </c>
      <c r="E1575">
        <v>0</v>
      </c>
      <c r="F1575">
        <v>2</v>
      </c>
      <c r="G1575">
        <v>0</v>
      </c>
      <c r="H1575">
        <v>5</v>
      </c>
      <c r="I1575">
        <v>0</v>
      </c>
      <c r="J1575">
        <v>33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J1575">
        <v>0</v>
      </c>
      <c r="AP1575">
        <v>1</v>
      </c>
      <c r="AQ1575">
        <v>0</v>
      </c>
      <c r="AR1575">
        <v>1</v>
      </c>
      <c r="AS1575">
        <v>0</v>
      </c>
      <c r="AT1575">
        <v>0</v>
      </c>
      <c r="AU1575">
        <v>0</v>
      </c>
      <c r="AV1575">
        <v>1</v>
      </c>
      <c r="AW1575">
        <v>17.7</v>
      </c>
      <c r="AX1575">
        <v>5.5</v>
      </c>
      <c r="AY1575">
        <v>553.09999999999991</v>
      </c>
      <c r="AZ1575">
        <v>145</v>
      </c>
      <c r="BA1575">
        <v>1130</v>
      </c>
      <c r="BB1575">
        <v>1830</v>
      </c>
      <c r="BE1575" t="s">
        <v>476</v>
      </c>
      <c r="BF1575" t="s">
        <v>576</v>
      </c>
    </row>
    <row r="1576" spans="1:58" x14ac:dyDescent="0.45">
      <c r="A1576">
        <v>30132</v>
      </c>
      <c r="B1576">
        <v>1</v>
      </c>
      <c r="C1576">
        <v>58</v>
      </c>
      <c r="D1576">
        <v>0</v>
      </c>
      <c r="E1576">
        <v>0</v>
      </c>
      <c r="F1576">
        <v>2</v>
      </c>
      <c r="G1576">
        <v>0</v>
      </c>
      <c r="H1576">
        <v>7</v>
      </c>
      <c r="I1576">
        <v>0</v>
      </c>
      <c r="J1576">
        <v>33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J1576">
        <v>0</v>
      </c>
      <c r="AP1576">
        <v>1</v>
      </c>
      <c r="AQ1576">
        <v>0</v>
      </c>
      <c r="AR1576">
        <v>1</v>
      </c>
      <c r="AS1576">
        <v>0</v>
      </c>
      <c r="AT1576">
        <v>0</v>
      </c>
      <c r="AU1576">
        <v>0</v>
      </c>
      <c r="AV1576">
        <v>1</v>
      </c>
      <c r="AW1576">
        <v>23.5</v>
      </c>
      <c r="AX1576">
        <v>5.5</v>
      </c>
      <c r="AY1576">
        <v>522.29999999999995</v>
      </c>
      <c r="AZ1576">
        <v>157</v>
      </c>
      <c r="BA1576">
        <v>1239</v>
      </c>
      <c r="BB1576">
        <v>1901</v>
      </c>
      <c r="BE1576" t="s">
        <v>476</v>
      </c>
      <c r="BF1576" t="s">
        <v>576</v>
      </c>
    </row>
    <row r="1577" spans="1:58" x14ac:dyDescent="0.45">
      <c r="A1577">
        <v>30133</v>
      </c>
      <c r="B1577">
        <v>1</v>
      </c>
      <c r="C1577">
        <v>60</v>
      </c>
      <c r="D1577">
        <v>0</v>
      </c>
      <c r="E1577">
        <v>0</v>
      </c>
      <c r="F1577">
        <v>4</v>
      </c>
      <c r="G1577">
        <v>0</v>
      </c>
      <c r="H1577">
        <v>3</v>
      </c>
      <c r="I1577">
        <v>0</v>
      </c>
      <c r="J1577">
        <v>33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J1577">
        <v>0</v>
      </c>
      <c r="AP1577">
        <v>1</v>
      </c>
      <c r="AQ1577">
        <v>0</v>
      </c>
      <c r="AR1577">
        <v>1</v>
      </c>
      <c r="AS1577">
        <v>0</v>
      </c>
      <c r="AT1577">
        <v>0</v>
      </c>
      <c r="AU1577">
        <v>0</v>
      </c>
      <c r="AV1577">
        <v>1</v>
      </c>
      <c r="AW1577">
        <v>15.1</v>
      </c>
      <c r="AX1577">
        <v>5.5</v>
      </c>
      <c r="AY1577">
        <v>559.69999999999993</v>
      </c>
      <c r="AZ1577">
        <v>130</v>
      </c>
      <c r="BA1577">
        <v>1113</v>
      </c>
      <c r="BB1577">
        <v>2008</v>
      </c>
      <c r="BE1577" t="s">
        <v>476</v>
      </c>
      <c r="BF1577" t="s">
        <v>576</v>
      </c>
    </row>
    <row r="1578" spans="1:58" x14ac:dyDescent="0.45">
      <c r="A1578">
        <v>30134</v>
      </c>
      <c r="B1578">
        <v>1</v>
      </c>
      <c r="C1578">
        <v>58</v>
      </c>
      <c r="D1578">
        <v>0</v>
      </c>
      <c r="E1578">
        <v>0</v>
      </c>
      <c r="F1578">
        <v>4</v>
      </c>
      <c r="G1578">
        <v>0</v>
      </c>
      <c r="H1578">
        <v>5</v>
      </c>
      <c r="I1578">
        <v>0</v>
      </c>
      <c r="J1578">
        <v>33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J1578">
        <v>0</v>
      </c>
      <c r="AP1578">
        <v>1</v>
      </c>
      <c r="AQ1578">
        <v>0</v>
      </c>
      <c r="AR1578">
        <v>1</v>
      </c>
      <c r="AS1578">
        <v>0</v>
      </c>
      <c r="AT1578">
        <v>0</v>
      </c>
      <c r="AU1578">
        <v>0</v>
      </c>
      <c r="AV1578">
        <v>1</v>
      </c>
      <c r="AW1578">
        <v>20.9</v>
      </c>
      <c r="AX1578">
        <v>5.5</v>
      </c>
      <c r="AY1578">
        <v>528.9</v>
      </c>
      <c r="AZ1578">
        <v>142</v>
      </c>
      <c r="BA1578">
        <v>1210</v>
      </c>
      <c r="BB1578">
        <v>1712</v>
      </c>
      <c r="BE1578" t="s">
        <v>476</v>
      </c>
      <c r="BF1578" t="s">
        <v>576</v>
      </c>
    </row>
    <row r="1579" spans="1:58" x14ac:dyDescent="0.45">
      <c r="A1579">
        <v>30135</v>
      </c>
      <c r="B1579">
        <v>1</v>
      </c>
      <c r="C1579">
        <v>56</v>
      </c>
      <c r="D1579">
        <v>0</v>
      </c>
      <c r="E1579">
        <v>0</v>
      </c>
      <c r="F1579">
        <v>4</v>
      </c>
      <c r="G1579">
        <v>0</v>
      </c>
      <c r="H1579">
        <v>7</v>
      </c>
      <c r="I1579">
        <v>0</v>
      </c>
      <c r="J1579">
        <v>33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J1579">
        <v>0</v>
      </c>
      <c r="AP1579">
        <v>1</v>
      </c>
      <c r="AQ1579">
        <v>0</v>
      </c>
      <c r="AR1579">
        <v>1</v>
      </c>
      <c r="AS1579">
        <v>0</v>
      </c>
      <c r="AT1579">
        <v>0</v>
      </c>
      <c r="AU1579">
        <v>0</v>
      </c>
      <c r="AV1579">
        <v>1</v>
      </c>
      <c r="AW1579">
        <v>26.700000000000003</v>
      </c>
      <c r="AX1579">
        <v>5.5</v>
      </c>
      <c r="AY1579">
        <v>498.09999999999997</v>
      </c>
      <c r="AZ1579">
        <v>149</v>
      </c>
      <c r="BA1579">
        <v>1287</v>
      </c>
      <c r="BB1579">
        <v>1567</v>
      </c>
      <c r="BE1579" t="s">
        <v>476</v>
      </c>
      <c r="BF1579" t="s">
        <v>576</v>
      </c>
    </row>
    <row r="1580" spans="1:58" x14ac:dyDescent="0.45">
      <c r="A1580">
        <v>30136</v>
      </c>
      <c r="B1580">
        <v>1</v>
      </c>
      <c r="C1580">
        <v>66</v>
      </c>
      <c r="D1580">
        <v>0</v>
      </c>
      <c r="E1580">
        <v>0</v>
      </c>
      <c r="F1580">
        <v>0</v>
      </c>
      <c r="G1580">
        <v>0</v>
      </c>
      <c r="H1580">
        <v>7</v>
      </c>
      <c r="I1580">
        <v>0</v>
      </c>
      <c r="J1580">
        <v>0</v>
      </c>
      <c r="K1580">
        <v>27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J1580">
        <v>0</v>
      </c>
      <c r="AP1580">
        <v>1</v>
      </c>
      <c r="AQ1580">
        <v>0</v>
      </c>
      <c r="AR1580">
        <v>1</v>
      </c>
      <c r="AS1580">
        <v>0</v>
      </c>
      <c r="AT1580">
        <v>1</v>
      </c>
      <c r="AU1580">
        <v>0</v>
      </c>
      <c r="AV1580">
        <v>0</v>
      </c>
      <c r="AW1580">
        <v>27.86</v>
      </c>
      <c r="AX1580">
        <v>0</v>
      </c>
      <c r="AY1580">
        <v>774.2</v>
      </c>
      <c r="AZ1580">
        <v>116</v>
      </c>
      <c r="BA1580">
        <v>784</v>
      </c>
      <c r="BE1580" t="s">
        <v>477</v>
      </c>
      <c r="BF1580" t="s">
        <v>577</v>
      </c>
    </row>
    <row r="1581" spans="1:58" x14ac:dyDescent="0.45">
      <c r="A1581">
        <v>30137</v>
      </c>
      <c r="B1581">
        <v>1</v>
      </c>
      <c r="C1581">
        <v>64</v>
      </c>
      <c r="D1581">
        <v>0</v>
      </c>
      <c r="E1581">
        <v>0</v>
      </c>
      <c r="F1581">
        <v>2</v>
      </c>
      <c r="G1581">
        <v>0</v>
      </c>
      <c r="H1581">
        <v>7</v>
      </c>
      <c r="I1581">
        <v>0</v>
      </c>
      <c r="J1581">
        <v>0</v>
      </c>
      <c r="K1581">
        <v>27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J1581">
        <v>0</v>
      </c>
      <c r="AP1581">
        <v>1</v>
      </c>
      <c r="AQ1581">
        <v>0</v>
      </c>
      <c r="AR1581">
        <v>1</v>
      </c>
      <c r="AS1581">
        <v>0</v>
      </c>
      <c r="AT1581">
        <v>0</v>
      </c>
      <c r="AU1581">
        <v>0</v>
      </c>
      <c r="AV1581">
        <v>0</v>
      </c>
      <c r="AW1581">
        <v>31.06</v>
      </c>
      <c r="AX1581">
        <v>0</v>
      </c>
      <c r="AY1581">
        <v>750</v>
      </c>
      <c r="AZ1581">
        <v>99</v>
      </c>
      <c r="BA1581">
        <v>1097</v>
      </c>
      <c r="BE1581" t="s">
        <v>477</v>
      </c>
      <c r="BF1581" t="s">
        <v>577</v>
      </c>
    </row>
    <row r="1582" spans="1:58" x14ac:dyDescent="0.45">
      <c r="A1582">
        <v>30138</v>
      </c>
      <c r="B1582">
        <v>1</v>
      </c>
      <c r="C1582">
        <v>62</v>
      </c>
      <c r="D1582">
        <v>0</v>
      </c>
      <c r="E1582">
        <v>0</v>
      </c>
      <c r="F1582">
        <v>4</v>
      </c>
      <c r="G1582">
        <v>0</v>
      </c>
      <c r="H1582">
        <v>7</v>
      </c>
      <c r="I1582">
        <v>0</v>
      </c>
      <c r="J1582">
        <v>0</v>
      </c>
      <c r="K1582">
        <v>27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J1582">
        <v>0</v>
      </c>
      <c r="AP1582">
        <v>1</v>
      </c>
      <c r="AQ1582">
        <v>0</v>
      </c>
      <c r="AR1582">
        <v>1</v>
      </c>
      <c r="AS1582">
        <v>0</v>
      </c>
      <c r="AT1582">
        <v>0</v>
      </c>
      <c r="AU1582">
        <v>0</v>
      </c>
      <c r="AV1582">
        <v>0</v>
      </c>
      <c r="AW1582">
        <v>34.26</v>
      </c>
      <c r="AX1582">
        <v>0</v>
      </c>
      <c r="AY1582">
        <v>725.80000000000007</v>
      </c>
      <c r="AZ1582">
        <v>81</v>
      </c>
      <c r="BA1582">
        <v>947</v>
      </c>
      <c r="BE1582" t="s">
        <v>477</v>
      </c>
      <c r="BF1582" t="s">
        <v>577</v>
      </c>
    </row>
    <row r="1583" spans="1:58" x14ac:dyDescent="0.45">
      <c r="A1583">
        <v>30139</v>
      </c>
      <c r="B1583">
        <v>1</v>
      </c>
      <c r="C1583">
        <v>60</v>
      </c>
      <c r="D1583">
        <v>0</v>
      </c>
      <c r="E1583">
        <v>0</v>
      </c>
      <c r="F1583">
        <v>6</v>
      </c>
      <c r="G1583">
        <v>0</v>
      </c>
      <c r="H1583">
        <v>7</v>
      </c>
      <c r="I1583">
        <v>0</v>
      </c>
      <c r="J1583">
        <v>0</v>
      </c>
      <c r="K1583">
        <v>27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J1583">
        <v>0</v>
      </c>
      <c r="AP1583">
        <v>1</v>
      </c>
      <c r="AQ1583">
        <v>0</v>
      </c>
      <c r="AR1583">
        <v>1</v>
      </c>
      <c r="AS1583">
        <v>0</v>
      </c>
      <c r="AT1583">
        <v>0</v>
      </c>
      <c r="AU1583">
        <v>0</v>
      </c>
      <c r="AV1583">
        <v>0</v>
      </c>
      <c r="AW1583">
        <v>37.46</v>
      </c>
      <c r="AX1583">
        <v>0</v>
      </c>
      <c r="AY1583">
        <v>701.6</v>
      </c>
      <c r="AZ1583">
        <v>77</v>
      </c>
      <c r="BA1583">
        <v>922</v>
      </c>
      <c r="BE1583" t="s">
        <v>477</v>
      </c>
      <c r="BF1583" t="s">
        <v>577</v>
      </c>
    </row>
    <row r="1584" spans="1:58" x14ac:dyDescent="0.45">
      <c r="A1584">
        <v>30140</v>
      </c>
      <c r="B1584">
        <v>1</v>
      </c>
      <c r="C1584">
        <v>58</v>
      </c>
      <c r="D1584">
        <v>0</v>
      </c>
      <c r="E1584">
        <v>0</v>
      </c>
      <c r="F1584">
        <v>8</v>
      </c>
      <c r="G1584">
        <v>0</v>
      </c>
      <c r="H1584">
        <v>7</v>
      </c>
      <c r="I1584">
        <v>0</v>
      </c>
      <c r="J1584">
        <v>0</v>
      </c>
      <c r="K1584">
        <v>27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J1584">
        <v>0</v>
      </c>
      <c r="AP1584">
        <v>1</v>
      </c>
      <c r="AQ1584">
        <v>0</v>
      </c>
      <c r="AR1584">
        <v>1</v>
      </c>
      <c r="AS1584">
        <v>0</v>
      </c>
      <c r="AT1584">
        <v>0</v>
      </c>
      <c r="AU1584">
        <v>0</v>
      </c>
      <c r="AV1584">
        <v>0</v>
      </c>
      <c r="AW1584">
        <v>40.659999999999997</v>
      </c>
      <c r="AX1584">
        <v>0</v>
      </c>
      <c r="AY1584">
        <v>677.40000000000009</v>
      </c>
      <c r="AZ1584">
        <v>72</v>
      </c>
      <c r="BA1584">
        <v>941</v>
      </c>
      <c r="BE1584" t="s">
        <v>477</v>
      </c>
      <c r="BF1584" t="s">
        <v>577</v>
      </c>
    </row>
    <row r="1585" spans="1:58" x14ac:dyDescent="0.45">
      <c r="A1585">
        <v>30141</v>
      </c>
      <c r="B1585">
        <v>0</v>
      </c>
      <c r="C1585">
        <v>91</v>
      </c>
      <c r="D1585">
        <v>0</v>
      </c>
      <c r="E1585">
        <v>0</v>
      </c>
      <c r="F1585">
        <v>0</v>
      </c>
      <c r="G1585">
        <v>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882</v>
      </c>
      <c r="AF1585">
        <v>0</v>
      </c>
      <c r="AG1585">
        <v>1</v>
      </c>
      <c r="AH1585">
        <v>0</v>
      </c>
      <c r="AI1585">
        <v>0</v>
      </c>
      <c r="AJ1585">
        <v>0</v>
      </c>
      <c r="AP1585">
        <v>1</v>
      </c>
      <c r="AQ1585">
        <v>0</v>
      </c>
      <c r="AR1585">
        <v>1</v>
      </c>
      <c r="AS1585">
        <v>0</v>
      </c>
      <c r="AT1585">
        <v>0</v>
      </c>
      <c r="AU1585">
        <v>1</v>
      </c>
      <c r="AV1585">
        <v>0</v>
      </c>
      <c r="AW1585">
        <v>15.299999999999999</v>
      </c>
      <c r="AX1585">
        <v>0</v>
      </c>
      <c r="AY1585">
        <v>882</v>
      </c>
      <c r="AZ1585">
        <v>94</v>
      </c>
      <c r="BA1585">
        <v>1023</v>
      </c>
      <c r="BB1585">
        <v>1048</v>
      </c>
      <c r="BD1585">
        <v>338</v>
      </c>
      <c r="BE1585" t="s">
        <v>478</v>
      </c>
      <c r="BF1585" t="s">
        <v>578</v>
      </c>
    </row>
    <row r="1586" spans="1:58" x14ac:dyDescent="0.45">
      <c r="A1586">
        <v>30142</v>
      </c>
      <c r="B1586">
        <v>0</v>
      </c>
      <c r="C1586">
        <v>87</v>
      </c>
      <c r="D1586">
        <v>0</v>
      </c>
      <c r="E1586">
        <v>0</v>
      </c>
      <c r="F1586">
        <v>0</v>
      </c>
      <c r="G1586">
        <v>13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882</v>
      </c>
      <c r="AF1586">
        <v>0</v>
      </c>
      <c r="AG1586">
        <v>1</v>
      </c>
      <c r="AH1586">
        <v>0</v>
      </c>
      <c r="AI1586">
        <v>0</v>
      </c>
      <c r="AJ1586">
        <v>0</v>
      </c>
      <c r="AP1586">
        <v>1</v>
      </c>
      <c r="AQ1586">
        <v>0</v>
      </c>
      <c r="AR1586">
        <v>1</v>
      </c>
      <c r="AS1586">
        <v>0</v>
      </c>
      <c r="AT1586">
        <v>0</v>
      </c>
      <c r="AU1586">
        <v>0</v>
      </c>
      <c r="AV1586">
        <v>0</v>
      </c>
      <c r="AW1586">
        <v>22.099999999999998</v>
      </c>
      <c r="AX1586">
        <v>0</v>
      </c>
      <c r="AY1586">
        <v>882</v>
      </c>
      <c r="AZ1586">
        <v>100</v>
      </c>
      <c r="BA1586">
        <v>927</v>
      </c>
      <c r="BB1586">
        <v>939</v>
      </c>
      <c r="BD1586">
        <v>312</v>
      </c>
      <c r="BE1586" t="s">
        <v>478</v>
      </c>
      <c r="BF1586" t="s">
        <v>578</v>
      </c>
    </row>
    <row r="1587" spans="1:58" x14ac:dyDescent="0.45">
      <c r="A1587">
        <v>30143</v>
      </c>
      <c r="B1587">
        <v>0</v>
      </c>
      <c r="C1587">
        <v>92</v>
      </c>
      <c r="D1587">
        <v>0</v>
      </c>
      <c r="E1587">
        <v>0</v>
      </c>
      <c r="F1587">
        <v>0</v>
      </c>
      <c r="G1587">
        <v>5</v>
      </c>
      <c r="H1587">
        <v>0</v>
      </c>
      <c r="I1587">
        <v>0</v>
      </c>
      <c r="J1587">
        <v>0</v>
      </c>
      <c r="K1587">
        <v>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J1587">
        <v>0</v>
      </c>
      <c r="AP1587">
        <v>1</v>
      </c>
      <c r="AQ1587">
        <v>0</v>
      </c>
      <c r="AR1587">
        <v>1</v>
      </c>
      <c r="AS1587">
        <v>0</v>
      </c>
      <c r="AT1587">
        <v>0</v>
      </c>
      <c r="AU1587">
        <v>1</v>
      </c>
      <c r="AV1587">
        <v>0</v>
      </c>
      <c r="AW1587">
        <v>11.5</v>
      </c>
      <c r="AX1587">
        <v>0</v>
      </c>
      <c r="AY1587">
        <v>853.5</v>
      </c>
      <c r="AZ1587">
        <v>88</v>
      </c>
      <c r="BA1587">
        <v>980</v>
      </c>
      <c r="BB1587">
        <v>1036</v>
      </c>
      <c r="BD1587">
        <v>331</v>
      </c>
      <c r="BE1587" t="s">
        <v>479</v>
      </c>
      <c r="BF1587" t="s">
        <v>579</v>
      </c>
    </row>
    <row r="1588" spans="1:58" x14ac:dyDescent="0.45">
      <c r="A1588">
        <v>30144</v>
      </c>
      <c r="B1588">
        <v>0</v>
      </c>
      <c r="C1588">
        <v>91</v>
      </c>
      <c r="D1588">
        <v>0</v>
      </c>
      <c r="E1588">
        <v>0</v>
      </c>
      <c r="F1588">
        <v>0</v>
      </c>
      <c r="G1588">
        <v>5</v>
      </c>
      <c r="H1588">
        <v>0</v>
      </c>
      <c r="I1588">
        <v>0</v>
      </c>
      <c r="J1588">
        <v>0</v>
      </c>
      <c r="K1588">
        <v>0</v>
      </c>
      <c r="L1588">
        <v>4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J1588">
        <v>0</v>
      </c>
      <c r="AP1588">
        <v>1</v>
      </c>
      <c r="AQ1588">
        <v>0</v>
      </c>
      <c r="AR1588">
        <v>1</v>
      </c>
      <c r="AS1588">
        <v>0</v>
      </c>
      <c r="AT1588">
        <v>0</v>
      </c>
      <c r="AU1588">
        <v>1</v>
      </c>
      <c r="AV1588">
        <v>0</v>
      </c>
      <c r="AW1588">
        <v>12.5</v>
      </c>
      <c r="AX1588">
        <v>0</v>
      </c>
      <c r="AY1588">
        <v>844</v>
      </c>
      <c r="AZ1588">
        <v>84</v>
      </c>
      <c r="BA1588">
        <v>1046</v>
      </c>
      <c r="BB1588">
        <v>1104</v>
      </c>
      <c r="BD1588">
        <v>337</v>
      </c>
      <c r="BE1588" t="s">
        <v>479</v>
      </c>
      <c r="BF1588" t="s">
        <v>579</v>
      </c>
    </row>
    <row r="1589" spans="1:58" x14ac:dyDescent="0.45">
      <c r="A1589">
        <v>30145</v>
      </c>
      <c r="B1589">
        <v>0</v>
      </c>
      <c r="C1589">
        <v>91</v>
      </c>
      <c r="D1589">
        <v>0</v>
      </c>
      <c r="E1589">
        <v>0</v>
      </c>
      <c r="F1589">
        <v>0</v>
      </c>
      <c r="G1589">
        <v>6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</v>
      </c>
      <c r="W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J1589">
        <v>0</v>
      </c>
      <c r="AP1589">
        <v>1</v>
      </c>
      <c r="AQ1589">
        <v>0</v>
      </c>
      <c r="AR1589">
        <v>1</v>
      </c>
      <c r="AS1589">
        <v>0</v>
      </c>
      <c r="AT1589">
        <v>0</v>
      </c>
      <c r="AU1589">
        <v>1</v>
      </c>
      <c r="AV1589">
        <v>0</v>
      </c>
      <c r="AW1589">
        <v>13.2</v>
      </c>
      <c r="AX1589">
        <v>0</v>
      </c>
      <c r="AY1589">
        <v>853.5</v>
      </c>
      <c r="AZ1589">
        <v>86</v>
      </c>
      <c r="BA1589">
        <v>1077</v>
      </c>
      <c r="BB1589">
        <v>1143</v>
      </c>
      <c r="BD1589">
        <v>359</v>
      </c>
      <c r="BE1589" t="s">
        <v>479</v>
      </c>
      <c r="BF1589" t="s">
        <v>579</v>
      </c>
    </row>
    <row r="1590" spans="1:58" x14ac:dyDescent="0.45">
      <c r="A1590">
        <v>30146</v>
      </c>
      <c r="B1590">
        <v>0</v>
      </c>
      <c r="C1590">
        <v>90</v>
      </c>
      <c r="D1590">
        <v>0</v>
      </c>
      <c r="E1590">
        <v>0</v>
      </c>
      <c r="F1590">
        <v>0</v>
      </c>
      <c r="G1590">
        <v>6</v>
      </c>
      <c r="H1590">
        <v>0</v>
      </c>
      <c r="I1590">
        <v>0</v>
      </c>
      <c r="J1590">
        <v>0</v>
      </c>
      <c r="K1590">
        <v>0</v>
      </c>
      <c r="L1590">
        <v>4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J1590">
        <v>0</v>
      </c>
      <c r="AP1590">
        <v>1</v>
      </c>
      <c r="AQ1590">
        <v>0</v>
      </c>
      <c r="AR1590">
        <v>1</v>
      </c>
      <c r="AS1590">
        <v>0</v>
      </c>
      <c r="AT1590">
        <v>0</v>
      </c>
      <c r="AU1590">
        <v>1</v>
      </c>
      <c r="AV1590">
        <v>0</v>
      </c>
      <c r="AW1590">
        <v>14.2</v>
      </c>
      <c r="AX1590">
        <v>0</v>
      </c>
      <c r="AY1590">
        <v>844</v>
      </c>
      <c r="AZ1590">
        <v>85</v>
      </c>
      <c r="BA1590">
        <v>1033</v>
      </c>
      <c r="BB1590">
        <v>1093</v>
      </c>
      <c r="BD1590">
        <v>312</v>
      </c>
      <c r="BE1590" t="s">
        <v>479</v>
      </c>
      <c r="BF1590" t="s">
        <v>579</v>
      </c>
    </row>
    <row r="1591" spans="1:58" x14ac:dyDescent="0.45">
      <c r="A1591">
        <v>30147</v>
      </c>
      <c r="B1591">
        <v>1</v>
      </c>
      <c r="C1591">
        <v>78</v>
      </c>
      <c r="D1591">
        <v>2</v>
      </c>
      <c r="E1591">
        <v>0</v>
      </c>
      <c r="F1591">
        <v>5</v>
      </c>
      <c r="G1591">
        <v>0</v>
      </c>
      <c r="H1591">
        <v>0</v>
      </c>
      <c r="I1591">
        <v>0</v>
      </c>
      <c r="J1591">
        <v>15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722.2</v>
      </c>
      <c r="AF1591">
        <v>0</v>
      </c>
      <c r="AG1591">
        <v>1</v>
      </c>
      <c r="AH1591">
        <v>0</v>
      </c>
      <c r="AI1591">
        <v>0</v>
      </c>
      <c r="AJ1591">
        <v>0</v>
      </c>
      <c r="AP1591">
        <v>1</v>
      </c>
      <c r="AQ1591">
        <v>0</v>
      </c>
      <c r="AR1591">
        <v>1</v>
      </c>
      <c r="AS1591">
        <v>0</v>
      </c>
      <c r="AT1591">
        <v>0</v>
      </c>
      <c r="AU1591">
        <v>0</v>
      </c>
      <c r="AV1591">
        <v>0</v>
      </c>
      <c r="AW1591">
        <v>6</v>
      </c>
      <c r="AX1591">
        <v>4.5</v>
      </c>
      <c r="AY1591">
        <v>722.2</v>
      </c>
      <c r="AZ1591">
        <v>58</v>
      </c>
      <c r="BA1591">
        <v>625.4</v>
      </c>
      <c r="BB1591">
        <v>1879.9</v>
      </c>
      <c r="BD1591">
        <v>302</v>
      </c>
      <c r="BE1591" t="s">
        <v>480</v>
      </c>
      <c r="BF1591" t="s">
        <v>580</v>
      </c>
    </row>
    <row r="1592" spans="1:58" x14ac:dyDescent="0.45">
      <c r="A1592">
        <v>30148</v>
      </c>
      <c r="B1592">
        <v>0</v>
      </c>
      <c r="C1592">
        <v>58.7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</v>
      </c>
      <c r="K1592">
        <v>36</v>
      </c>
      <c r="L1592">
        <v>0</v>
      </c>
      <c r="M1592">
        <v>0</v>
      </c>
      <c r="N1592">
        <v>0</v>
      </c>
      <c r="O1592">
        <v>2</v>
      </c>
      <c r="P1592">
        <v>0</v>
      </c>
      <c r="Q1592">
        <v>0</v>
      </c>
      <c r="R1592">
        <v>0</v>
      </c>
      <c r="S1592">
        <v>0</v>
      </c>
      <c r="T1592">
        <v>0.3</v>
      </c>
      <c r="U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898.19999999999993</v>
      </c>
      <c r="AF1592">
        <v>0</v>
      </c>
      <c r="AG1592">
        <v>1</v>
      </c>
      <c r="AH1592">
        <v>0</v>
      </c>
      <c r="AI1592">
        <v>0</v>
      </c>
      <c r="AJ1592">
        <v>0</v>
      </c>
      <c r="AP1592">
        <v>1</v>
      </c>
      <c r="AQ1592">
        <v>0</v>
      </c>
      <c r="AR1592">
        <v>1</v>
      </c>
      <c r="AS1592">
        <v>0</v>
      </c>
      <c r="AT1592">
        <v>0</v>
      </c>
      <c r="AU1592">
        <v>0</v>
      </c>
      <c r="AV1592">
        <v>0</v>
      </c>
      <c r="AW1592">
        <v>10.520000000000001</v>
      </c>
      <c r="AX1592">
        <v>0.53</v>
      </c>
      <c r="AY1592">
        <v>898.19999999999993</v>
      </c>
      <c r="AZ1592">
        <v>64.5</v>
      </c>
      <c r="BA1592">
        <v>700</v>
      </c>
      <c r="BB1592">
        <v>840</v>
      </c>
      <c r="BE1592" t="s">
        <v>481</v>
      </c>
      <c r="BF1592" t="s">
        <v>581</v>
      </c>
    </row>
    <row r="1593" spans="1:58" x14ac:dyDescent="0.45">
      <c r="A1593">
        <v>30149</v>
      </c>
      <c r="B1593">
        <v>1</v>
      </c>
      <c r="C1593">
        <v>58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6.8</v>
      </c>
      <c r="K1593">
        <v>32.5</v>
      </c>
      <c r="L1593">
        <v>0</v>
      </c>
      <c r="M1593">
        <v>2.7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846.42000000000007</v>
      </c>
      <c r="AF1593">
        <v>0</v>
      </c>
      <c r="AG1593">
        <v>1</v>
      </c>
      <c r="AH1593">
        <v>0</v>
      </c>
      <c r="AI1593">
        <v>0</v>
      </c>
      <c r="AJ1593">
        <v>0</v>
      </c>
      <c r="AP1593">
        <v>1</v>
      </c>
      <c r="AQ1593">
        <v>0</v>
      </c>
      <c r="AR1593">
        <v>1</v>
      </c>
      <c r="AS1593">
        <v>0</v>
      </c>
      <c r="AT1593">
        <v>0</v>
      </c>
      <c r="AU1593">
        <v>0</v>
      </c>
      <c r="AV1593">
        <v>0</v>
      </c>
      <c r="AW1593">
        <v>9.1000000000000014</v>
      </c>
      <c r="AX1593">
        <v>2.0333333333333332</v>
      </c>
      <c r="AY1593">
        <v>846.42000000000007</v>
      </c>
      <c r="AZ1593">
        <v>54.2</v>
      </c>
      <c r="BA1593">
        <v>380</v>
      </c>
      <c r="BB1593">
        <v>562</v>
      </c>
      <c r="BE1593" t="s">
        <v>282</v>
      </c>
      <c r="BF1593" t="s">
        <v>582</v>
      </c>
    </row>
    <row r="1594" spans="1:58" x14ac:dyDescent="0.45">
      <c r="A1594">
        <v>30150</v>
      </c>
      <c r="B1594">
        <v>1</v>
      </c>
      <c r="C1594">
        <v>88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768</v>
      </c>
      <c r="AF1594">
        <v>0</v>
      </c>
      <c r="AG1594">
        <v>1</v>
      </c>
      <c r="AH1594">
        <v>0</v>
      </c>
      <c r="AI1594">
        <v>0</v>
      </c>
      <c r="AJ1594">
        <v>0</v>
      </c>
      <c r="AP1594">
        <v>1</v>
      </c>
      <c r="AQ1594">
        <v>0</v>
      </c>
      <c r="AR1594">
        <v>1</v>
      </c>
      <c r="AS1594">
        <v>0</v>
      </c>
      <c r="AT1594">
        <v>0</v>
      </c>
      <c r="AU1594">
        <v>1</v>
      </c>
      <c r="AV1594">
        <v>0</v>
      </c>
      <c r="AW1594">
        <v>12</v>
      </c>
      <c r="AX1594">
        <v>0</v>
      </c>
      <c r="AY1594">
        <v>768</v>
      </c>
      <c r="BA1594">
        <v>480</v>
      </c>
      <c r="BB1594">
        <v>1000</v>
      </c>
      <c r="BE1594" t="s">
        <v>482</v>
      </c>
      <c r="BF1594" t="s">
        <v>583</v>
      </c>
    </row>
    <row r="1595" spans="1:58" x14ac:dyDescent="0.45">
      <c r="A1595">
        <v>30151</v>
      </c>
      <c r="B1595">
        <v>1</v>
      </c>
      <c r="C1595">
        <v>83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5</v>
      </c>
      <c r="K1595">
        <v>0</v>
      </c>
      <c r="L1595">
        <v>12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733.5</v>
      </c>
      <c r="AF1595">
        <v>0</v>
      </c>
      <c r="AG1595">
        <v>1</v>
      </c>
      <c r="AH1595">
        <v>0</v>
      </c>
      <c r="AI1595">
        <v>0</v>
      </c>
      <c r="AJ1595">
        <v>0</v>
      </c>
      <c r="AP1595">
        <v>1</v>
      </c>
      <c r="AQ1595">
        <v>0</v>
      </c>
      <c r="AR1595">
        <v>1</v>
      </c>
      <c r="AS1595">
        <v>0</v>
      </c>
      <c r="AT1595">
        <v>0</v>
      </c>
      <c r="AU1595">
        <v>1</v>
      </c>
      <c r="AV1595">
        <v>0</v>
      </c>
      <c r="AW1595">
        <v>12</v>
      </c>
      <c r="AX1595">
        <v>0.83333333333333337</v>
      </c>
      <c r="AY1595">
        <v>733.5</v>
      </c>
      <c r="BA1595">
        <v>650</v>
      </c>
      <c r="BB1595">
        <v>950</v>
      </c>
      <c r="BE1595" t="s">
        <v>482</v>
      </c>
      <c r="BF1595" t="s">
        <v>583</v>
      </c>
    </row>
    <row r="1596" spans="1:58" x14ac:dyDescent="0.45">
      <c r="A1596">
        <v>30152</v>
      </c>
      <c r="B1596">
        <v>1</v>
      </c>
      <c r="C1596">
        <v>65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35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882</v>
      </c>
      <c r="AF1596">
        <v>0</v>
      </c>
      <c r="AG1596">
        <v>1</v>
      </c>
      <c r="AH1596">
        <v>0</v>
      </c>
      <c r="AI1596">
        <v>0</v>
      </c>
      <c r="AJ1596">
        <v>0</v>
      </c>
      <c r="AP1596">
        <v>1</v>
      </c>
      <c r="AQ1596">
        <v>0</v>
      </c>
      <c r="AR1596">
        <v>1</v>
      </c>
      <c r="AS1596">
        <v>0</v>
      </c>
      <c r="AT1596">
        <v>1</v>
      </c>
      <c r="AU1596">
        <v>0</v>
      </c>
      <c r="AV1596">
        <v>0</v>
      </c>
      <c r="AW1596">
        <v>9.8000000000000007</v>
      </c>
      <c r="AX1596">
        <v>0</v>
      </c>
      <c r="AY1596">
        <v>882</v>
      </c>
      <c r="AZ1596">
        <v>73.900000000000006</v>
      </c>
      <c r="BA1596">
        <v>289</v>
      </c>
      <c r="BB1596">
        <v>561</v>
      </c>
      <c r="BD1596">
        <v>202</v>
      </c>
      <c r="BE1596" t="s">
        <v>483</v>
      </c>
      <c r="BF1596" t="s">
        <v>584</v>
      </c>
    </row>
    <row r="1597" spans="1:58" x14ac:dyDescent="0.45">
      <c r="A1597">
        <v>30153</v>
      </c>
      <c r="B1597">
        <v>1</v>
      </c>
      <c r="C1597">
        <v>62.5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35</v>
      </c>
      <c r="L1597">
        <v>0</v>
      </c>
      <c r="M1597">
        <v>2.5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892.5</v>
      </c>
      <c r="AF1597">
        <v>0</v>
      </c>
      <c r="AG1597">
        <v>1</v>
      </c>
      <c r="AH1597">
        <v>0</v>
      </c>
      <c r="AI1597">
        <v>0</v>
      </c>
      <c r="AJ1597">
        <v>0</v>
      </c>
      <c r="AP1597">
        <v>1</v>
      </c>
      <c r="AQ1597">
        <v>0</v>
      </c>
      <c r="AR1597">
        <v>1</v>
      </c>
      <c r="AS1597">
        <v>0</v>
      </c>
      <c r="AT1597">
        <v>1</v>
      </c>
      <c r="AU1597">
        <v>0</v>
      </c>
      <c r="AV1597">
        <v>0</v>
      </c>
      <c r="AW1597">
        <v>9.8000000000000007</v>
      </c>
      <c r="AX1597">
        <v>0.83333333333333337</v>
      </c>
      <c r="AY1597">
        <v>892.5</v>
      </c>
      <c r="AZ1597">
        <v>65.8</v>
      </c>
      <c r="BA1597">
        <v>237</v>
      </c>
      <c r="BB1597">
        <v>566</v>
      </c>
      <c r="BD1597">
        <v>195</v>
      </c>
      <c r="BE1597" t="s">
        <v>483</v>
      </c>
      <c r="BF1597" t="s">
        <v>584</v>
      </c>
    </row>
    <row r="1598" spans="1:58" x14ac:dyDescent="0.45">
      <c r="A1598">
        <v>30154</v>
      </c>
      <c r="B1598">
        <v>1</v>
      </c>
      <c r="C1598">
        <v>60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35</v>
      </c>
      <c r="L1598">
        <v>0</v>
      </c>
      <c r="M1598">
        <v>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903</v>
      </c>
      <c r="AF1598">
        <v>0</v>
      </c>
      <c r="AG1598">
        <v>1</v>
      </c>
      <c r="AH1598">
        <v>0</v>
      </c>
      <c r="AI1598">
        <v>0</v>
      </c>
      <c r="AJ1598">
        <v>0</v>
      </c>
      <c r="AP1598">
        <v>1</v>
      </c>
      <c r="AQ1598">
        <v>0</v>
      </c>
      <c r="AR1598">
        <v>1</v>
      </c>
      <c r="AS1598">
        <v>0</v>
      </c>
      <c r="AT1598">
        <v>0</v>
      </c>
      <c r="AU1598">
        <v>0</v>
      </c>
      <c r="AV1598">
        <v>0</v>
      </c>
      <c r="AW1598">
        <v>9.8000000000000007</v>
      </c>
      <c r="AX1598">
        <v>1.6666666666666667</v>
      </c>
      <c r="AY1598">
        <v>903</v>
      </c>
      <c r="AZ1598">
        <v>68.2</v>
      </c>
      <c r="BA1598">
        <v>216</v>
      </c>
      <c r="BB1598">
        <v>563</v>
      </c>
      <c r="BD1598">
        <v>184</v>
      </c>
      <c r="BE1598" t="s">
        <v>483</v>
      </c>
      <c r="BF1598" t="s">
        <v>584</v>
      </c>
    </row>
    <row r="1599" spans="1:58" x14ac:dyDescent="0.45">
      <c r="A1599">
        <v>30155</v>
      </c>
      <c r="B1599">
        <v>1</v>
      </c>
      <c r="C1599">
        <v>57.5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35</v>
      </c>
      <c r="L1599">
        <v>0</v>
      </c>
      <c r="M1599">
        <v>7.5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913.5</v>
      </c>
      <c r="AF1599">
        <v>0</v>
      </c>
      <c r="AG1599">
        <v>1</v>
      </c>
      <c r="AH1599">
        <v>0</v>
      </c>
      <c r="AI1599">
        <v>0</v>
      </c>
      <c r="AJ1599">
        <v>0</v>
      </c>
      <c r="AP1599">
        <v>1</v>
      </c>
      <c r="AQ1599">
        <v>0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9.8000000000000007</v>
      </c>
      <c r="AX1599">
        <v>2.5</v>
      </c>
      <c r="AY1599">
        <v>913.5</v>
      </c>
      <c r="AZ1599">
        <v>86.4</v>
      </c>
      <c r="BA1599">
        <v>262</v>
      </c>
      <c r="BB1599">
        <v>478</v>
      </c>
      <c r="BD1599">
        <v>202</v>
      </c>
      <c r="BE1599" t="s">
        <v>483</v>
      </c>
      <c r="BF1599" t="s">
        <v>584</v>
      </c>
    </row>
    <row r="1600" spans="1:58" x14ac:dyDescent="0.45">
      <c r="A1600">
        <v>30156</v>
      </c>
      <c r="B1600">
        <v>1</v>
      </c>
      <c r="C1600">
        <v>90</v>
      </c>
      <c r="D1600">
        <v>0</v>
      </c>
      <c r="E1600">
        <v>0</v>
      </c>
      <c r="F1600">
        <v>8.5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1.5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785.44999999999993</v>
      </c>
      <c r="AF1600">
        <v>0</v>
      </c>
      <c r="AG1600">
        <v>1</v>
      </c>
      <c r="AH1600">
        <v>0</v>
      </c>
      <c r="AI1600">
        <v>0</v>
      </c>
      <c r="AJ1600">
        <v>0</v>
      </c>
      <c r="AP1600">
        <v>1</v>
      </c>
      <c r="AQ1600">
        <v>0</v>
      </c>
      <c r="AR1600">
        <v>1</v>
      </c>
      <c r="AS1600">
        <v>0</v>
      </c>
      <c r="AT1600">
        <v>0</v>
      </c>
      <c r="AU1600">
        <v>0</v>
      </c>
      <c r="AV1600">
        <v>0</v>
      </c>
      <c r="AW1600">
        <v>13.600000000000001</v>
      </c>
      <c r="AX1600">
        <v>0.5</v>
      </c>
      <c r="AY1600">
        <v>785.44999999999993</v>
      </c>
      <c r="AZ1600">
        <v>83</v>
      </c>
      <c r="BA1600">
        <v>554</v>
      </c>
      <c r="BB1600">
        <v>1240</v>
      </c>
      <c r="BE1600" t="s">
        <v>343</v>
      </c>
      <c r="BF1600" t="s">
        <v>585</v>
      </c>
    </row>
    <row r="1601" spans="1:58" x14ac:dyDescent="0.45">
      <c r="A1601">
        <v>30157</v>
      </c>
      <c r="B1601">
        <v>0</v>
      </c>
      <c r="C1601">
        <v>85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9</v>
      </c>
      <c r="M1601">
        <v>0</v>
      </c>
      <c r="N1601">
        <v>0</v>
      </c>
      <c r="O1601">
        <v>0</v>
      </c>
      <c r="P1601">
        <v>6</v>
      </c>
      <c r="Q1601">
        <v>0</v>
      </c>
      <c r="R1601">
        <v>0</v>
      </c>
      <c r="S1601">
        <v>0</v>
      </c>
      <c r="T1601">
        <v>0</v>
      </c>
      <c r="U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796.5</v>
      </c>
      <c r="AF1601">
        <v>0</v>
      </c>
      <c r="AG1601">
        <v>1</v>
      </c>
      <c r="AH1601">
        <v>0</v>
      </c>
      <c r="AI1601">
        <v>0</v>
      </c>
      <c r="AJ1601">
        <v>0</v>
      </c>
      <c r="AP1601">
        <v>1</v>
      </c>
      <c r="AQ1601">
        <v>0</v>
      </c>
      <c r="AR1601">
        <v>1</v>
      </c>
      <c r="AS1601">
        <v>0</v>
      </c>
      <c r="AT1601">
        <v>0</v>
      </c>
      <c r="AU1601">
        <v>1</v>
      </c>
      <c r="AV1601">
        <v>0</v>
      </c>
      <c r="AW1601">
        <v>11.64</v>
      </c>
      <c r="AX1601">
        <v>0</v>
      </c>
      <c r="AY1601">
        <v>796.5</v>
      </c>
      <c r="AZ1601">
        <v>59</v>
      </c>
      <c r="BA1601">
        <v>519</v>
      </c>
      <c r="BB1601">
        <v>1098</v>
      </c>
      <c r="BE1601" t="s">
        <v>484</v>
      </c>
      <c r="BF1601" t="s">
        <v>586</v>
      </c>
    </row>
    <row r="1602" spans="1:58" x14ac:dyDescent="0.45">
      <c r="A1602">
        <v>30158</v>
      </c>
      <c r="B1602">
        <v>1</v>
      </c>
      <c r="C1602">
        <v>88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768</v>
      </c>
      <c r="AF1602">
        <v>0</v>
      </c>
      <c r="AG1602">
        <v>1</v>
      </c>
      <c r="AH1602">
        <v>0</v>
      </c>
      <c r="AI1602">
        <v>0</v>
      </c>
      <c r="AJ1602">
        <v>0</v>
      </c>
      <c r="AP1602">
        <v>1</v>
      </c>
      <c r="AQ1602">
        <v>0</v>
      </c>
      <c r="AR1602">
        <v>1</v>
      </c>
      <c r="AS1602">
        <v>0</v>
      </c>
      <c r="AT1602">
        <v>0</v>
      </c>
      <c r="AU1602">
        <v>1</v>
      </c>
      <c r="AV1602">
        <v>0</v>
      </c>
      <c r="AW1602">
        <v>12</v>
      </c>
      <c r="AX1602">
        <v>0</v>
      </c>
      <c r="AY1602">
        <v>768</v>
      </c>
      <c r="AZ1602">
        <v>78</v>
      </c>
      <c r="BA1602">
        <v>481</v>
      </c>
      <c r="BB1602">
        <v>974</v>
      </c>
      <c r="BE1602" t="s">
        <v>485</v>
      </c>
      <c r="BF1602" t="s">
        <v>587</v>
      </c>
    </row>
    <row r="1603" spans="1:58" x14ac:dyDescent="0.45">
      <c r="A1603">
        <v>30159</v>
      </c>
      <c r="B1603">
        <v>1</v>
      </c>
      <c r="C1603">
        <v>64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4</v>
      </c>
      <c r="K1603">
        <v>24</v>
      </c>
      <c r="L1603">
        <v>0</v>
      </c>
      <c r="M1603">
        <v>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888</v>
      </c>
      <c r="AF1603">
        <v>0</v>
      </c>
      <c r="AG1603">
        <v>0</v>
      </c>
      <c r="AH1603">
        <v>1</v>
      </c>
      <c r="AI1603">
        <v>0</v>
      </c>
      <c r="AJ1603">
        <v>0</v>
      </c>
      <c r="AP1603">
        <v>1</v>
      </c>
      <c r="AQ1603">
        <v>0</v>
      </c>
      <c r="AR1603">
        <v>1</v>
      </c>
      <c r="AS1603">
        <v>0</v>
      </c>
      <c r="AT1603">
        <v>1</v>
      </c>
      <c r="AU1603">
        <v>1</v>
      </c>
      <c r="AV1603">
        <v>0</v>
      </c>
      <c r="AW1603">
        <v>6.7200000000000006</v>
      </c>
      <c r="AX1603">
        <v>3.333333333333333</v>
      </c>
      <c r="AY1603">
        <v>888</v>
      </c>
      <c r="AZ1603">
        <v>50</v>
      </c>
      <c r="BA1603">
        <v>350</v>
      </c>
      <c r="BE1603" t="s">
        <v>486</v>
      </c>
      <c r="BF1603" t="s">
        <v>588</v>
      </c>
    </row>
    <row r="1604" spans="1:58" x14ac:dyDescent="0.45">
      <c r="A1604">
        <v>30160</v>
      </c>
      <c r="B1604">
        <v>0</v>
      </c>
      <c r="C1604">
        <v>36.4</v>
      </c>
      <c r="D1604">
        <v>0</v>
      </c>
      <c r="E1604">
        <v>20</v>
      </c>
      <c r="F1604">
        <v>0</v>
      </c>
      <c r="G1604">
        <v>0</v>
      </c>
      <c r="H1604">
        <v>0</v>
      </c>
      <c r="I1604">
        <v>0</v>
      </c>
      <c r="J1604">
        <v>43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0.6</v>
      </c>
      <c r="U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423.09999999999997</v>
      </c>
      <c r="AF1604">
        <v>0</v>
      </c>
      <c r="AG1604">
        <v>0</v>
      </c>
      <c r="AH1604">
        <v>1</v>
      </c>
      <c r="AI1604">
        <v>0</v>
      </c>
      <c r="AJ1604">
        <v>0</v>
      </c>
      <c r="AP1604">
        <v>1</v>
      </c>
      <c r="AQ1604">
        <v>0</v>
      </c>
      <c r="AR1604">
        <v>1</v>
      </c>
      <c r="AS1604">
        <v>0</v>
      </c>
      <c r="AT1604">
        <v>0</v>
      </c>
      <c r="AU1604">
        <v>0</v>
      </c>
      <c r="AV1604">
        <v>0</v>
      </c>
      <c r="AW1604">
        <v>13.4</v>
      </c>
      <c r="AX1604">
        <v>7.2266666666666666</v>
      </c>
      <c r="AY1604">
        <v>423.09999999999997</v>
      </c>
      <c r="AZ1604">
        <v>82.18</v>
      </c>
      <c r="BA1604">
        <v>635</v>
      </c>
      <c r="BB1604">
        <v>635</v>
      </c>
      <c r="BE1604" t="s">
        <v>487</v>
      </c>
      <c r="BF1604" t="s">
        <v>589</v>
      </c>
    </row>
    <row r="1605" spans="1:58" x14ac:dyDescent="0.45">
      <c r="A1605">
        <v>30161</v>
      </c>
      <c r="B1605">
        <v>1</v>
      </c>
      <c r="C1605">
        <v>64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4</v>
      </c>
      <c r="K1605">
        <v>24</v>
      </c>
      <c r="L1605">
        <v>0</v>
      </c>
      <c r="M1605">
        <v>8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888</v>
      </c>
      <c r="AF1605">
        <v>0</v>
      </c>
      <c r="AG1605">
        <v>0</v>
      </c>
      <c r="AH1605">
        <v>1</v>
      </c>
      <c r="AI1605">
        <v>0</v>
      </c>
      <c r="AJ1605">
        <v>0</v>
      </c>
      <c r="AP1605">
        <v>1</v>
      </c>
      <c r="AQ1605">
        <v>0</v>
      </c>
      <c r="AR1605">
        <v>1</v>
      </c>
      <c r="AS1605">
        <v>0</v>
      </c>
      <c r="AT1605">
        <v>1</v>
      </c>
      <c r="AU1605">
        <v>0</v>
      </c>
      <c r="AV1605">
        <v>0</v>
      </c>
      <c r="AW1605">
        <v>6.7200000000000006</v>
      </c>
      <c r="AX1605">
        <v>3.333333333333333</v>
      </c>
      <c r="AY1605">
        <v>888</v>
      </c>
      <c r="AZ1605">
        <v>59.2</v>
      </c>
      <c r="BA1605">
        <v>282</v>
      </c>
      <c r="BB1605">
        <v>665</v>
      </c>
      <c r="BE1605" t="s">
        <v>488</v>
      </c>
      <c r="BF1605" t="s">
        <v>590</v>
      </c>
    </row>
    <row r="1606" spans="1:58" x14ac:dyDescent="0.45">
      <c r="A1606">
        <v>30162</v>
      </c>
      <c r="B1606">
        <v>0</v>
      </c>
      <c r="C1606">
        <v>63.85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4</v>
      </c>
      <c r="K1606">
        <v>24</v>
      </c>
      <c r="L1606">
        <v>0</v>
      </c>
      <c r="M1606">
        <v>8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0.15</v>
      </c>
      <c r="U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906.45</v>
      </c>
      <c r="AF1606">
        <v>0</v>
      </c>
      <c r="AG1606">
        <v>0</v>
      </c>
      <c r="AH1606">
        <v>1</v>
      </c>
      <c r="AI1606">
        <v>0</v>
      </c>
      <c r="AJ1606">
        <v>0</v>
      </c>
      <c r="AP1606">
        <v>1</v>
      </c>
      <c r="AQ1606">
        <v>0</v>
      </c>
      <c r="AR1606">
        <v>1</v>
      </c>
      <c r="AS1606">
        <v>0</v>
      </c>
      <c r="AT1606">
        <v>1</v>
      </c>
      <c r="AU1606">
        <v>0</v>
      </c>
      <c r="AV1606">
        <v>0</v>
      </c>
      <c r="AW1606">
        <v>6.7200000000000006</v>
      </c>
      <c r="AX1606">
        <v>3.3483333333333332</v>
      </c>
      <c r="AY1606">
        <v>906.45</v>
      </c>
      <c r="AZ1606">
        <v>61.6</v>
      </c>
      <c r="BA1606">
        <v>380</v>
      </c>
      <c r="BB1606">
        <v>797</v>
      </c>
      <c r="BE1606" t="s">
        <v>488</v>
      </c>
      <c r="BF1606" t="s">
        <v>590</v>
      </c>
    </row>
    <row r="1607" spans="1:58" x14ac:dyDescent="0.45">
      <c r="A1607">
        <v>30163</v>
      </c>
      <c r="B1607">
        <v>0</v>
      </c>
      <c r="C1607">
        <v>63.8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4</v>
      </c>
      <c r="K1607">
        <v>24</v>
      </c>
      <c r="L1607">
        <v>0</v>
      </c>
      <c r="M1607">
        <v>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0.2</v>
      </c>
      <c r="U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912.6</v>
      </c>
      <c r="AF1607">
        <v>0</v>
      </c>
      <c r="AG1607">
        <v>0</v>
      </c>
      <c r="AH1607">
        <v>1</v>
      </c>
      <c r="AI1607">
        <v>0</v>
      </c>
      <c r="AJ1607">
        <v>0</v>
      </c>
      <c r="AP1607">
        <v>1</v>
      </c>
      <c r="AQ1607">
        <v>0</v>
      </c>
      <c r="AR1607">
        <v>1</v>
      </c>
      <c r="AS1607">
        <v>0</v>
      </c>
      <c r="AT1607">
        <v>1</v>
      </c>
      <c r="AU1607">
        <v>0</v>
      </c>
      <c r="AV1607">
        <v>0</v>
      </c>
      <c r="AW1607">
        <v>6.7200000000000006</v>
      </c>
      <c r="AX1607">
        <v>3.3533333333333331</v>
      </c>
      <c r="AY1607">
        <v>912.6</v>
      </c>
      <c r="AZ1607">
        <v>47.8</v>
      </c>
      <c r="BA1607">
        <v>515</v>
      </c>
      <c r="BB1607">
        <v>852</v>
      </c>
      <c r="BE1607" t="s">
        <v>488</v>
      </c>
      <c r="BF1607" t="s">
        <v>590</v>
      </c>
    </row>
    <row r="1608" spans="1:58" x14ac:dyDescent="0.45">
      <c r="A1608">
        <v>30164</v>
      </c>
      <c r="B1608">
        <v>0</v>
      </c>
      <c r="C1608">
        <v>63.6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4</v>
      </c>
      <c r="K1608">
        <v>24</v>
      </c>
      <c r="L1608">
        <v>0</v>
      </c>
      <c r="M1608">
        <v>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0.4</v>
      </c>
      <c r="U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937.2</v>
      </c>
      <c r="AF1608">
        <v>0</v>
      </c>
      <c r="AG1608">
        <v>0</v>
      </c>
      <c r="AH1608">
        <v>1</v>
      </c>
      <c r="AI1608">
        <v>0</v>
      </c>
      <c r="AJ1608">
        <v>0</v>
      </c>
      <c r="AP1608">
        <v>1</v>
      </c>
      <c r="AQ1608">
        <v>0</v>
      </c>
      <c r="AR1608">
        <v>1</v>
      </c>
      <c r="AS1608">
        <v>0</v>
      </c>
      <c r="AT1608">
        <v>1</v>
      </c>
      <c r="AU1608">
        <v>0</v>
      </c>
      <c r="AV1608">
        <v>0</v>
      </c>
      <c r="AW1608">
        <v>6.7200000000000006</v>
      </c>
      <c r="AX1608">
        <v>3.3733333333333331</v>
      </c>
      <c r="AY1608">
        <v>937.2</v>
      </c>
      <c r="AZ1608">
        <v>53.2</v>
      </c>
      <c r="BA1608">
        <v>649</v>
      </c>
      <c r="BB1608">
        <v>778</v>
      </c>
      <c r="BE1608" t="s">
        <v>488</v>
      </c>
      <c r="BF1608" t="s">
        <v>590</v>
      </c>
    </row>
    <row r="1609" spans="1:58" x14ac:dyDescent="0.45">
      <c r="A1609">
        <v>30165</v>
      </c>
      <c r="B1609">
        <v>1</v>
      </c>
      <c r="C1609">
        <v>75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25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882</v>
      </c>
      <c r="AF1609">
        <v>0</v>
      </c>
      <c r="AG1609">
        <v>1</v>
      </c>
      <c r="AH1609">
        <v>0</v>
      </c>
      <c r="AI1609">
        <v>0</v>
      </c>
      <c r="AJ1609">
        <v>0</v>
      </c>
      <c r="AP1609">
        <v>1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7.0000000000000009</v>
      </c>
      <c r="AX1609">
        <v>0</v>
      </c>
      <c r="AY1609">
        <v>882</v>
      </c>
      <c r="AZ1609">
        <v>64</v>
      </c>
      <c r="BA1609">
        <v>456</v>
      </c>
      <c r="BB1609">
        <v>688</v>
      </c>
      <c r="BD1609">
        <v>181</v>
      </c>
      <c r="BE1609" t="s">
        <v>489</v>
      </c>
      <c r="BF1609" t="s">
        <v>591</v>
      </c>
    </row>
    <row r="1610" spans="1:58" x14ac:dyDescent="0.45">
      <c r="A1610">
        <v>30166</v>
      </c>
      <c r="B1610">
        <v>1</v>
      </c>
      <c r="C1610">
        <v>72.5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25</v>
      </c>
      <c r="L1610">
        <v>0</v>
      </c>
      <c r="M1610">
        <v>0</v>
      </c>
      <c r="N1610">
        <v>0</v>
      </c>
      <c r="O1610">
        <v>2.5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882</v>
      </c>
      <c r="AF1610">
        <v>0</v>
      </c>
      <c r="AG1610">
        <v>1</v>
      </c>
      <c r="AH1610">
        <v>0</v>
      </c>
      <c r="AI1610">
        <v>0</v>
      </c>
      <c r="AJ1610">
        <v>0</v>
      </c>
      <c r="AP1610">
        <v>1</v>
      </c>
      <c r="AQ1610">
        <v>0</v>
      </c>
      <c r="AR1610">
        <v>0</v>
      </c>
      <c r="AS1610">
        <v>0</v>
      </c>
      <c r="AT1610">
        <v>1</v>
      </c>
      <c r="AU1610">
        <v>0</v>
      </c>
      <c r="AV1610">
        <v>0</v>
      </c>
      <c r="AW1610">
        <v>7.5500000000000007</v>
      </c>
      <c r="AX1610">
        <v>0</v>
      </c>
      <c r="AY1610">
        <v>882</v>
      </c>
      <c r="AZ1610">
        <v>71</v>
      </c>
      <c r="BA1610">
        <v>374</v>
      </c>
      <c r="BB1610">
        <v>642</v>
      </c>
      <c r="BD1610">
        <v>159</v>
      </c>
      <c r="BE1610" t="s">
        <v>489</v>
      </c>
      <c r="BF1610" t="s">
        <v>591</v>
      </c>
    </row>
    <row r="1611" spans="1:58" x14ac:dyDescent="0.45">
      <c r="A1611">
        <v>30167</v>
      </c>
      <c r="B1611">
        <v>1</v>
      </c>
      <c r="C1611">
        <v>70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25</v>
      </c>
      <c r="L1611">
        <v>0</v>
      </c>
      <c r="M1611">
        <v>0</v>
      </c>
      <c r="N1611">
        <v>0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882</v>
      </c>
      <c r="AF1611">
        <v>0</v>
      </c>
      <c r="AG1611">
        <v>1</v>
      </c>
      <c r="AH1611">
        <v>0</v>
      </c>
      <c r="AI1611">
        <v>0</v>
      </c>
      <c r="AJ1611">
        <v>0</v>
      </c>
      <c r="AP1611">
        <v>1</v>
      </c>
      <c r="AQ1611">
        <v>0</v>
      </c>
      <c r="AR1611">
        <v>0</v>
      </c>
      <c r="AS1611">
        <v>0</v>
      </c>
      <c r="AT1611">
        <v>1</v>
      </c>
      <c r="AU1611">
        <v>0</v>
      </c>
      <c r="AV1611">
        <v>0</v>
      </c>
      <c r="AW1611">
        <v>8.1000000000000014</v>
      </c>
      <c r="AX1611">
        <v>0</v>
      </c>
      <c r="AY1611">
        <v>882</v>
      </c>
      <c r="AZ1611">
        <v>78</v>
      </c>
      <c r="BA1611">
        <v>433</v>
      </c>
      <c r="BB1611">
        <v>543</v>
      </c>
      <c r="BD1611">
        <v>165</v>
      </c>
      <c r="BE1611" t="s">
        <v>489</v>
      </c>
      <c r="BF1611" t="s">
        <v>591</v>
      </c>
    </row>
    <row r="1612" spans="1:58" x14ac:dyDescent="0.45">
      <c r="A1612">
        <v>30168</v>
      </c>
      <c r="B1612">
        <v>1</v>
      </c>
      <c r="C1612">
        <v>67.5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25</v>
      </c>
      <c r="L1612">
        <v>0</v>
      </c>
      <c r="M1612">
        <v>0</v>
      </c>
      <c r="N1612">
        <v>0</v>
      </c>
      <c r="O1612">
        <v>7.5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882</v>
      </c>
      <c r="AF1612">
        <v>0</v>
      </c>
      <c r="AG1612">
        <v>1</v>
      </c>
      <c r="AH1612">
        <v>0</v>
      </c>
      <c r="AI1612">
        <v>0</v>
      </c>
      <c r="AJ1612">
        <v>0</v>
      </c>
      <c r="AP1612">
        <v>1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8.65</v>
      </c>
      <c r="AX1612">
        <v>0</v>
      </c>
      <c r="AY1612">
        <v>882</v>
      </c>
      <c r="AZ1612">
        <v>78</v>
      </c>
      <c r="BA1612">
        <v>376</v>
      </c>
      <c r="BB1612">
        <v>590</v>
      </c>
      <c r="BD1612">
        <v>172</v>
      </c>
      <c r="BE1612" t="s">
        <v>489</v>
      </c>
      <c r="BF1612" t="s">
        <v>591</v>
      </c>
    </row>
    <row r="1613" spans="1:58" x14ac:dyDescent="0.45">
      <c r="A1613">
        <v>30169</v>
      </c>
      <c r="B1613">
        <v>1</v>
      </c>
      <c r="C1613">
        <v>70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30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882</v>
      </c>
      <c r="AF1613">
        <v>0</v>
      </c>
      <c r="AG1613">
        <v>1</v>
      </c>
      <c r="AH1613">
        <v>0</v>
      </c>
      <c r="AI1613">
        <v>0</v>
      </c>
      <c r="AJ1613">
        <v>0</v>
      </c>
      <c r="AP1613">
        <v>1</v>
      </c>
      <c r="AQ1613">
        <v>0</v>
      </c>
      <c r="AR1613">
        <v>0</v>
      </c>
      <c r="AS1613">
        <v>0</v>
      </c>
      <c r="AT1613">
        <v>1</v>
      </c>
      <c r="AU1613">
        <v>0</v>
      </c>
      <c r="AV1613">
        <v>0</v>
      </c>
      <c r="AW1613">
        <v>8.4</v>
      </c>
      <c r="AX1613">
        <v>0</v>
      </c>
      <c r="AY1613">
        <v>882</v>
      </c>
      <c r="AZ1613">
        <v>79</v>
      </c>
      <c r="BA1613">
        <v>327</v>
      </c>
      <c r="BB1613">
        <v>532</v>
      </c>
      <c r="BD1613">
        <v>193</v>
      </c>
      <c r="BE1613" t="s">
        <v>489</v>
      </c>
      <c r="BF1613" t="s">
        <v>591</v>
      </c>
    </row>
    <row r="1614" spans="1:58" x14ac:dyDescent="0.45">
      <c r="A1614">
        <v>30170</v>
      </c>
      <c r="B1614">
        <v>1</v>
      </c>
      <c r="C1614">
        <v>67.5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30</v>
      </c>
      <c r="L1614">
        <v>0</v>
      </c>
      <c r="M1614">
        <v>0</v>
      </c>
      <c r="N1614">
        <v>0</v>
      </c>
      <c r="O1614">
        <v>2.5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882</v>
      </c>
      <c r="AF1614">
        <v>0</v>
      </c>
      <c r="AG1614">
        <v>1</v>
      </c>
      <c r="AH1614">
        <v>0</v>
      </c>
      <c r="AI1614">
        <v>0</v>
      </c>
      <c r="AJ1614">
        <v>0</v>
      </c>
      <c r="AP1614">
        <v>1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8.9500000000000011</v>
      </c>
      <c r="AX1614">
        <v>0</v>
      </c>
      <c r="AY1614">
        <v>882</v>
      </c>
      <c r="AZ1614">
        <v>81</v>
      </c>
      <c r="BA1614">
        <v>411</v>
      </c>
      <c r="BB1614">
        <v>584</v>
      </c>
      <c r="BD1614">
        <v>180</v>
      </c>
      <c r="BE1614" t="s">
        <v>489</v>
      </c>
      <c r="BF1614" t="s">
        <v>591</v>
      </c>
    </row>
    <row r="1615" spans="1:58" x14ac:dyDescent="0.45">
      <c r="A1615">
        <v>30171</v>
      </c>
      <c r="B1615">
        <v>1</v>
      </c>
      <c r="C1615">
        <v>65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30</v>
      </c>
      <c r="L1615">
        <v>0</v>
      </c>
      <c r="M1615">
        <v>0</v>
      </c>
      <c r="N1615">
        <v>0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882</v>
      </c>
      <c r="AF1615">
        <v>0</v>
      </c>
      <c r="AG1615">
        <v>1</v>
      </c>
      <c r="AH1615">
        <v>0</v>
      </c>
      <c r="AI1615">
        <v>0</v>
      </c>
      <c r="AJ1615">
        <v>0</v>
      </c>
      <c r="AP1615">
        <v>1</v>
      </c>
      <c r="AQ1615">
        <v>0</v>
      </c>
      <c r="AR1615">
        <v>0</v>
      </c>
      <c r="AS1615">
        <v>0</v>
      </c>
      <c r="AT1615">
        <v>1</v>
      </c>
      <c r="AU1615">
        <v>0</v>
      </c>
      <c r="AV1615">
        <v>0</v>
      </c>
      <c r="AW1615">
        <v>9.5</v>
      </c>
      <c r="AX1615">
        <v>0</v>
      </c>
      <c r="AY1615">
        <v>882</v>
      </c>
      <c r="AZ1615">
        <v>80</v>
      </c>
      <c r="BA1615">
        <v>377</v>
      </c>
      <c r="BB1615">
        <v>595</v>
      </c>
      <c r="BD1615">
        <v>197</v>
      </c>
      <c r="BE1615" t="s">
        <v>489</v>
      </c>
      <c r="BF1615" t="s">
        <v>591</v>
      </c>
    </row>
    <row r="1616" spans="1:58" x14ac:dyDescent="0.45">
      <c r="A1616">
        <v>30172</v>
      </c>
      <c r="B1616">
        <v>1</v>
      </c>
      <c r="C1616">
        <v>62.5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30</v>
      </c>
      <c r="L1616">
        <v>0</v>
      </c>
      <c r="M1616">
        <v>0</v>
      </c>
      <c r="N1616">
        <v>0</v>
      </c>
      <c r="O1616">
        <v>7.5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882</v>
      </c>
      <c r="AF1616">
        <v>0</v>
      </c>
      <c r="AG1616">
        <v>1</v>
      </c>
      <c r="AH1616">
        <v>0</v>
      </c>
      <c r="AI1616">
        <v>0</v>
      </c>
      <c r="AJ1616">
        <v>0</v>
      </c>
      <c r="AP1616">
        <v>1</v>
      </c>
      <c r="AQ1616">
        <v>0</v>
      </c>
      <c r="AR1616">
        <v>0</v>
      </c>
      <c r="AS1616">
        <v>0</v>
      </c>
      <c r="AT1616">
        <v>1</v>
      </c>
      <c r="AU1616">
        <v>0</v>
      </c>
      <c r="AV1616">
        <v>0</v>
      </c>
      <c r="AW1616">
        <v>10.050000000000001</v>
      </c>
      <c r="AX1616">
        <v>0</v>
      </c>
      <c r="AY1616">
        <v>882</v>
      </c>
      <c r="AZ1616">
        <v>81</v>
      </c>
      <c r="BA1616">
        <v>395</v>
      </c>
      <c r="BB1616">
        <v>584</v>
      </c>
      <c r="BD1616">
        <v>215</v>
      </c>
      <c r="BE1616" t="s">
        <v>489</v>
      </c>
      <c r="BF1616" t="s">
        <v>591</v>
      </c>
    </row>
    <row r="1617" spans="1:58" x14ac:dyDescent="0.45">
      <c r="A1617">
        <v>30173</v>
      </c>
      <c r="B1617">
        <v>1</v>
      </c>
      <c r="C1617">
        <v>65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35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882</v>
      </c>
      <c r="AF1617">
        <v>0</v>
      </c>
      <c r="AG1617">
        <v>1</v>
      </c>
      <c r="AH1617">
        <v>0</v>
      </c>
      <c r="AI1617">
        <v>0</v>
      </c>
      <c r="AJ1617">
        <v>0</v>
      </c>
      <c r="AP1617">
        <v>1</v>
      </c>
      <c r="AQ1617">
        <v>0</v>
      </c>
      <c r="AR1617">
        <v>1</v>
      </c>
      <c r="AS1617">
        <v>0</v>
      </c>
      <c r="AT1617">
        <v>1</v>
      </c>
      <c r="AU1617">
        <v>0</v>
      </c>
      <c r="AV1617">
        <v>0</v>
      </c>
      <c r="AW1617">
        <v>9.8000000000000007</v>
      </c>
      <c r="AX1617">
        <v>0</v>
      </c>
      <c r="AY1617">
        <v>882</v>
      </c>
      <c r="AZ1617">
        <v>85</v>
      </c>
      <c r="BA1617">
        <v>338</v>
      </c>
      <c r="BB1617">
        <v>556</v>
      </c>
      <c r="BD1617">
        <v>199</v>
      </c>
      <c r="BE1617" t="s">
        <v>489</v>
      </c>
      <c r="BF1617" t="s">
        <v>591</v>
      </c>
    </row>
    <row r="1618" spans="1:58" x14ac:dyDescent="0.45">
      <c r="A1618">
        <v>30174</v>
      </c>
      <c r="B1618">
        <v>1</v>
      </c>
      <c r="C1618">
        <v>62.5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35</v>
      </c>
      <c r="L1618">
        <v>0</v>
      </c>
      <c r="M1618">
        <v>0</v>
      </c>
      <c r="N1618">
        <v>0</v>
      </c>
      <c r="O1618">
        <v>2.5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882</v>
      </c>
      <c r="AF1618">
        <v>0</v>
      </c>
      <c r="AG1618">
        <v>1</v>
      </c>
      <c r="AH1618">
        <v>0</v>
      </c>
      <c r="AI1618">
        <v>0</v>
      </c>
      <c r="AJ1618">
        <v>0</v>
      </c>
      <c r="AP1618">
        <v>1</v>
      </c>
      <c r="AQ1618">
        <v>0</v>
      </c>
      <c r="AR1618">
        <v>1</v>
      </c>
      <c r="AS1618">
        <v>0</v>
      </c>
      <c r="AT1618">
        <v>1</v>
      </c>
      <c r="AU1618">
        <v>0</v>
      </c>
      <c r="AV1618">
        <v>0</v>
      </c>
      <c r="AW1618">
        <v>10.350000000000001</v>
      </c>
      <c r="AX1618">
        <v>0</v>
      </c>
      <c r="AY1618">
        <v>882</v>
      </c>
      <c r="AZ1618">
        <v>85</v>
      </c>
      <c r="BA1618">
        <v>303</v>
      </c>
      <c r="BB1618">
        <v>580</v>
      </c>
      <c r="BD1618">
        <v>202</v>
      </c>
      <c r="BE1618" t="s">
        <v>489</v>
      </c>
      <c r="BF1618" t="s">
        <v>591</v>
      </c>
    </row>
    <row r="1619" spans="1:58" x14ac:dyDescent="0.45">
      <c r="A1619">
        <v>30175</v>
      </c>
      <c r="B1619">
        <v>1</v>
      </c>
      <c r="C1619">
        <v>60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35</v>
      </c>
      <c r="L1619">
        <v>0</v>
      </c>
      <c r="M1619">
        <v>0</v>
      </c>
      <c r="N1619">
        <v>0</v>
      </c>
      <c r="O1619">
        <v>5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882</v>
      </c>
      <c r="AF1619">
        <v>0</v>
      </c>
      <c r="AG1619">
        <v>1</v>
      </c>
      <c r="AH1619">
        <v>0</v>
      </c>
      <c r="AI1619">
        <v>0</v>
      </c>
      <c r="AJ1619">
        <v>0</v>
      </c>
      <c r="AP1619">
        <v>1</v>
      </c>
      <c r="AQ1619">
        <v>0</v>
      </c>
      <c r="AR1619">
        <v>1</v>
      </c>
      <c r="AS1619">
        <v>0</v>
      </c>
      <c r="AT1619">
        <v>1</v>
      </c>
      <c r="AU1619">
        <v>0</v>
      </c>
      <c r="AV1619">
        <v>0</v>
      </c>
      <c r="AW1619">
        <v>10.9</v>
      </c>
      <c r="AX1619">
        <v>0</v>
      </c>
      <c r="AY1619">
        <v>882</v>
      </c>
      <c r="AZ1619">
        <v>84</v>
      </c>
      <c r="BA1619">
        <v>340</v>
      </c>
      <c r="BB1619">
        <v>602</v>
      </c>
      <c r="BD1619">
        <v>206</v>
      </c>
      <c r="BE1619" t="s">
        <v>489</v>
      </c>
      <c r="BF1619" t="s">
        <v>591</v>
      </c>
    </row>
    <row r="1620" spans="1:58" x14ac:dyDescent="0.45">
      <c r="A1620">
        <v>30176</v>
      </c>
      <c r="B1620">
        <v>1</v>
      </c>
      <c r="C1620">
        <v>57.5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35</v>
      </c>
      <c r="L1620">
        <v>0</v>
      </c>
      <c r="M1620">
        <v>0</v>
      </c>
      <c r="N1620">
        <v>0</v>
      </c>
      <c r="O1620">
        <v>7.5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882</v>
      </c>
      <c r="AF1620">
        <v>0</v>
      </c>
      <c r="AG1620">
        <v>1</v>
      </c>
      <c r="AH1620">
        <v>0</v>
      </c>
      <c r="AI1620">
        <v>0</v>
      </c>
      <c r="AJ1620">
        <v>0</v>
      </c>
      <c r="AP1620">
        <v>1</v>
      </c>
      <c r="AQ1620">
        <v>0</v>
      </c>
      <c r="AR1620">
        <v>1</v>
      </c>
      <c r="AS1620">
        <v>0</v>
      </c>
      <c r="AT1620">
        <v>0</v>
      </c>
      <c r="AU1620">
        <v>0</v>
      </c>
      <c r="AV1620">
        <v>0</v>
      </c>
      <c r="AW1620">
        <v>11.450000000000001</v>
      </c>
      <c r="AX1620">
        <v>0</v>
      </c>
      <c r="AY1620">
        <v>882</v>
      </c>
      <c r="AZ1620">
        <v>90</v>
      </c>
      <c r="BA1620">
        <v>314</v>
      </c>
      <c r="BB1620">
        <v>585</v>
      </c>
      <c r="BD1620">
        <v>231</v>
      </c>
      <c r="BE1620" t="s">
        <v>489</v>
      </c>
      <c r="BF1620" t="s">
        <v>591</v>
      </c>
    </row>
    <row r="1621" spans="1:58" x14ac:dyDescent="0.45">
      <c r="A1621">
        <v>30177</v>
      </c>
      <c r="B1621">
        <v>1</v>
      </c>
      <c r="C1621">
        <v>36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38</v>
      </c>
      <c r="K1621">
        <v>24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600.79999999999995</v>
      </c>
      <c r="AF1621">
        <v>0</v>
      </c>
      <c r="AG1621">
        <v>1</v>
      </c>
      <c r="AH1621">
        <v>0</v>
      </c>
      <c r="AI1621">
        <v>0</v>
      </c>
      <c r="AJ1621">
        <v>0</v>
      </c>
      <c r="AP1621">
        <v>1</v>
      </c>
      <c r="AQ1621">
        <v>0</v>
      </c>
      <c r="AR1621">
        <v>1</v>
      </c>
      <c r="AS1621">
        <v>0</v>
      </c>
      <c r="AT1621">
        <v>0</v>
      </c>
      <c r="AU1621">
        <v>0</v>
      </c>
      <c r="AV1621">
        <v>0</v>
      </c>
      <c r="AW1621">
        <v>8.7200000000000006</v>
      </c>
      <c r="AX1621">
        <v>6.333333333333333</v>
      </c>
      <c r="AY1621">
        <v>600.79999999999995</v>
      </c>
      <c r="AZ1621">
        <v>64.2</v>
      </c>
      <c r="BA1621">
        <v>714</v>
      </c>
      <c r="BB1621">
        <v>772</v>
      </c>
      <c r="BD1621">
        <v>251</v>
      </c>
      <c r="BE1621" t="s">
        <v>490</v>
      </c>
      <c r="BF1621" t="s">
        <v>592</v>
      </c>
    </row>
    <row r="1622" spans="1:58" x14ac:dyDescent="0.45">
      <c r="A1622">
        <v>30178</v>
      </c>
      <c r="B1622">
        <v>0</v>
      </c>
      <c r="C1622">
        <v>35.9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38</v>
      </c>
      <c r="K1622">
        <v>24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0.1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600.79999999999995</v>
      </c>
      <c r="AF1622">
        <v>0</v>
      </c>
      <c r="AG1622">
        <v>1</v>
      </c>
      <c r="AH1622">
        <v>0</v>
      </c>
      <c r="AI1622">
        <v>0</v>
      </c>
      <c r="AJ1622">
        <v>0</v>
      </c>
      <c r="AP1622">
        <v>1</v>
      </c>
      <c r="AQ1622">
        <v>0</v>
      </c>
      <c r="AR1622">
        <v>1</v>
      </c>
      <c r="AS1622">
        <v>0</v>
      </c>
      <c r="AT1622">
        <v>0</v>
      </c>
      <c r="AU1622">
        <v>0</v>
      </c>
      <c r="AV1622">
        <v>0</v>
      </c>
      <c r="AW1622">
        <v>8.7200000000000006</v>
      </c>
      <c r="AX1622">
        <v>6.333333333333333</v>
      </c>
      <c r="AY1622">
        <v>600.79999999999995</v>
      </c>
      <c r="AZ1622">
        <v>65.400000000000006</v>
      </c>
      <c r="BA1622">
        <v>780</v>
      </c>
      <c r="BB1622">
        <v>809</v>
      </c>
      <c r="BD1622">
        <v>265</v>
      </c>
      <c r="BE1622" t="s">
        <v>490</v>
      </c>
      <c r="BF1622" t="s">
        <v>592</v>
      </c>
    </row>
    <row r="1623" spans="1:58" x14ac:dyDescent="0.45">
      <c r="A1623">
        <v>30179</v>
      </c>
      <c r="B1623">
        <v>1</v>
      </c>
      <c r="C1623">
        <v>65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30</v>
      </c>
      <c r="L1623">
        <v>1</v>
      </c>
      <c r="M1623">
        <v>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889.3</v>
      </c>
      <c r="AF1623">
        <v>0</v>
      </c>
      <c r="AG1623">
        <v>1</v>
      </c>
      <c r="AH1623">
        <v>0</v>
      </c>
      <c r="AI1623">
        <v>0</v>
      </c>
      <c r="AJ1623">
        <v>0</v>
      </c>
      <c r="AP1623">
        <v>1</v>
      </c>
      <c r="AQ1623">
        <v>0</v>
      </c>
      <c r="AR1623">
        <v>1</v>
      </c>
      <c r="AS1623">
        <v>0</v>
      </c>
      <c r="AT1623">
        <v>1</v>
      </c>
      <c r="AU1623">
        <v>0</v>
      </c>
      <c r="AV1623">
        <v>0</v>
      </c>
      <c r="AW1623">
        <v>9.4</v>
      </c>
      <c r="AX1623">
        <v>1.3333333333333333</v>
      </c>
      <c r="AY1623">
        <v>889.3</v>
      </c>
      <c r="AZ1623">
        <v>45</v>
      </c>
      <c r="BA1623">
        <v>220</v>
      </c>
      <c r="BE1623" t="s">
        <v>491</v>
      </c>
      <c r="BF1623" t="s">
        <v>593</v>
      </c>
    </row>
    <row r="1624" spans="1:58" x14ac:dyDescent="0.45">
      <c r="A1624">
        <v>30180</v>
      </c>
      <c r="B1624">
        <v>0</v>
      </c>
      <c r="C1624">
        <v>52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7</v>
      </c>
      <c r="K1624">
        <v>35</v>
      </c>
      <c r="L1624">
        <v>0</v>
      </c>
      <c r="M1624">
        <v>0</v>
      </c>
      <c r="N1624">
        <v>0</v>
      </c>
      <c r="O1624">
        <v>5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857</v>
      </c>
      <c r="AF1624">
        <v>0</v>
      </c>
      <c r="AG1624">
        <v>1</v>
      </c>
      <c r="AH1624">
        <v>0</v>
      </c>
      <c r="AI1624">
        <v>0</v>
      </c>
      <c r="AJ1624">
        <v>0</v>
      </c>
      <c r="AP1624">
        <v>1</v>
      </c>
      <c r="AQ1624">
        <v>0</v>
      </c>
      <c r="AR1624">
        <v>1</v>
      </c>
      <c r="AS1624">
        <v>0</v>
      </c>
      <c r="AT1624">
        <v>0</v>
      </c>
      <c r="AU1624">
        <v>0</v>
      </c>
      <c r="AV1624">
        <v>1</v>
      </c>
      <c r="AW1624">
        <v>10.9</v>
      </c>
      <c r="AX1624">
        <v>1.1666666666666667</v>
      </c>
      <c r="AY1624">
        <v>857</v>
      </c>
      <c r="AZ1624">
        <v>70</v>
      </c>
      <c r="BA1624">
        <v>561</v>
      </c>
      <c r="BB1624">
        <v>618</v>
      </c>
      <c r="BE1624" t="s">
        <v>492</v>
      </c>
      <c r="BF1624" t="s">
        <v>594</v>
      </c>
    </row>
    <row r="1625" spans="1:58" x14ac:dyDescent="0.45">
      <c r="A1625">
        <v>30181</v>
      </c>
      <c r="B1625">
        <v>1</v>
      </c>
      <c r="C1625">
        <v>51</v>
      </c>
      <c r="D1625">
        <v>0</v>
      </c>
      <c r="E1625">
        <v>0</v>
      </c>
      <c r="F1625">
        <v>0</v>
      </c>
      <c r="G1625">
        <v>0</v>
      </c>
      <c r="H1625">
        <v>2</v>
      </c>
      <c r="I1625">
        <v>0</v>
      </c>
      <c r="J1625">
        <v>7</v>
      </c>
      <c r="K1625">
        <v>35</v>
      </c>
      <c r="L1625">
        <v>0</v>
      </c>
      <c r="M1625">
        <v>0</v>
      </c>
      <c r="N1625">
        <v>0</v>
      </c>
      <c r="O1625">
        <v>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802.90000000000009</v>
      </c>
      <c r="AF1625">
        <v>0</v>
      </c>
      <c r="AG1625">
        <v>1</v>
      </c>
      <c r="AH1625">
        <v>0</v>
      </c>
      <c r="AI1625">
        <v>0</v>
      </c>
      <c r="AJ1625">
        <v>0</v>
      </c>
      <c r="AP1625">
        <v>1</v>
      </c>
      <c r="AQ1625">
        <v>0</v>
      </c>
      <c r="AR1625">
        <v>1</v>
      </c>
      <c r="AS1625">
        <v>0</v>
      </c>
      <c r="AT1625">
        <v>0</v>
      </c>
      <c r="AU1625">
        <v>0</v>
      </c>
      <c r="AV1625">
        <v>0</v>
      </c>
      <c r="AW1625">
        <v>16.7</v>
      </c>
      <c r="AX1625">
        <v>1.1666666666666667</v>
      </c>
      <c r="AY1625">
        <v>802.90000000000009</v>
      </c>
      <c r="AZ1625">
        <v>81</v>
      </c>
      <c r="BA1625">
        <v>588</v>
      </c>
      <c r="BB1625">
        <v>721</v>
      </c>
      <c r="BE1625" t="s">
        <v>492</v>
      </c>
      <c r="BF1625" t="s">
        <v>594</v>
      </c>
    </row>
    <row r="1626" spans="1:58" x14ac:dyDescent="0.45">
      <c r="A1626">
        <v>30182</v>
      </c>
      <c r="B1626">
        <v>0</v>
      </c>
      <c r="C1626">
        <v>51.5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7</v>
      </c>
      <c r="K1626">
        <v>35</v>
      </c>
      <c r="L1626">
        <v>0</v>
      </c>
      <c r="M1626">
        <v>0</v>
      </c>
      <c r="N1626">
        <v>0</v>
      </c>
      <c r="O1626">
        <v>5</v>
      </c>
      <c r="P1626">
        <v>0</v>
      </c>
      <c r="Q1626">
        <v>0.5</v>
      </c>
      <c r="R1626">
        <v>0</v>
      </c>
      <c r="S1626">
        <v>0</v>
      </c>
      <c r="T1626">
        <v>0</v>
      </c>
      <c r="U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829.95</v>
      </c>
      <c r="AF1626">
        <v>0</v>
      </c>
      <c r="AG1626">
        <v>1</v>
      </c>
      <c r="AH1626">
        <v>0</v>
      </c>
      <c r="AI1626">
        <v>0</v>
      </c>
      <c r="AJ1626">
        <v>0</v>
      </c>
      <c r="AP1626">
        <v>1</v>
      </c>
      <c r="AQ1626">
        <v>0</v>
      </c>
      <c r="AR1626">
        <v>1</v>
      </c>
      <c r="AS1626">
        <v>0</v>
      </c>
      <c r="AT1626">
        <v>0</v>
      </c>
      <c r="AU1626">
        <v>0</v>
      </c>
      <c r="AV1626">
        <v>1</v>
      </c>
      <c r="AW1626">
        <v>13.8</v>
      </c>
      <c r="AX1626">
        <v>1.1666666666666667</v>
      </c>
      <c r="AY1626">
        <v>829.95</v>
      </c>
      <c r="AZ1626">
        <v>75</v>
      </c>
      <c r="BA1626">
        <v>632</v>
      </c>
      <c r="BB1626">
        <v>683</v>
      </c>
      <c r="BE1626" t="s">
        <v>492</v>
      </c>
      <c r="BF1626" t="s">
        <v>594</v>
      </c>
    </row>
    <row r="1627" spans="1:58" x14ac:dyDescent="0.45">
      <c r="A1627">
        <v>30183</v>
      </c>
      <c r="B1627">
        <v>0</v>
      </c>
      <c r="C1627">
        <v>50.5</v>
      </c>
      <c r="D1627">
        <v>0</v>
      </c>
      <c r="E1627">
        <v>0</v>
      </c>
      <c r="F1627">
        <v>0</v>
      </c>
      <c r="G1627">
        <v>0</v>
      </c>
      <c r="H1627">
        <v>2</v>
      </c>
      <c r="I1627">
        <v>0</v>
      </c>
      <c r="J1627">
        <v>7</v>
      </c>
      <c r="K1627">
        <v>35</v>
      </c>
      <c r="L1627">
        <v>0</v>
      </c>
      <c r="M1627">
        <v>0</v>
      </c>
      <c r="N1627">
        <v>0</v>
      </c>
      <c r="O1627">
        <v>5</v>
      </c>
      <c r="P1627">
        <v>0</v>
      </c>
      <c r="Q1627">
        <v>0.5</v>
      </c>
      <c r="R1627">
        <v>0</v>
      </c>
      <c r="S1627">
        <v>0</v>
      </c>
      <c r="T1627">
        <v>0</v>
      </c>
      <c r="U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814.55000000000007</v>
      </c>
      <c r="AF1627">
        <v>0</v>
      </c>
      <c r="AG1627">
        <v>1</v>
      </c>
      <c r="AH1627">
        <v>0</v>
      </c>
      <c r="AI1627">
        <v>0</v>
      </c>
      <c r="AJ1627">
        <v>0</v>
      </c>
      <c r="AP1627">
        <v>1</v>
      </c>
      <c r="AQ1627">
        <v>0</v>
      </c>
      <c r="AR1627">
        <v>1</v>
      </c>
      <c r="AS1627">
        <v>0</v>
      </c>
      <c r="AT1627">
        <v>0</v>
      </c>
      <c r="AU1627">
        <v>0</v>
      </c>
      <c r="AV1627">
        <v>1</v>
      </c>
      <c r="AW1627">
        <v>16.7</v>
      </c>
      <c r="AX1627">
        <v>1.1666666666666667</v>
      </c>
      <c r="AY1627">
        <v>814.55000000000007</v>
      </c>
      <c r="AZ1627">
        <v>85</v>
      </c>
      <c r="BA1627">
        <v>720</v>
      </c>
      <c r="BB1627">
        <v>841</v>
      </c>
      <c r="BE1627" t="s">
        <v>492</v>
      </c>
      <c r="BF1627" t="s">
        <v>594</v>
      </c>
    </row>
    <row r="1628" spans="1:58" x14ac:dyDescent="0.45">
      <c r="A1628">
        <v>30184</v>
      </c>
      <c r="B1628">
        <v>0</v>
      </c>
      <c r="C1628">
        <v>51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7</v>
      </c>
      <c r="K1628">
        <v>35</v>
      </c>
      <c r="L1628">
        <v>0</v>
      </c>
      <c r="M1628">
        <v>0</v>
      </c>
      <c r="N1628">
        <v>0</v>
      </c>
      <c r="O1628">
        <v>5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841.6</v>
      </c>
      <c r="AF1628">
        <v>0</v>
      </c>
      <c r="AG1628">
        <v>1</v>
      </c>
      <c r="AH1628">
        <v>0</v>
      </c>
      <c r="AI1628">
        <v>0</v>
      </c>
      <c r="AJ1628">
        <v>0</v>
      </c>
      <c r="AP1628">
        <v>1</v>
      </c>
      <c r="AQ1628">
        <v>0</v>
      </c>
      <c r="AR1628">
        <v>1</v>
      </c>
      <c r="AS1628">
        <v>0</v>
      </c>
      <c r="AT1628">
        <v>0</v>
      </c>
      <c r="AU1628">
        <v>0</v>
      </c>
      <c r="AV1628">
        <v>1</v>
      </c>
      <c r="AW1628">
        <v>13.8</v>
      </c>
      <c r="AX1628">
        <v>1.1666666666666667</v>
      </c>
      <c r="AY1628">
        <v>841.6</v>
      </c>
      <c r="AZ1628">
        <v>79</v>
      </c>
      <c r="BA1628">
        <v>613</v>
      </c>
      <c r="BB1628">
        <v>652</v>
      </c>
      <c r="BE1628" t="s">
        <v>492</v>
      </c>
      <c r="BF1628" t="s">
        <v>594</v>
      </c>
    </row>
    <row r="1629" spans="1:58" x14ac:dyDescent="0.45">
      <c r="A1629">
        <v>30185</v>
      </c>
      <c r="B1629">
        <v>1</v>
      </c>
      <c r="C1629">
        <v>65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882</v>
      </c>
      <c r="AF1629">
        <v>0</v>
      </c>
      <c r="AG1629">
        <v>1</v>
      </c>
      <c r="AH1629">
        <v>0</v>
      </c>
      <c r="AI1629">
        <v>0</v>
      </c>
      <c r="AJ1629">
        <v>0</v>
      </c>
      <c r="AP1629">
        <v>1</v>
      </c>
      <c r="AQ1629">
        <v>0</v>
      </c>
      <c r="AR1629">
        <v>1</v>
      </c>
      <c r="AS1629">
        <v>0</v>
      </c>
      <c r="AT1629">
        <v>1</v>
      </c>
      <c r="AU1629">
        <v>1</v>
      </c>
      <c r="AV1629">
        <v>0</v>
      </c>
      <c r="AW1629">
        <v>9.8000000000000007</v>
      </c>
      <c r="AX1629">
        <v>0</v>
      </c>
      <c r="AY1629">
        <v>882</v>
      </c>
      <c r="AZ1629">
        <v>72</v>
      </c>
      <c r="BA1629">
        <v>382</v>
      </c>
      <c r="BB1629">
        <v>560</v>
      </c>
      <c r="BD1629">
        <v>172</v>
      </c>
      <c r="BE1629" t="s">
        <v>493</v>
      </c>
      <c r="BF1629" t="s">
        <v>595</v>
      </c>
    </row>
    <row r="1630" spans="1:58" x14ac:dyDescent="0.45">
      <c r="A1630">
        <v>30186</v>
      </c>
      <c r="B1630">
        <v>0</v>
      </c>
      <c r="C1630">
        <v>64.849999999999994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35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0.15</v>
      </c>
      <c r="R1630">
        <v>0</v>
      </c>
      <c r="S1630">
        <v>0</v>
      </c>
      <c r="T1630">
        <v>0</v>
      </c>
      <c r="U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885.495</v>
      </c>
      <c r="AF1630">
        <v>0</v>
      </c>
      <c r="AG1630">
        <v>1</v>
      </c>
      <c r="AH1630">
        <v>0</v>
      </c>
      <c r="AI1630">
        <v>0</v>
      </c>
      <c r="AJ1630">
        <v>0</v>
      </c>
      <c r="AP1630">
        <v>1</v>
      </c>
      <c r="AQ1630">
        <v>0</v>
      </c>
      <c r="AR1630">
        <v>1</v>
      </c>
      <c r="AS1630">
        <v>0</v>
      </c>
      <c r="AT1630">
        <v>1</v>
      </c>
      <c r="AU1630">
        <v>1</v>
      </c>
      <c r="AV1630">
        <v>0</v>
      </c>
      <c r="AW1630">
        <v>9.8000000000000007</v>
      </c>
      <c r="AX1630">
        <v>0</v>
      </c>
      <c r="AY1630">
        <v>885.495</v>
      </c>
      <c r="AZ1630">
        <v>66</v>
      </c>
      <c r="BA1630">
        <v>389</v>
      </c>
      <c r="BB1630">
        <v>573</v>
      </c>
      <c r="BD1630">
        <v>190</v>
      </c>
      <c r="BE1630" t="s">
        <v>493</v>
      </c>
      <c r="BF1630" t="s">
        <v>595</v>
      </c>
    </row>
    <row r="1631" spans="1:58" x14ac:dyDescent="0.45">
      <c r="A1631">
        <v>30187</v>
      </c>
      <c r="B1631">
        <v>0</v>
      </c>
      <c r="C1631">
        <v>64.650000000000006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0.35</v>
      </c>
      <c r="R1631">
        <v>0</v>
      </c>
      <c r="S1631">
        <v>0</v>
      </c>
      <c r="T1631">
        <v>0</v>
      </c>
      <c r="U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890.15499999999997</v>
      </c>
      <c r="AF1631">
        <v>0</v>
      </c>
      <c r="AG1631">
        <v>1</v>
      </c>
      <c r="AH1631">
        <v>0</v>
      </c>
      <c r="AI1631">
        <v>0</v>
      </c>
      <c r="AJ1631">
        <v>0</v>
      </c>
      <c r="AP1631">
        <v>1</v>
      </c>
      <c r="AQ1631">
        <v>0</v>
      </c>
      <c r="AR1631">
        <v>1</v>
      </c>
      <c r="AS1631">
        <v>0</v>
      </c>
      <c r="AT1631">
        <v>1</v>
      </c>
      <c r="AU1631">
        <v>1</v>
      </c>
      <c r="AV1631">
        <v>0</v>
      </c>
      <c r="AW1631">
        <v>9.8000000000000007</v>
      </c>
      <c r="AX1631">
        <v>0</v>
      </c>
      <c r="AY1631">
        <v>890.15499999999997</v>
      </c>
      <c r="AZ1631">
        <v>65</v>
      </c>
      <c r="BA1631">
        <v>405</v>
      </c>
      <c r="BB1631">
        <v>585</v>
      </c>
      <c r="BD1631">
        <v>202</v>
      </c>
      <c r="BE1631" t="s">
        <v>493</v>
      </c>
      <c r="BF1631" t="s">
        <v>595</v>
      </c>
    </row>
    <row r="1632" spans="1:58" x14ac:dyDescent="0.45">
      <c r="A1632">
        <v>30188</v>
      </c>
      <c r="B1632">
        <v>0</v>
      </c>
      <c r="C1632">
        <v>64.45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35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0.55000000000000004</v>
      </c>
      <c r="R1632">
        <v>0</v>
      </c>
      <c r="S1632">
        <v>0</v>
      </c>
      <c r="T1632">
        <v>0</v>
      </c>
      <c r="U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894.81500000000005</v>
      </c>
      <c r="AF1632">
        <v>0</v>
      </c>
      <c r="AG1632">
        <v>1</v>
      </c>
      <c r="AH1632">
        <v>0</v>
      </c>
      <c r="AI1632">
        <v>0</v>
      </c>
      <c r="AJ1632">
        <v>0</v>
      </c>
      <c r="AP1632">
        <v>1</v>
      </c>
      <c r="AQ1632">
        <v>0</v>
      </c>
      <c r="AR1632">
        <v>1</v>
      </c>
      <c r="AS1632">
        <v>0</v>
      </c>
      <c r="AT1632">
        <v>1</v>
      </c>
      <c r="AU1632">
        <v>1</v>
      </c>
      <c r="AV1632">
        <v>0</v>
      </c>
      <c r="AW1632">
        <v>9.8000000000000007</v>
      </c>
      <c r="AX1632">
        <v>0</v>
      </c>
      <c r="AY1632">
        <v>894.81500000000005</v>
      </c>
      <c r="AZ1632">
        <v>65</v>
      </c>
      <c r="BA1632">
        <v>540</v>
      </c>
      <c r="BB1632">
        <v>658</v>
      </c>
      <c r="BD1632">
        <v>223</v>
      </c>
      <c r="BE1632" t="s">
        <v>493</v>
      </c>
      <c r="BF1632" t="s">
        <v>595</v>
      </c>
    </row>
    <row r="1633" spans="1:58" x14ac:dyDescent="0.45">
      <c r="A1633">
        <v>30189</v>
      </c>
      <c r="B1633">
        <v>1</v>
      </c>
      <c r="C1633">
        <v>92</v>
      </c>
      <c r="D1633">
        <v>0</v>
      </c>
      <c r="E1633">
        <v>0</v>
      </c>
      <c r="F1633">
        <v>8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785.2</v>
      </c>
      <c r="AF1633">
        <v>0</v>
      </c>
      <c r="AG1633">
        <v>1</v>
      </c>
      <c r="AH1633">
        <v>0</v>
      </c>
      <c r="AI1633">
        <v>0</v>
      </c>
      <c r="AJ1633">
        <v>0</v>
      </c>
      <c r="AP1633">
        <v>1</v>
      </c>
      <c r="AQ1633">
        <v>0</v>
      </c>
      <c r="AR1633">
        <v>1</v>
      </c>
      <c r="AS1633">
        <v>0</v>
      </c>
      <c r="AT1633">
        <v>0</v>
      </c>
      <c r="AU1633">
        <v>1</v>
      </c>
      <c r="AV1633">
        <v>0</v>
      </c>
      <c r="AW1633">
        <v>12.8</v>
      </c>
      <c r="AX1633">
        <v>0</v>
      </c>
      <c r="AY1633">
        <v>785.2</v>
      </c>
      <c r="BA1633">
        <v>662</v>
      </c>
      <c r="BB1633">
        <v>769</v>
      </c>
      <c r="BE1633" t="s">
        <v>494</v>
      </c>
      <c r="BF1633" t="s">
        <v>596</v>
      </c>
    </row>
    <row r="1634" spans="1:58" x14ac:dyDescent="0.45">
      <c r="A1634">
        <v>30190</v>
      </c>
      <c r="B1634">
        <v>1</v>
      </c>
      <c r="C1634">
        <v>90</v>
      </c>
      <c r="D1634">
        <v>0</v>
      </c>
      <c r="E1634">
        <v>0</v>
      </c>
      <c r="F1634">
        <v>10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761</v>
      </c>
      <c r="AF1634">
        <v>0</v>
      </c>
      <c r="AG1634">
        <v>1</v>
      </c>
      <c r="AH1634">
        <v>0</v>
      </c>
      <c r="AI1634">
        <v>0</v>
      </c>
      <c r="AJ1634">
        <v>0</v>
      </c>
      <c r="AP1634">
        <v>1</v>
      </c>
      <c r="AQ1634">
        <v>0</v>
      </c>
      <c r="AR1634">
        <v>1</v>
      </c>
      <c r="AS1634">
        <v>0</v>
      </c>
      <c r="AT1634">
        <v>0</v>
      </c>
      <c r="AU1634">
        <v>1</v>
      </c>
      <c r="AV1634">
        <v>0</v>
      </c>
      <c r="AW1634">
        <v>16</v>
      </c>
      <c r="AX1634">
        <v>0</v>
      </c>
      <c r="AY1634">
        <v>761</v>
      </c>
      <c r="BA1634">
        <v>446</v>
      </c>
      <c r="BB1634">
        <v>872</v>
      </c>
      <c r="BE1634" t="s">
        <v>494</v>
      </c>
      <c r="BF1634" t="s">
        <v>596</v>
      </c>
    </row>
    <row r="1635" spans="1:58" x14ac:dyDescent="0.45">
      <c r="A1635">
        <v>30191</v>
      </c>
      <c r="B1635">
        <v>1</v>
      </c>
      <c r="C1635">
        <v>88.5</v>
      </c>
      <c r="D1635">
        <v>0</v>
      </c>
      <c r="E1635">
        <v>0</v>
      </c>
      <c r="F1635">
        <v>11.5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742.85</v>
      </c>
      <c r="AF1635">
        <v>0</v>
      </c>
      <c r="AG1635">
        <v>1</v>
      </c>
      <c r="AH1635">
        <v>0</v>
      </c>
      <c r="AI1635">
        <v>0</v>
      </c>
      <c r="AJ1635">
        <v>0</v>
      </c>
      <c r="AP1635">
        <v>1</v>
      </c>
      <c r="AQ1635">
        <v>0</v>
      </c>
      <c r="AR1635">
        <v>1</v>
      </c>
      <c r="AS1635">
        <v>0</v>
      </c>
      <c r="AT1635">
        <v>0</v>
      </c>
      <c r="AU1635">
        <v>1</v>
      </c>
      <c r="AV1635">
        <v>0</v>
      </c>
      <c r="AW1635">
        <v>18.400000000000002</v>
      </c>
      <c r="AX1635">
        <v>0</v>
      </c>
      <c r="AY1635">
        <v>742.85</v>
      </c>
      <c r="BA1635">
        <v>791</v>
      </c>
      <c r="BB1635">
        <v>858</v>
      </c>
      <c r="BE1635" t="s">
        <v>494</v>
      </c>
      <c r="BF1635" t="s">
        <v>596</v>
      </c>
    </row>
    <row r="1636" spans="1:58" x14ac:dyDescent="0.45">
      <c r="A1636">
        <v>30192</v>
      </c>
      <c r="B1636">
        <v>1</v>
      </c>
      <c r="C1636">
        <v>87</v>
      </c>
      <c r="D1636">
        <v>0</v>
      </c>
      <c r="E1636">
        <v>0</v>
      </c>
      <c r="F1636">
        <v>13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724.7</v>
      </c>
      <c r="AF1636">
        <v>0</v>
      </c>
      <c r="AG1636">
        <v>1</v>
      </c>
      <c r="AH1636">
        <v>0</v>
      </c>
      <c r="AI1636">
        <v>0</v>
      </c>
      <c r="AJ1636">
        <v>0</v>
      </c>
      <c r="AP1636">
        <v>1</v>
      </c>
      <c r="AQ1636">
        <v>0</v>
      </c>
      <c r="AR1636">
        <v>1</v>
      </c>
      <c r="AS1636">
        <v>0</v>
      </c>
      <c r="AT1636">
        <v>0</v>
      </c>
      <c r="AU1636">
        <v>1</v>
      </c>
      <c r="AV1636">
        <v>0</v>
      </c>
      <c r="AW1636">
        <v>20.8</v>
      </c>
      <c r="AX1636">
        <v>0</v>
      </c>
      <c r="AY1636">
        <v>724.7</v>
      </c>
      <c r="BA1636">
        <v>794</v>
      </c>
      <c r="BB1636">
        <v>830</v>
      </c>
      <c r="BE1636" t="s">
        <v>494</v>
      </c>
      <c r="BF1636" t="s">
        <v>596</v>
      </c>
    </row>
    <row r="1637" spans="1:58" x14ac:dyDescent="0.45">
      <c r="A1637">
        <v>30193</v>
      </c>
      <c r="B1637">
        <v>1</v>
      </c>
      <c r="C1637">
        <v>85</v>
      </c>
      <c r="D1637">
        <v>0</v>
      </c>
      <c r="E1637">
        <v>0</v>
      </c>
      <c r="F1637">
        <v>15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700.5</v>
      </c>
      <c r="AF1637">
        <v>0</v>
      </c>
      <c r="AG1637">
        <v>1</v>
      </c>
      <c r="AH1637">
        <v>0</v>
      </c>
      <c r="AI1637">
        <v>0</v>
      </c>
      <c r="AJ1637">
        <v>0</v>
      </c>
      <c r="AP1637">
        <v>1</v>
      </c>
      <c r="AQ1637">
        <v>0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24</v>
      </c>
      <c r="AX1637">
        <v>0</v>
      </c>
      <c r="AY1637">
        <v>700.5</v>
      </c>
      <c r="BA1637">
        <v>775</v>
      </c>
      <c r="BB1637">
        <v>814</v>
      </c>
      <c r="BE1637" t="s">
        <v>494</v>
      </c>
      <c r="BF1637" t="s">
        <v>596</v>
      </c>
    </row>
    <row r="1638" spans="1:58" x14ac:dyDescent="0.45">
      <c r="A1638">
        <v>30194</v>
      </c>
      <c r="B1638">
        <v>1</v>
      </c>
      <c r="C1638">
        <v>80</v>
      </c>
      <c r="D1638">
        <v>0</v>
      </c>
      <c r="E1638">
        <v>0</v>
      </c>
      <c r="F1638">
        <v>20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640</v>
      </c>
      <c r="AF1638">
        <v>0</v>
      </c>
      <c r="AG1638">
        <v>1</v>
      </c>
      <c r="AH1638">
        <v>0</v>
      </c>
      <c r="AI1638">
        <v>0</v>
      </c>
      <c r="AJ1638">
        <v>0</v>
      </c>
      <c r="AP1638">
        <v>1</v>
      </c>
      <c r="AQ1638">
        <v>0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32</v>
      </c>
      <c r="AX1638">
        <v>0</v>
      </c>
      <c r="AY1638">
        <v>640</v>
      </c>
      <c r="BA1638">
        <v>808</v>
      </c>
      <c r="BB1638">
        <v>822</v>
      </c>
      <c r="BE1638" t="s">
        <v>494</v>
      </c>
      <c r="BF1638" t="s">
        <v>596</v>
      </c>
    </row>
    <row r="1639" spans="1:58" x14ac:dyDescent="0.45">
      <c r="A1639">
        <v>30195</v>
      </c>
      <c r="B1639">
        <v>1</v>
      </c>
      <c r="C1639">
        <v>88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768</v>
      </c>
      <c r="AF1639">
        <v>0</v>
      </c>
      <c r="AG1639">
        <v>1</v>
      </c>
      <c r="AH1639">
        <v>0</v>
      </c>
      <c r="AI1639">
        <v>0</v>
      </c>
      <c r="AJ1639">
        <v>0</v>
      </c>
      <c r="AP1639">
        <v>1</v>
      </c>
      <c r="AQ1639">
        <v>0</v>
      </c>
      <c r="AR1639">
        <v>1</v>
      </c>
      <c r="AS1639">
        <v>0</v>
      </c>
      <c r="AT1639">
        <v>0</v>
      </c>
      <c r="AU1639">
        <v>1</v>
      </c>
      <c r="AV1639">
        <v>0</v>
      </c>
      <c r="AW1639">
        <v>12</v>
      </c>
      <c r="AX1639">
        <v>0</v>
      </c>
      <c r="AY1639">
        <v>768</v>
      </c>
      <c r="AZ1639">
        <v>90</v>
      </c>
      <c r="BA1639">
        <v>550</v>
      </c>
      <c r="BB1639">
        <v>660</v>
      </c>
      <c r="BE1639" t="s">
        <v>495</v>
      </c>
      <c r="BF1639" t="s">
        <v>597</v>
      </c>
    </row>
    <row r="1640" spans="1:58" x14ac:dyDescent="0.45">
      <c r="A1640">
        <v>30196</v>
      </c>
      <c r="B1640">
        <v>0</v>
      </c>
      <c r="C1640">
        <v>54.72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5</v>
      </c>
      <c r="K1640">
        <v>30</v>
      </c>
      <c r="L1640">
        <v>0</v>
      </c>
      <c r="M1640">
        <v>0</v>
      </c>
      <c r="N1640">
        <v>0</v>
      </c>
      <c r="O1640">
        <v>10</v>
      </c>
      <c r="P1640">
        <v>0</v>
      </c>
      <c r="Q1640">
        <v>0</v>
      </c>
      <c r="R1640">
        <v>0</v>
      </c>
      <c r="S1640">
        <v>0</v>
      </c>
      <c r="T1640">
        <v>0.28000000000000003</v>
      </c>
      <c r="U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881.94</v>
      </c>
      <c r="AF1640">
        <v>0</v>
      </c>
      <c r="AG1640">
        <v>0</v>
      </c>
      <c r="AH1640">
        <v>1</v>
      </c>
      <c r="AI1640">
        <v>0</v>
      </c>
      <c r="AJ1640">
        <v>0</v>
      </c>
      <c r="AP1640">
        <v>1</v>
      </c>
      <c r="AQ1640">
        <v>0</v>
      </c>
      <c r="AR1640">
        <v>1</v>
      </c>
      <c r="AS1640">
        <v>0</v>
      </c>
      <c r="AT1640">
        <v>1</v>
      </c>
      <c r="AU1640">
        <v>0</v>
      </c>
      <c r="AV1640">
        <v>0</v>
      </c>
      <c r="AW1640">
        <v>10.600000000000001</v>
      </c>
      <c r="AX1640">
        <v>0.8613333333333334</v>
      </c>
      <c r="AY1640">
        <v>881.94</v>
      </c>
      <c r="AZ1640">
        <v>57.1</v>
      </c>
      <c r="BA1640">
        <v>400</v>
      </c>
      <c r="BB1640">
        <v>777</v>
      </c>
      <c r="BE1640" t="s">
        <v>496</v>
      </c>
      <c r="BF1640" t="s">
        <v>598</v>
      </c>
    </row>
    <row r="1641" spans="1:58" x14ac:dyDescent="0.45">
      <c r="A1641">
        <v>30197</v>
      </c>
      <c r="B1641">
        <v>0</v>
      </c>
      <c r="C1641">
        <v>56.65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5</v>
      </c>
      <c r="K1641">
        <v>30</v>
      </c>
      <c r="L1641">
        <v>0</v>
      </c>
      <c r="M1641">
        <v>0</v>
      </c>
      <c r="N1641">
        <v>0</v>
      </c>
      <c r="O1641">
        <v>8</v>
      </c>
      <c r="P1641">
        <v>0</v>
      </c>
      <c r="Q1641">
        <v>0</v>
      </c>
      <c r="R1641">
        <v>0</v>
      </c>
      <c r="S1641">
        <v>0</v>
      </c>
      <c r="T1641">
        <v>0.35</v>
      </c>
      <c r="U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890.55</v>
      </c>
      <c r="AF1641">
        <v>0</v>
      </c>
      <c r="AG1641">
        <v>0</v>
      </c>
      <c r="AH1641">
        <v>1</v>
      </c>
      <c r="AI1641">
        <v>0</v>
      </c>
      <c r="AJ1641">
        <v>0</v>
      </c>
      <c r="AP1641">
        <v>1</v>
      </c>
      <c r="AQ1641">
        <v>0</v>
      </c>
      <c r="AR1641">
        <v>1</v>
      </c>
      <c r="AS1641">
        <v>0</v>
      </c>
      <c r="AT1641">
        <v>1</v>
      </c>
      <c r="AU1641">
        <v>0</v>
      </c>
      <c r="AV1641">
        <v>0</v>
      </c>
      <c r="AW1641">
        <v>10.16</v>
      </c>
      <c r="AX1641">
        <v>0.8683333333333334</v>
      </c>
      <c r="AY1641">
        <v>890.55</v>
      </c>
      <c r="AZ1641">
        <v>53.7</v>
      </c>
      <c r="BA1641">
        <v>435</v>
      </c>
      <c r="BB1641">
        <v>612</v>
      </c>
      <c r="BE1641" t="s">
        <v>496</v>
      </c>
      <c r="BF1641" t="s">
        <v>598</v>
      </c>
    </row>
    <row r="1642" spans="1:58" x14ac:dyDescent="0.45">
      <c r="A1642">
        <v>30198</v>
      </c>
      <c r="B1642">
        <v>1</v>
      </c>
      <c r="C1642">
        <v>83.066299999999998</v>
      </c>
      <c r="D1642">
        <v>0</v>
      </c>
      <c r="E1642">
        <v>0</v>
      </c>
      <c r="F1642">
        <v>0</v>
      </c>
      <c r="G1642">
        <v>0</v>
      </c>
      <c r="H1642">
        <v>1.0638000000000001</v>
      </c>
      <c r="I1642">
        <v>0</v>
      </c>
      <c r="J1642">
        <v>0</v>
      </c>
      <c r="K1642">
        <v>0</v>
      </c>
      <c r="L1642">
        <v>8.4076000000000004</v>
      </c>
      <c r="M1642">
        <v>7.4622999999999999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817.08699794568815</v>
      </c>
      <c r="AF1642">
        <v>0</v>
      </c>
      <c r="AG1642">
        <v>1</v>
      </c>
      <c r="AH1642">
        <v>0</v>
      </c>
      <c r="AI1642">
        <v>0</v>
      </c>
      <c r="AJ1642">
        <v>0</v>
      </c>
      <c r="AP1642">
        <v>1</v>
      </c>
      <c r="AQ1642">
        <v>0</v>
      </c>
      <c r="AR1642">
        <v>1</v>
      </c>
      <c r="AS1642">
        <v>0</v>
      </c>
      <c r="AT1642">
        <v>0</v>
      </c>
      <c r="AU1642">
        <v>0</v>
      </c>
      <c r="AV1642">
        <v>0</v>
      </c>
      <c r="AW1642">
        <v>11.492576864110255</v>
      </c>
      <c r="AX1642">
        <v>2.4874271407348751</v>
      </c>
      <c r="AY1642">
        <v>817.08699794568815</v>
      </c>
      <c r="AZ1642">
        <v>52</v>
      </c>
      <c r="BA1642">
        <v>740</v>
      </c>
      <c r="BB1642">
        <v>1013</v>
      </c>
      <c r="BE1642" t="s">
        <v>497</v>
      </c>
      <c r="BF1642" t="s">
        <v>599</v>
      </c>
    </row>
    <row r="1643" spans="1:58" x14ac:dyDescent="0.45">
      <c r="A1643">
        <v>30199</v>
      </c>
      <c r="B1643">
        <v>1</v>
      </c>
      <c r="C1643">
        <v>8.8218999999999994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18.5823</v>
      </c>
      <c r="K1643">
        <v>17.122599999999998</v>
      </c>
      <c r="L1643">
        <v>18.6143</v>
      </c>
      <c r="M1643">
        <v>0</v>
      </c>
      <c r="N1643">
        <v>0</v>
      </c>
      <c r="O1643">
        <v>36.859000000000002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J1643">
        <v>0</v>
      </c>
      <c r="AP1643">
        <v>1</v>
      </c>
      <c r="AQ1643">
        <v>0</v>
      </c>
      <c r="AR1643">
        <v>1</v>
      </c>
      <c r="AS1643">
        <v>0</v>
      </c>
      <c r="AT1643">
        <v>0</v>
      </c>
      <c r="AU1643">
        <v>0</v>
      </c>
      <c r="AV1643">
        <v>0</v>
      </c>
      <c r="AW1643">
        <v>31.517562277592845</v>
      </c>
      <c r="AX1643">
        <v>3.0970477554551756</v>
      </c>
      <c r="AY1643">
        <v>576.94677515406522</v>
      </c>
      <c r="AZ1643">
        <v>153</v>
      </c>
      <c r="BA1643">
        <v>1390</v>
      </c>
      <c r="BE1643" t="s">
        <v>498</v>
      </c>
      <c r="BF1643" t="s">
        <v>600</v>
      </c>
    </row>
    <row r="1644" spans="1:58" x14ac:dyDescent="0.45">
      <c r="A1644">
        <v>30200</v>
      </c>
      <c r="B1644">
        <v>1</v>
      </c>
      <c r="C1644">
        <v>70.087199999999996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6.4402999999999997</v>
      </c>
      <c r="K1644">
        <v>9.8219999999999992</v>
      </c>
      <c r="L1644">
        <v>13.650499999999999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707.8822887856619</v>
      </c>
      <c r="AF1644">
        <v>0</v>
      </c>
      <c r="AG1644">
        <v>1</v>
      </c>
      <c r="AH1644">
        <v>0</v>
      </c>
      <c r="AI1644">
        <v>0</v>
      </c>
      <c r="AJ1644">
        <v>0</v>
      </c>
      <c r="AP1644">
        <v>1</v>
      </c>
      <c r="AQ1644">
        <v>0</v>
      </c>
      <c r="AR1644">
        <v>1</v>
      </c>
      <c r="AS1644">
        <v>0</v>
      </c>
      <c r="AT1644">
        <v>1</v>
      </c>
      <c r="AU1644">
        <v>0</v>
      </c>
      <c r="AV1644">
        <v>0</v>
      </c>
      <c r="AW1644">
        <v>16.400663784957903</v>
      </c>
      <c r="AX1644">
        <v>1.0733806160053823</v>
      </c>
      <c r="AY1644">
        <v>707.8822887856619</v>
      </c>
      <c r="AZ1644">
        <v>72</v>
      </c>
      <c r="BA1644">
        <v>899</v>
      </c>
      <c r="BE1644" t="s">
        <v>499</v>
      </c>
      <c r="BF1644" t="s">
        <v>601</v>
      </c>
    </row>
    <row r="1645" spans="1:58" x14ac:dyDescent="0.45">
      <c r="A1645">
        <v>30201</v>
      </c>
      <c r="B1645">
        <v>1</v>
      </c>
      <c r="C1645">
        <v>72.914500000000004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4.9067999999999996</v>
      </c>
      <c r="K1645">
        <v>8.3118999999999996</v>
      </c>
      <c r="L1645">
        <v>13.8668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716.40827791401125</v>
      </c>
      <c r="AF1645">
        <v>0</v>
      </c>
      <c r="AG1645">
        <v>1</v>
      </c>
      <c r="AH1645">
        <v>0</v>
      </c>
      <c r="AI1645">
        <v>0</v>
      </c>
      <c r="AJ1645">
        <v>0</v>
      </c>
      <c r="AP1645">
        <v>1</v>
      </c>
      <c r="AQ1645">
        <v>0</v>
      </c>
      <c r="AR1645">
        <v>1</v>
      </c>
      <c r="AS1645">
        <v>0</v>
      </c>
      <c r="AT1645">
        <v>1</v>
      </c>
      <c r="AU1645">
        <v>0</v>
      </c>
      <c r="AV1645">
        <v>0</v>
      </c>
      <c r="AW1645">
        <v>16.194185911946512</v>
      </c>
      <c r="AX1645">
        <v>0.8177943847854654</v>
      </c>
      <c r="AY1645">
        <v>716.40827791401125</v>
      </c>
      <c r="AZ1645">
        <v>69</v>
      </c>
      <c r="BA1645">
        <v>947</v>
      </c>
      <c r="BE1645" t="s">
        <v>499</v>
      </c>
      <c r="BF1645" t="s">
        <v>601</v>
      </c>
    </row>
    <row r="1646" spans="1:58" x14ac:dyDescent="0.45">
      <c r="A1646">
        <v>30202</v>
      </c>
      <c r="B1646">
        <v>1</v>
      </c>
      <c r="C1646">
        <v>72.857699999999994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8.2940000000000005</v>
      </c>
      <c r="K1646">
        <v>4.9806999999999997</v>
      </c>
      <c r="L1646">
        <v>13.867599999999999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693.0290562489821</v>
      </c>
      <c r="AF1646">
        <v>0</v>
      </c>
      <c r="AG1646">
        <v>1</v>
      </c>
      <c r="AH1646">
        <v>0</v>
      </c>
      <c r="AI1646">
        <v>0</v>
      </c>
      <c r="AJ1646">
        <v>0</v>
      </c>
      <c r="AP1646">
        <v>1</v>
      </c>
      <c r="AQ1646">
        <v>0</v>
      </c>
      <c r="AR1646">
        <v>1</v>
      </c>
      <c r="AS1646">
        <v>0</v>
      </c>
      <c r="AT1646">
        <v>1</v>
      </c>
      <c r="AU1646">
        <v>0</v>
      </c>
      <c r="AV1646">
        <v>0</v>
      </c>
      <c r="AW1646">
        <v>15.262183309228895</v>
      </c>
      <c r="AX1646">
        <v>1.3823393405811062</v>
      </c>
      <c r="AY1646">
        <v>693.0290562489821</v>
      </c>
      <c r="AZ1646">
        <v>52</v>
      </c>
      <c r="BA1646">
        <v>483</v>
      </c>
      <c r="BE1646" t="s">
        <v>499</v>
      </c>
      <c r="BF1646" t="s">
        <v>601</v>
      </c>
    </row>
    <row r="1647" spans="1:58" x14ac:dyDescent="0.45">
      <c r="A1647">
        <v>30203</v>
      </c>
      <c r="B1647">
        <v>1</v>
      </c>
      <c r="C1647">
        <v>64.622799999999998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35.377200000000002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882</v>
      </c>
      <c r="AF1647">
        <v>0</v>
      </c>
      <c r="AG1647">
        <v>1</v>
      </c>
      <c r="AH1647">
        <v>0</v>
      </c>
      <c r="AI1647">
        <v>0</v>
      </c>
      <c r="AJ1647">
        <v>0</v>
      </c>
      <c r="AP1647">
        <v>1</v>
      </c>
      <c r="AQ1647">
        <v>0</v>
      </c>
      <c r="AR1647">
        <v>1</v>
      </c>
      <c r="AS1647">
        <v>0</v>
      </c>
      <c r="AT1647">
        <v>1</v>
      </c>
      <c r="AU1647">
        <v>0</v>
      </c>
      <c r="AV1647">
        <v>0</v>
      </c>
      <c r="AW1647">
        <v>9.9056050084608671</v>
      </c>
      <c r="AX1647">
        <v>0</v>
      </c>
      <c r="AY1647">
        <v>882</v>
      </c>
      <c r="AZ1647">
        <v>73</v>
      </c>
      <c r="BA1647">
        <v>405</v>
      </c>
      <c r="BB1647">
        <v>694</v>
      </c>
      <c r="BD1647">
        <v>181</v>
      </c>
      <c r="BE1647" t="s">
        <v>500</v>
      </c>
      <c r="BF1647" t="s">
        <v>602</v>
      </c>
    </row>
    <row r="1648" spans="1:58" x14ac:dyDescent="0.45">
      <c r="A1648">
        <v>30204</v>
      </c>
      <c r="B1648">
        <v>1</v>
      </c>
      <c r="C1648">
        <v>63.267800000000001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35.0852</v>
      </c>
      <c r="L1648">
        <v>1.647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866.35324050761767</v>
      </c>
      <c r="AF1648">
        <v>0</v>
      </c>
      <c r="AG1648">
        <v>1</v>
      </c>
      <c r="AH1648">
        <v>0</v>
      </c>
      <c r="AI1648">
        <v>0</v>
      </c>
      <c r="AJ1648">
        <v>0</v>
      </c>
      <c r="AP1648">
        <v>1</v>
      </c>
      <c r="AQ1648">
        <v>0</v>
      </c>
      <c r="AR1648">
        <v>1</v>
      </c>
      <c r="AS1648">
        <v>0</v>
      </c>
      <c r="AT1648">
        <v>1</v>
      </c>
      <c r="AU1648">
        <v>0</v>
      </c>
      <c r="AV1648">
        <v>0</v>
      </c>
      <c r="AW1648">
        <v>11.470874676179324</v>
      </c>
      <c r="AX1648">
        <v>0</v>
      </c>
      <c r="AY1648">
        <v>866.35324050761767</v>
      </c>
      <c r="AZ1648">
        <v>87</v>
      </c>
      <c r="BA1648">
        <v>452</v>
      </c>
      <c r="BB1648">
        <v>763</v>
      </c>
      <c r="BD1648">
        <v>190</v>
      </c>
      <c r="BE1648" t="s">
        <v>500</v>
      </c>
      <c r="BF1648" t="s">
        <v>602</v>
      </c>
    </row>
    <row r="1649" spans="1:58" x14ac:dyDescent="0.45">
      <c r="A1649">
        <v>30205</v>
      </c>
      <c r="B1649">
        <v>1</v>
      </c>
      <c r="C1649">
        <v>63.319200000000002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1.5671999999999999</v>
      </c>
      <c r="K1649">
        <v>35.113700000000001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871.18649501172763</v>
      </c>
      <c r="AF1649">
        <v>0</v>
      </c>
      <c r="AG1649">
        <v>1</v>
      </c>
      <c r="AH1649">
        <v>0</v>
      </c>
      <c r="AI1649">
        <v>0</v>
      </c>
      <c r="AJ1649">
        <v>0</v>
      </c>
      <c r="AP1649">
        <v>1</v>
      </c>
      <c r="AQ1649">
        <v>0</v>
      </c>
      <c r="AR1649">
        <v>1</v>
      </c>
      <c r="AS1649">
        <v>0</v>
      </c>
      <c r="AT1649">
        <v>1</v>
      </c>
      <c r="AU1649">
        <v>0</v>
      </c>
      <c r="AV1649">
        <v>0</v>
      </c>
      <c r="AW1649">
        <v>9.8318233329241664</v>
      </c>
      <c r="AX1649">
        <v>0.26119577266358307</v>
      </c>
      <c r="AY1649">
        <v>871.18649501172763</v>
      </c>
      <c r="AZ1649">
        <v>68</v>
      </c>
      <c r="BA1649">
        <v>370</v>
      </c>
      <c r="BB1649">
        <v>629</v>
      </c>
      <c r="BD1649">
        <v>184</v>
      </c>
      <c r="BE1649" t="s">
        <v>500</v>
      </c>
      <c r="BF1649" t="s">
        <v>602</v>
      </c>
    </row>
    <row r="1650" spans="1:58" x14ac:dyDescent="0.45">
      <c r="A1650">
        <v>30206</v>
      </c>
      <c r="B1650">
        <v>1</v>
      </c>
      <c r="C1650">
        <v>62.357999999999997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34.580599999999997</v>
      </c>
      <c r="L1650">
        <v>0</v>
      </c>
      <c r="M1650">
        <v>0</v>
      </c>
      <c r="N1650">
        <v>0</v>
      </c>
      <c r="O1650">
        <v>3.0613999999999999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882</v>
      </c>
      <c r="AF1650">
        <v>0</v>
      </c>
      <c r="AG1650">
        <v>1</v>
      </c>
      <c r="AH1650">
        <v>0</v>
      </c>
      <c r="AI1650">
        <v>0</v>
      </c>
      <c r="AJ1650">
        <v>0</v>
      </c>
      <c r="AP1650">
        <v>1</v>
      </c>
      <c r="AQ1650">
        <v>0</v>
      </c>
      <c r="AR1650">
        <v>1</v>
      </c>
      <c r="AS1650">
        <v>0</v>
      </c>
      <c r="AT1650">
        <v>1</v>
      </c>
      <c r="AU1650">
        <v>0</v>
      </c>
      <c r="AV1650">
        <v>0</v>
      </c>
      <c r="AW1650">
        <v>10.356081514920412</v>
      </c>
      <c r="AX1650">
        <v>0</v>
      </c>
      <c r="AY1650">
        <v>882</v>
      </c>
      <c r="AZ1650">
        <v>72</v>
      </c>
      <c r="BA1650">
        <v>401</v>
      </c>
      <c r="BB1650">
        <v>617</v>
      </c>
      <c r="BD1650">
        <v>189</v>
      </c>
      <c r="BE1650" t="s">
        <v>500</v>
      </c>
      <c r="BF1650" t="s">
        <v>602</v>
      </c>
    </row>
    <row r="1651" spans="1:58" x14ac:dyDescent="0.45">
      <c r="A1651">
        <v>30207</v>
      </c>
      <c r="B1651">
        <v>1</v>
      </c>
      <c r="C1651">
        <v>63.021599999999999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34.948599999999999</v>
      </c>
      <c r="L1651">
        <v>0</v>
      </c>
      <c r="M1651">
        <v>2.0297999999999998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890.5250904453103</v>
      </c>
      <c r="AF1651">
        <v>0</v>
      </c>
      <c r="AG1651">
        <v>1</v>
      </c>
      <c r="AH1651">
        <v>0</v>
      </c>
      <c r="AI1651">
        <v>0</v>
      </c>
      <c r="AJ1651">
        <v>0</v>
      </c>
      <c r="AP1651">
        <v>1</v>
      </c>
      <c r="AQ1651">
        <v>0</v>
      </c>
      <c r="AR1651">
        <v>1</v>
      </c>
      <c r="AS1651">
        <v>0</v>
      </c>
      <c r="AT1651">
        <v>1</v>
      </c>
      <c r="AU1651">
        <v>0</v>
      </c>
      <c r="AV1651">
        <v>0</v>
      </c>
      <c r="AW1651">
        <v>9.7856163078768965</v>
      </c>
      <c r="AX1651">
        <v>0.67659447978652698</v>
      </c>
      <c r="AY1651">
        <v>890.5250904453103</v>
      </c>
      <c r="AZ1651">
        <v>65</v>
      </c>
      <c r="BA1651">
        <v>503</v>
      </c>
      <c r="BB1651">
        <v>633</v>
      </c>
      <c r="BD1651">
        <v>203</v>
      </c>
      <c r="BE1651" t="s">
        <v>500</v>
      </c>
      <c r="BF1651" t="s">
        <v>602</v>
      </c>
    </row>
    <row r="1652" spans="1:58" x14ac:dyDescent="0.45">
      <c r="A1652">
        <v>30208</v>
      </c>
      <c r="B1652">
        <v>0</v>
      </c>
      <c r="C1652">
        <v>64.013499999999993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35.498699999999999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0.48780000000000001</v>
      </c>
      <c r="R1652">
        <v>0</v>
      </c>
      <c r="S1652">
        <v>0</v>
      </c>
      <c r="T1652">
        <v>0</v>
      </c>
      <c r="U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893.36534997310923</v>
      </c>
      <c r="AF1652">
        <v>0</v>
      </c>
      <c r="AG1652">
        <v>1</v>
      </c>
      <c r="AH1652">
        <v>0</v>
      </c>
      <c r="AI1652">
        <v>0</v>
      </c>
      <c r="AJ1652">
        <v>0</v>
      </c>
      <c r="AP1652">
        <v>1</v>
      </c>
      <c r="AQ1652">
        <v>0</v>
      </c>
      <c r="AR1652">
        <v>1</v>
      </c>
      <c r="AS1652">
        <v>0</v>
      </c>
      <c r="AT1652">
        <v>1</v>
      </c>
      <c r="AU1652">
        <v>0</v>
      </c>
      <c r="AV1652">
        <v>0</v>
      </c>
      <c r="AW1652">
        <v>9.9396368115082705</v>
      </c>
      <c r="AX1652">
        <v>0</v>
      </c>
      <c r="AY1652">
        <v>893.36534997310923</v>
      </c>
      <c r="AZ1652">
        <v>69</v>
      </c>
      <c r="BA1652">
        <v>540</v>
      </c>
      <c r="BB1652">
        <v>634</v>
      </c>
      <c r="BD1652">
        <v>204</v>
      </c>
      <c r="BE1652" t="s">
        <v>500</v>
      </c>
      <c r="BF1652" t="s">
        <v>602</v>
      </c>
    </row>
    <row r="1653" spans="1:58" x14ac:dyDescent="0.45">
      <c r="A1653">
        <v>30209</v>
      </c>
      <c r="B1653">
        <v>1</v>
      </c>
      <c r="C1653">
        <v>63.706400000000002</v>
      </c>
      <c r="D1653">
        <v>0</v>
      </c>
      <c r="E1653">
        <v>0</v>
      </c>
      <c r="F1653">
        <v>0</v>
      </c>
      <c r="G1653">
        <v>0</v>
      </c>
      <c r="H1653">
        <v>0.96519999999999995</v>
      </c>
      <c r="I1653">
        <v>0</v>
      </c>
      <c r="J1653">
        <v>0</v>
      </c>
      <c r="K1653">
        <v>35.328400000000002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867.13526735195956</v>
      </c>
      <c r="AF1653">
        <v>0</v>
      </c>
      <c r="AG1653">
        <v>1</v>
      </c>
      <c r="AH1653">
        <v>0</v>
      </c>
      <c r="AI1653">
        <v>0</v>
      </c>
      <c r="AJ1653">
        <v>0</v>
      </c>
      <c r="AP1653">
        <v>1</v>
      </c>
      <c r="AQ1653">
        <v>0</v>
      </c>
      <c r="AR1653">
        <v>1</v>
      </c>
      <c r="AS1653">
        <v>0</v>
      </c>
      <c r="AT1653">
        <v>1</v>
      </c>
      <c r="AU1653">
        <v>0</v>
      </c>
      <c r="AV1653">
        <v>0</v>
      </c>
      <c r="AW1653">
        <v>12.691149384965282</v>
      </c>
      <c r="AX1653">
        <v>0</v>
      </c>
      <c r="AY1653">
        <v>867.13526735195956</v>
      </c>
      <c r="AZ1653">
        <v>79</v>
      </c>
      <c r="BA1653">
        <v>600</v>
      </c>
      <c r="BB1653">
        <v>820</v>
      </c>
      <c r="BD1653">
        <v>250</v>
      </c>
      <c r="BE1653" t="s">
        <v>500</v>
      </c>
      <c r="BF1653" t="s">
        <v>602</v>
      </c>
    </row>
    <row r="1654" spans="1:58" x14ac:dyDescent="0.45">
      <c r="A1654">
        <v>30210</v>
      </c>
      <c r="B1654">
        <v>1</v>
      </c>
      <c r="C1654">
        <v>61.999200000000002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38.000799999999998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882</v>
      </c>
      <c r="AF1654">
        <v>0</v>
      </c>
      <c r="AG1654">
        <v>1</v>
      </c>
      <c r="AH1654">
        <v>0</v>
      </c>
      <c r="AI1654">
        <v>0</v>
      </c>
      <c r="AJ1654">
        <v>0</v>
      </c>
      <c r="AP1654">
        <v>1</v>
      </c>
      <c r="AQ1654">
        <v>0</v>
      </c>
      <c r="AR1654">
        <v>1</v>
      </c>
      <c r="AS1654">
        <v>0</v>
      </c>
      <c r="AT1654">
        <v>1</v>
      </c>
      <c r="AU1654">
        <v>0</v>
      </c>
      <c r="AV1654">
        <v>0</v>
      </c>
      <c r="AW1654">
        <v>10.640221830002631</v>
      </c>
      <c r="AX1654">
        <v>0</v>
      </c>
      <c r="AY1654">
        <v>882</v>
      </c>
      <c r="AZ1654">
        <v>56</v>
      </c>
      <c r="BA1654">
        <v>202</v>
      </c>
      <c r="BB1654">
        <v>409</v>
      </c>
      <c r="BE1654" t="s">
        <v>501</v>
      </c>
      <c r="BF1654" t="s">
        <v>603</v>
      </c>
    </row>
    <row r="1655" spans="1:58" x14ac:dyDescent="0.45">
      <c r="A1655">
        <v>30211</v>
      </c>
      <c r="B1655">
        <v>1</v>
      </c>
      <c r="C1655">
        <v>59.488500000000002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3.0640000000000001</v>
      </c>
      <c r="K1655">
        <v>37.447400000000002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860.85764559970801</v>
      </c>
      <c r="AF1655">
        <v>0</v>
      </c>
      <c r="AG1655">
        <v>1</v>
      </c>
      <c r="AH1655">
        <v>0</v>
      </c>
      <c r="AI1655">
        <v>0</v>
      </c>
      <c r="AJ1655">
        <v>0</v>
      </c>
      <c r="AP1655">
        <v>1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10.4852670231017</v>
      </c>
      <c r="AX1655">
        <v>0.5106848888959411</v>
      </c>
      <c r="AY1655">
        <v>860.85764559970801</v>
      </c>
      <c r="AZ1655">
        <v>59</v>
      </c>
      <c r="BA1655">
        <v>249</v>
      </c>
      <c r="BB1655">
        <v>487</v>
      </c>
      <c r="BE1655" t="s">
        <v>501</v>
      </c>
      <c r="BF1655" t="s">
        <v>603</v>
      </c>
    </row>
    <row r="1656" spans="1:58" x14ac:dyDescent="0.45">
      <c r="A1656">
        <v>30212</v>
      </c>
      <c r="B1656">
        <v>1</v>
      </c>
      <c r="C1656">
        <v>57.06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6.0403000000000002</v>
      </c>
      <c r="K1656">
        <v>36.9099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840.32224920551835</v>
      </c>
      <c r="AF1656">
        <v>0</v>
      </c>
      <c r="AG1656">
        <v>1</v>
      </c>
      <c r="AH1656">
        <v>0</v>
      </c>
      <c r="AI1656">
        <v>0</v>
      </c>
      <c r="AJ1656">
        <v>0</v>
      </c>
      <c r="AP1656">
        <v>1</v>
      </c>
      <c r="AQ1656">
        <v>0</v>
      </c>
      <c r="AR1656">
        <v>1</v>
      </c>
      <c r="AS1656">
        <v>0</v>
      </c>
      <c r="AT1656">
        <v>0</v>
      </c>
      <c r="AU1656">
        <v>0</v>
      </c>
      <c r="AV1656">
        <v>0</v>
      </c>
      <c r="AW1656">
        <v>10.334760682953901</v>
      </c>
      <c r="AX1656">
        <v>1.0067089563884464</v>
      </c>
      <c r="AY1656">
        <v>840.32224920551835</v>
      </c>
      <c r="AZ1656">
        <v>60</v>
      </c>
      <c r="BA1656">
        <v>417</v>
      </c>
      <c r="BB1656">
        <v>542</v>
      </c>
      <c r="BE1656" t="s">
        <v>501</v>
      </c>
      <c r="BF1656" t="s">
        <v>603</v>
      </c>
    </row>
    <row r="1657" spans="1:58" x14ac:dyDescent="0.45">
      <c r="A1657">
        <v>30213</v>
      </c>
      <c r="B1657">
        <v>1</v>
      </c>
      <c r="C1657">
        <v>59.250900000000001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3.0394999999999999</v>
      </c>
      <c r="K1657">
        <v>35.599400000000003</v>
      </c>
      <c r="L1657">
        <v>0</v>
      </c>
      <c r="M1657">
        <v>0</v>
      </c>
      <c r="N1657">
        <v>0</v>
      </c>
      <c r="O1657">
        <v>2.1101999999999999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861.02712800996403</v>
      </c>
      <c r="AF1657">
        <v>0</v>
      </c>
      <c r="AG1657">
        <v>1</v>
      </c>
      <c r="AH1657">
        <v>0</v>
      </c>
      <c r="AI1657">
        <v>0</v>
      </c>
      <c r="AJ1657">
        <v>0</v>
      </c>
      <c r="AP1657">
        <v>1</v>
      </c>
      <c r="AQ1657">
        <v>0</v>
      </c>
      <c r="AR1657">
        <v>1</v>
      </c>
      <c r="AS1657">
        <v>0</v>
      </c>
      <c r="AT1657">
        <v>1</v>
      </c>
      <c r="AU1657">
        <v>0</v>
      </c>
      <c r="AV1657">
        <v>0</v>
      </c>
      <c r="AW1657">
        <v>10.432072023602931</v>
      </c>
      <c r="AX1657">
        <v>0.50659111087043418</v>
      </c>
      <c r="AY1657">
        <v>861.02712800996403</v>
      </c>
      <c r="AZ1657">
        <v>55</v>
      </c>
      <c r="BA1657">
        <v>280</v>
      </c>
      <c r="BB1657">
        <v>400</v>
      </c>
      <c r="BE1657" t="s">
        <v>502</v>
      </c>
      <c r="BF1657" t="s">
        <v>604</v>
      </c>
    </row>
    <row r="1658" spans="1:58" x14ac:dyDescent="0.45">
      <c r="A1658">
        <v>30214</v>
      </c>
      <c r="B1658">
        <v>1</v>
      </c>
      <c r="C1658">
        <v>59.250900000000001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3.0394999999999999</v>
      </c>
      <c r="K1658">
        <v>35.599400000000003</v>
      </c>
      <c r="L1658">
        <v>0</v>
      </c>
      <c r="M1658">
        <v>0</v>
      </c>
      <c r="N1658">
        <v>0</v>
      </c>
      <c r="O1658">
        <v>2.1101999999999999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861.02712800996403</v>
      </c>
      <c r="AF1658">
        <v>0</v>
      </c>
      <c r="AG1658">
        <v>1</v>
      </c>
      <c r="AH1658">
        <v>0</v>
      </c>
      <c r="AI1658">
        <v>0</v>
      </c>
      <c r="AJ1658">
        <v>0</v>
      </c>
      <c r="AP1658">
        <v>1</v>
      </c>
      <c r="AQ1658">
        <v>0</v>
      </c>
      <c r="AR1658">
        <v>1</v>
      </c>
      <c r="AS1658">
        <v>0</v>
      </c>
      <c r="AT1658">
        <v>0</v>
      </c>
      <c r="AU1658">
        <v>0</v>
      </c>
      <c r="AV1658">
        <v>0</v>
      </c>
      <c r="AW1658">
        <v>10.432072023602931</v>
      </c>
      <c r="AX1658">
        <v>0.50659111087043418</v>
      </c>
      <c r="AY1658">
        <v>861.02712800996403</v>
      </c>
      <c r="AZ1658">
        <v>60</v>
      </c>
      <c r="BA1658">
        <v>830</v>
      </c>
      <c r="BB1658">
        <v>880</v>
      </c>
      <c r="BE1658" t="s">
        <v>502</v>
      </c>
      <c r="BF1658" t="s">
        <v>604</v>
      </c>
    </row>
    <row r="1659" spans="1:58" x14ac:dyDescent="0.45">
      <c r="A1659">
        <v>30215</v>
      </c>
      <c r="B1659">
        <v>1</v>
      </c>
      <c r="C1659">
        <v>47.470999999999997</v>
      </c>
      <c r="D1659">
        <v>0</v>
      </c>
      <c r="E1659">
        <v>2.1650999999999998</v>
      </c>
      <c r="F1659">
        <v>0</v>
      </c>
      <c r="G1659">
        <v>0</v>
      </c>
      <c r="H1659">
        <v>0</v>
      </c>
      <c r="I1659">
        <v>0</v>
      </c>
      <c r="J1659">
        <v>7.7545000000000002</v>
      </c>
      <c r="K1659">
        <v>11.846299999999999</v>
      </c>
      <c r="L1659">
        <v>0</v>
      </c>
      <c r="M1659">
        <v>0</v>
      </c>
      <c r="N1659">
        <v>0</v>
      </c>
      <c r="O1659">
        <v>30.763000000000002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802.94510175789992</v>
      </c>
      <c r="AF1659">
        <v>0</v>
      </c>
      <c r="AG1659">
        <v>1</v>
      </c>
      <c r="AH1659">
        <v>0</v>
      </c>
      <c r="AI1659">
        <v>0</v>
      </c>
      <c r="AJ1659">
        <v>0</v>
      </c>
      <c r="AP1659">
        <v>1</v>
      </c>
      <c r="AQ1659">
        <v>0</v>
      </c>
      <c r="AR1659">
        <v>1</v>
      </c>
      <c r="AS1659">
        <v>0</v>
      </c>
      <c r="AT1659">
        <v>0</v>
      </c>
      <c r="AU1659">
        <v>0</v>
      </c>
      <c r="AV1659">
        <v>0</v>
      </c>
      <c r="AW1659">
        <v>11.535473277177768</v>
      </c>
      <c r="AX1659">
        <v>1.2924194529936954</v>
      </c>
      <c r="AY1659">
        <v>802.94510175789992</v>
      </c>
      <c r="AZ1659">
        <v>71.2</v>
      </c>
      <c r="BA1659">
        <v>849</v>
      </c>
      <c r="BE1659" t="s">
        <v>503</v>
      </c>
      <c r="BF1659" t="s">
        <v>605</v>
      </c>
    </row>
    <row r="1660" spans="1:58" x14ac:dyDescent="0.45">
      <c r="A1660">
        <v>30216</v>
      </c>
      <c r="B1660">
        <v>1</v>
      </c>
      <c r="C1660">
        <v>94</v>
      </c>
      <c r="D1660">
        <v>2</v>
      </c>
      <c r="E1660">
        <v>0</v>
      </c>
      <c r="F1660">
        <v>0</v>
      </c>
      <c r="G1660">
        <v>0</v>
      </c>
      <c r="H1660">
        <v>2</v>
      </c>
      <c r="I1660">
        <v>0</v>
      </c>
      <c r="J1660">
        <v>0</v>
      </c>
      <c r="K1660">
        <v>0</v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836.40000000000009</v>
      </c>
      <c r="AF1660">
        <v>0</v>
      </c>
      <c r="AG1660">
        <v>1</v>
      </c>
      <c r="AH1660">
        <v>0</v>
      </c>
      <c r="AI1660">
        <v>0</v>
      </c>
      <c r="AJ1660">
        <v>0</v>
      </c>
      <c r="AP1660">
        <v>1</v>
      </c>
      <c r="AQ1660">
        <v>0</v>
      </c>
      <c r="AR1660">
        <v>1</v>
      </c>
      <c r="AS1660">
        <v>0</v>
      </c>
      <c r="AT1660">
        <v>0</v>
      </c>
      <c r="AU1660">
        <v>1</v>
      </c>
      <c r="AV1660">
        <v>0</v>
      </c>
      <c r="AW1660">
        <v>5.8</v>
      </c>
      <c r="AX1660">
        <v>2</v>
      </c>
      <c r="AY1660">
        <v>836.40000000000009</v>
      </c>
      <c r="BA1660">
        <v>670</v>
      </c>
      <c r="BD1660">
        <v>300</v>
      </c>
      <c r="BE1660" t="s">
        <v>504</v>
      </c>
      <c r="BF1660" t="s">
        <v>606</v>
      </c>
    </row>
    <row r="1661" spans="1:58" x14ac:dyDescent="0.45">
      <c r="A1661">
        <v>30217</v>
      </c>
      <c r="B1661">
        <v>1</v>
      </c>
      <c r="C1661">
        <v>91</v>
      </c>
      <c r="D1661">
        <v>0</v>
      </c>
      <c r="E1661">
        <v>0</v>
      </c>
      <c r="F1661">
        <v>6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3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822</v>
      </c>
      <c r="AF1661">
        <v>0</v>
      </c>
      <c r="AG1661">
        <v>1</v>
      </c>
      <c r="AH1661">
        <v>0</v>
      </c>
      <c r="AI1661">
        <v>0</v>
      </c>
      <c r="AJ1661">
        <v>0</v>
      </c>
      <c r="AP1661">
        <v>1</v>
      </c>
      <c r="AQ1661">
        <v>0</v>
      </c>
      <c r="AR1661">
        <v>1</v>
      </c>
      <c r="AS1661">
        <v>0</v>
      </c>
      <c r="AT1661">
        <v>0</v>
      </c>
      <c r="AU1661">
        <v>0</v>
      </c>
      <c r="AV1661">
        <v>0</v>
      </c>
      <c r="AW1661">
        <v>9.6000000000000014</v>
      </c>
      <c r="AX1661">
        <v>1</v>
      </c>
      <c r="AY1661">
        <v>822</v>
      </c>
      <c r="BA1661">
        <v>294</v>
      </c>
      <c r="BB1661">
        <v>585</v>
      </c>
      <c r="BD1661">
        <v>260</v>
      </c>
      <c r="BE1661" t="s">
        <v>505</v>
      </c>
      <c r="BF1661" t="s">
        <v>607</v>
      </c>
    </row>
    <row r="1662" spans="1:58" x14ac:dyDescent="0.45">
      <c r="A1662">
        <v>30218</v>
      </c>
      <c r="B1662">
        <v>1</v>
      </c>
      <c r="C1662">
        <v>90</v>
      </c>
      <c r="D1662">
        <v>0</v>
      </c>
      <c r="E1662">
        <v>0</v>
      </c>
      <c r="F1662">
        <v>7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809.9</v>
      </c>
      <c r="AF1662">
        <v>0</v>
      </c>
      <c r="AG1662">
        <v>1</v>
      </c>
      <c r="AH1662">
        <v>0</v>
      </c>
      <c r="AI1662">
        <v>0</v>
      </c>
      <c r="AJ1662">
        <v>0</v>
      </c>
      <c r="AP1662">
        <v>1</v>
      </c>
      <c r="AQ1662">
        <v>0</v>
      </c>
      <c r="AR1662">
        <v>1</v>
      </c>
      <c r="AS1662">
        <v>0</v>
      </c>
      <c r="AT1662">
        <v>0</v>
      </c>
      <c r="AU1662">
        <v>0</v>
      </c>
      <c r="AV1662">
        <v>0</v>
      </c>
      <c r="AW1662">
        <v>11.200000000000001</v>
      </c>
      <c r="AX1662">
        <v>1</v>
      </c>
      <c r="AY1662">
        <v>809.9</v>
      </c>
      <c r="BA1662">
        <v>390</v>
      </c>
      <c r="BB1662">
        <v>639</v>
      </c>
      <c r="BD1662">
        <v>270</v>
      </c>
      <c r="BE1662" t="s">
        <v>505</v>
      </c>
      <c r="BF1662" t="s">
        <v>607</v>
      </c>
    </row>
    <row r="1663" spans="1:58" x14ac:dyDescent="0.45">
      <c r="A1663">
        <v>30219</v>
      </c>
      <c r="B1663">
        <v>1</v>
      </c>
      <c r="C1663">
        <v>89</v>
      </c>
      <c r="D1663">
        <v>0</v>
      </c>
      <c r="E1663">
        <v>0</v>
      </c>
      <c r="F1663">
        <v>8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3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797.80000000000007</v>
      </c>
      <c r="AF1663">
        <v>0</v>
      </c>
      <c r="AG1663">
        <v>1</v>
      </c>
      <c r="AH1663">
        <v>0</v>
      </c>
      <c r="AI1663">
        <v>0</v>
      </c>
      <c r="AJ1663">
        <v>0</v>
      </c>
      <c r="AP1663">
        <v>1</v>
      </c>
      <c r="AQ1663">
        <v>0</v>
      </c>
      <c r="AR1663">
        <v>1</v>
      </c>
      <c r="AS1663">
        <v>0</v>
      </c>
      <c r="AT1663">
        <v>0</v>
      </c>
      <c r="AU1663">
        <v>0</v>
      </c>
      <c r="AV1663">
        <v>0</v>
      </c>
      <c r="AW1663">
        <v>12.8</v>
      </c>
      <c r="AX1663">
        <v>1</v>
      </c>
      <c r="AY1663">
        <v>797.80000000000007</v>
      </c>
      <c r="BA1663">
        <v>439</v>
      </c>
      <c r="BB1663">
        <v>620</v>
      </c>
      <c r="BD1663">
        <v>272</v>
      </c>
      <c r="BE1663" t="s">
        <v>505</v>
      </c>
      <c r="BF1663" t="s">
        <v>607</v>
      </c>
    </row>
    <row r="1664" spans="1:58" x14ac:dyDescent="0.45">
      <c r="A1664">
        <v>30220</v>
      </c>
      <c r="B1664">
        <v>1</v>
      </c>
      <c r="C1664">
        <v>88</v>
      </c>
      <c r="D1664">
        <v>0</v>
      </c>
      <c r="E1664">
        <v>0</v>
      </c>
      <c r="F1664">
        <v>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3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785.7</v>
      </c>
      <c r="AF1664">
        <v>0</v>
      </c>
      <c r="AG1664">
        <v>1</v>
      </c>
      <c r="AH1664">
        <v>0</v>
      </c>
      <c r="AI1664">
        <v>0</v>
      </c>
      <c r="AJ1664">
        <v>0</v>
      </c>
      <c r="AP1664">
        <v>1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14.4</v>
      </c>
      <c r="AX1664">
        <v>1</v>
      </c>
      <c r="AY1664">
        <v>785.7</v>
      </c>
      <c r="BA1664">
        <v>420</v>
      </c>
      <c r="BB1664">
        <v>622</v>
      </c>
      <c r="BD1664">
        <v>275</v>
      </c>
      <c r="BE1664" t="s">
        <v>505</v>
      </c>
      <c r="BF1664" t="s">
        <v>607</v>
      </c>
    </row>
    <row r="1665" spans="1:58" x14ac:dyDescent="0.45">
      <c r="A1665">
        <v>30221</v>
      </c>
      <c r="B1665">
        <v>1</v>
      </c>
      <c r="C1665">
        <v>90</v>
      </c>
      <c r="D1665">
        <v>0</v>
      </c>
      <c r="E1665">
        <v>0</v>
      </c>
      <c r="F1665">
        <v>3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779.2</v>
      </c>
      <c r="AF1665">
        <v>0</v>
      </c>
      <c r="AG1665">
        <v>1</v>
      </c>
      <c r="AH1665">
        <v>0</v>
      </c>
      <c r="AI1665">
        <v>0</v>
      </c>
      <c r="AJ1665">
        <v>0</v>
      </c>
      <c r="AP1665">
        <v>1</v>
      </c>
      <c r="AQ1665">
        <v>0</v>
      </c>
      <c r="AR1665">
        <v>1</v>
      </c>
      <c r="AS1665">
        <v>0</v>
      </c>
      <c r="AT1665">
        <v>0</v>
      </c>
      <c r="AU1665">
        <v>1</v>
      </c>
      <c r="AV1665">
        <v>0</v>
      </c>
      <c r="AW1665">
        <v>11.8</v>
      </c>
      <c r="AX1665">
        <v>0</v>
      </c>
      <c r="AY1665">
        <v>779.2</v>
      </c>
      <c r="BA1665">
        <v>563</v>
      </c>
      <c r="BB1665">
        <v>887</v>
      </c>
      <c r="BE1665" t="s">
        <v>250</v>
      </c>
      <c r="BF1665" t="s">
        <v>608</v>
      </c>
    </row>
    <row r="1666" spans="1:58" x14ac:dyDescent="0.45">
      <c r="A1666">
        <v>30222</v>
      </c>
      <c r="B1666">
        <v>1</v>
      </c>
      <c r="C1666">
        <v>90</v>
      </c>
      <c r="D1666">
        <v>0</v>
      </c>
      <c r="E1666">
        <v>0</v>
      </c>
      <c r="F1666">
        <v>3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7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779.2</v>
      </c>
      <c r="AF1666">
        <v>0</v>
      </c>
      <c r="AG1666">
        <v>0</v>
      </c>
      <c r="AH1666">
        <v>1</v>
      </c>
      <c r="AI1666">
        <v>0</v>
      </c>
      <c r="AJ1666">
        <v>0</v>
      </c>
      <c r="AP1666">
        <v>1</v>
      </c>
      <c r="AQ1666">
        <v>0</v>
      </c>
      <c r="AR1666">
        <v>1</v>
      </c>
      <c r="AS1666">
        <v>0</v>
      </c>
      <c r="AT1666">
        <v>0</v>
      </c>
      <c r="AU1666">
        <v>1</v>
      </c>
      <c r="AV1666">
        <v>0</v>
      </c>
      <c r="AW1666">
        <v>11.8</v>
      </c>
      <c r="AX1666">
        <v>0</v>
      </c>
      <c r="AY1666">
        <v>779.2</v>
      </c>
      <c r="BA1666">
        <v>961</v>
      </c>
      <c r="BB1666">
        <v>961</v>
      </c>
      <c r="BE1666" t="s">
        <v>250</v>
      </c>
      <c r="BF1666" t="s">
        <v>608</v>
      </c>
    </row>
    <row r="1667" spans="1:58" x14ac:dyDescent="0.45">
      <c r="A1667">
        <v>30223</v>
      </c>
      <c r="B1667">
        <v>1</v>
      </c>
      <c r="C1667">
        <v>89</v>
      </c>
      <c r="D1667">
        <v>0</v>
      </c>
      <c r="E1667">
        <v>0</v>
      </c>
      <c r="F1667">
        <v>3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7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763.80000000000007</v>
      </c>
      <c r="AF1667">
        <v>0</v>
      </c>
      <c r="AG1667">
        <v>1</v>
      </c>
      <c r="AH1667">
        <v>0</v>
      </c>
      <c r="AI1667">
        <v>0</v>
      </c>
      <c r="AJ1667">
        <v>0</v>
      </c>
      <c r="AP1667">
        <v>1</v>
      </c>
      <c r="AQ1667">
        <v>0</v>
      </c>
      <c r="AR1667">
        <v>1</v>
      </c>
      <c r="AS1667">
        <v>0</v>
      </c>
      <c r="AT1667">
        <v>0</v>
      </c>
      <c r="AU1667">
        <v>1</v>
      </c>
      <c r="AV1667">
        <v>0</v>
      </c>
      <c r="AW1667">
        <v>14.700000000000001</v>
      </c>
      <c r="AX1667">
        <v>0</v>
      </c>
      <c r="AY1667">
        <v>763.80000000000007</v>
      </c>
      <c r="BA1667">
        <v>648</v>
      </c>
      <c r="BB1667">
        <v>924</v>
      </c>
      <c r="BE1667" t="s">
        <v>250</v>
      </c>
      <c r="BF1667" t="s">
        <v>608</v>
      </c>
    </row>
    <row r="1668" spans="1:58" x14ac:dyDescent="0.45">
      <c r="A1668">
        <v>30224</v>
      </c>
      <c r="B1668">
        <v>1</v>
      </c>
      <c r="C1668">
        <v>89</v>
      </c>
      <c r="D1668">
        <v>0</v>
      </c>
      <c r="E1668">
        <v>0</v>
      </c>
      <c r="F1668">
        <v>3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763.80000000000007</v>
      </c>
      <c r="AF1668">
        <v>0</v>
      </c>
      <c r="AG1668">
        <v>0</v>
      </c>
      <c r="AH1668">
        <v>1</v>
      </c>
      <c r="AI1668">
        <v>0</v>
      </c>
      <c r="AJ1668">
        <v>0</v>
      </c>
      <c r="AP1668">
        <v>1</v>
      </c>
      <c r="AQ1668">
        <v>0</v>
      </c>
      <c r="AR1668">
        <v>1</v>
      </c>
      <c r="AS1668">
        <v>0</v>
      </c>
      <c r="AT1668">
        <v>0</v>
      </c>
      <c r="AU1668">
        <v>1</v>
      </c>
      <c r="AV1668">
        <v>0</v>
      </c>
      <c r="AW1668">
        <v>14.700000000000001</v>
      </c>
      <c r="AX1668">
        <v>0</v>
      </c>
      <c r="AY1668">
        <v>763.80000000000007</v>
      </c>
      <c r="BA1668">
        <v>1210</v>
      </c>
      <c r="BB1668">
        <v>1245</v>
      </c>
      <c r="BE1668" t="s">
        <v>250</v>
      </c>
      <c r="BF1668" t="s">
        <v>608</v>
      </c>
    </row>
    <row r="1669" spans="1:58" x14ac:dyDescent="0.45">
      <c r="A1669">
        <v>30225</v>
      </c>
      <c r="B1669">
        <v>1</v>
      </c>
      <c r="C1669">
        <v>57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8</v>
      </c>
      <c r="K1669">
        <v>34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811.4</v>
      </c>
      <c r="AF1669">
        <v>0</v>
      </c>
      <c r="AG1669">
        <v>1</v>
      </c>
      <c r="AH1669">
        <v>0</v>
      </c>
      <c r="AI1669">
        <v>0</v>
      </c>
      <c r="AJ1669">
        <v>0</v>
      </c>
      <c r="AP1669">
        <v>1</v>
      </c>
      <c r="AQ1669">
        <v>0</v>
      </c>
      <c r="AR1669">
        <v>1</v>
      </c>
      <c r="AS1669">
        <v>0</v>
      </c>
      <c r="AT1669">
        <v>0</v>
      </c>
      <c r="AU1669">
        <v>0</v>
      </c>
      <c r="AV1669">
        <v>0</v>
      </c>
      <c r="AW1669">
        <v>12.420000000000002</v>
      </c>
      <c r="AX1669">
        <v>1.3333333333333333</v>
      </c>
      <c r="AY1669">
        <v>811.4</v>
      </c>
      <c r="AZ1669">
        <v>49</v>
      </c>
      <c r="BA1669">
        <v>552</v>
      </c>
      <c r="BB1669">
        <v>760</v>
      </c>
      <c r="BE1669" t="s">
        <v>506</v>
      </c>
      <c r="BF1669" t="s">
        <v>609</v>
      </c>
    </row>
    <row r="1670" spans="1:58" x14ac:dyDescent="0.45">
      <c r="A1670">
        <v>30226</v>
      </c>
      <c r="B1670">
        <v>1</v>
      </c>
      <c r="C1670">
        <v>88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768</v>
      </c>
      <c r="AF1670">
        <v>0</v>
      </c>
      <c r="AG1670">
        <v>1</v>
      </c>
      <c r="AH1670">
        <v>0</v>
      </c>
      <c r="AI1670">
        <v>0</v>
      </c>
      <c r="AJ1670">
        <v>0</v>
      </c>
      <c r="AP1670">
        <v>1</v>
      </c>
      <c r="AQ1670">
        <v>0</v>
      </c>
      <c r="AR1670">
        <v>1</v>
      </c>
      <c r="AS1670">
        <v>0</v>
      </c>
      <c r="AT1670">
        <v>0</v>
      </c>
      <c r="AU1670">
        <v>1</v>
      </c>
      <c r="AV1670">
        <v>0</v>
      </c>
      <c r="AW1670">
        <v>12</v>
      </c>
      <c r="AX1670">
        <v>0</v>
      </c>
      <c r="AY1670">
        <v>768</v>
      </c>
      <c r="AZ1670">
        <v>84</v>
      </c>
      <c r="BA1670">
        <v>480</v>
      </c>
      <c r="BB1670">
        <v>974</v>
      </c>
      <c r="BE1670" t="s">
        <v>507</v>
      </c>
      <c r="BF1670" t="s">
        <v>610</v>
      </c>
    </row>
    <row r="1671" spans="1:58" x14ac:dyDescent="0.45">
      <c r="A1671">
        <v>30227</v>
      </c>
      <c r="B1671">
        <v>0</v>
      </c>
      <c r="C1671">
        <v>24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13</v>
      </c>
      <c r="K1671">
        <v>0</v>
      </c>
      <c r="L1671">
        <v>0</v>
      </c>
      <c r="M1671">
        <v>0</v>
      </c>
      <c r="N1671">
        <v>26</v>
      </c>
      <c r="O1671">
        <v>37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J1671">
        <v>0</v>
      </c>
      <c r="AP1671">
        <v>1</v>
      </c>
      <c r="AQ1671">
        <v>0</v>
      </c>
      <c r="AR1671">
        <v>1</v>
      </c>
      <c r="AS1671">
        <v>0</v>
      </c>
      <c r="AT1671">
        <v>0</v>
      </c>
      <c r="AU1671">
        <v>1</v>
      </c>
      <c r="AV1671">
        <v>0</v>
      </c>
      <c r="AW1671">
        <v>8.14</v>
      </c>
      <c r="AX1671">
        <v>2.1666666666666665</v>
      </c>
      <c r="AY1671">
        <v>792.3</v>
      </c>
      <c r="AZ1671">
        <v>79</v>
      </c>
      <c r="BA1671">
        <v>1001</v>
      </c>
      <c r="BB1671">
        <v>1001</v>
      </c>
      <c r="BD1671">
        <v>381</v>
      </c>
      <c r="BE1671" t="s">
        <v>508</v>
      </c>
      <c r="BF1671" t="s">
        <v>611</v>
      </c>
    </row>
    <row r="1672" spans="1:58" x14ac:dyDescent="0.45">
      <c r="A1672">
        <v>30228</v>
      </c>
      <c r="B1672">
        <v>0</v>
      </c>
      <c r="C1672">
        <v>26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12</v>
      </c>
      <c r="K1672">
        <v>0</v>
      </c>
      <c r="L1672">
        <v>0</v>
      </c>
      <c r="M1672">
        <v>0</v>
      </c>
      <c r="N1672">
        <v>22</v>
      </c>
      <c r="O1672">
        <v>40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J1672">
        <v>0</v>
      </c>
      <c r="AP1672">
        <v>1</v>
      </c>
      <c r="AQ1672">
        <v>0</v>
      </c>
      <c r="AR1672">
        <v>1</v>
      </c>
      <c r="AS1672">
        <v>0</v>
      </c>
      <c r="AT1672">
        <v>0</v>
      </c>
      <c r="AU1672">
        <v>1</v>
      </c>
      <c r="AV1672">
        <v>0</v>
      </c>
      <c r="AW1672">
        <v>8.8000000000000007</v>
      </c>
      <c r="AX1672">
        <v>2</v>
      </c>
      <c r="AY1672">
        <v>799.2</v>
      </c>
      <c r="AZ1672">
        <v>72</v>
      </c>
      <c r="BA1672">
        <v>1132</v>
      </c>
      <c r="BB1672">
        <v>1160</v>
      </c>
      <c r="BD1672">
        <v>375</v>
      </c>
      <c r="BE1672" t="s">
        <v>508</v>
      </c>
      <c r="BF1672" t="s">
        <v>611</v>
      </c>
    </row>
    <row r="1673" spans="1:58" x14ac:dyDescent="0.45">
      <c r="A1673">
        <v>30229</v>
      </c>
      <c r="B1673">
        <v>0</v>
      </c>
      <c r="C1673">
        <v>27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10</v>
      </c>
      <c r="K1673">
        <v>0</v>
      </c>
      <c r="L1673">
        <v>0</v>
      </c>
      <c r="M1673">
        <v>0</v>
      </c>
      <c r="N1673">
        <v>18</v>
      </c>
      <c r="O1673">
        <v>45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J1673">
        <v>0</v>
      </c>
      <c r="AP1673">
        <v>1</v>
      </c>
      <c r="AQ1673">
        <v>0</v>
      </c>
      <c r="AR1673">
        <v>1</v>
      </c>
      <c r="AS1673">
        <v>0</v>
      </c>
      <c r="AT1673">
        <v>0</v>
      </c>
      <c r="AU1673">
        <v>1</v>
      </c>
      <c r="AV1673">
        <v>0</v>
      </c>
      <c r="AW1673">
        <v>9.9</v>
      </c>
      <c r="AX1673">
        <v>1.6666666666666667</v>
      </c>
      <c r="AY1673">
        <v>813</v>
      </c>
      <c r="AZ1673">
        <v>77</v>
      </c>
      <c r="BA1673">
        <v>1114</v>
      </c>
      <c r="BB1673">
        <v>1173</v>
      </c>
      <c r="BD1673">
        <v>360</v>
      </c>
      <c r="BE1673" t="s">
        <v>508</v>
      </c>
      <c r="BF1673" t="s">
        <v>611</v>
      </c>
    </row>
    <row r="1674" spans="1:58" x14ac:dyDescent="0.45">
      <c r="A1674">
        <v>30230</v>
      </c>
      <c r="B1674">
        <v>1</v>
      </c>
      <c r="C1674">
        <v>85</v>
      </c>
      <c r="D1674">
        <v>3</v>
      </c>
      <c r="E1674">
        <v>10</v>
      </c>
      <c r="F1674">
        <v>0</v>
      </c>
      <c r="G1674">
        <v>0</v>
      </c>
      <c r="H1674">
        <v>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739.5</v>
      </c>
      <c r="AF1674">
        <v>0</v>
      </c>
      <c r="AG1674">
        <v>0</v>
      </c>
      <c r="AH1674">
        <v>1</v>
      </c>
      <c r="AI1674">
        <v>0</v>
      </c>
      <c r="AJ1674">
        <v>0</v>
      </c>
      <c r="AP1674">
        <v>1</v>
      </c>
      <c r="AQ1674">
        <v>0</v>
      </c>
      <c r="AR1674">
        <v>1</v>
      </c>
      <c r="AS1674">
        <v>1</v>
      </c>
      <c r="AT1674">
        <v>1</v>
      </c>
      <c r="AU1674">
        <v>0</v>
      </c>
      <c r="AV1674">
        <v>0</v>
      </c>
      <c r="AW1674">
        <v>9.5</v>
      </c>
      <c r="AX1674">
        <v>3</v>
      </c>
      <c r="AY1674">
        <v>739.5</v>
      </c>
      <c r="BA1674">
        <v>1050</v>
      </c>
      <c r="BB1674">
        <v>1300</v>
      </c>
      <c r="BE1674" t="s">
        <v>509</v>
      </c>
      <c r="BF1674" t="s">
        <v>612</v>
      </c>
    </row>
    <row r="1675" spans="1:58" x14ac:dyDescent="0.45">
      <c r="A1675">
        <v>30231</v>
      </c>
      <c r="B1675">
        <v>0</v>
      </c>
      <c r="C1675">
        <v>85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9</v>
      </c>
      <c r="M1675">
        <v>0</v>
      </c>
      <c r="N1675">
        <v>0</v>
      </c>
      <c r="O1675">
        <v>0</v>
      </c>
      <c r="P1675">
        <v>6</v>
      </c>
      <c r="Q1675">
        <v>0</v>
      </c>
      <c r="R1675">
        <v>0</v>
      </c>
      <c r="S1675">
        <v>0</v>
      </c>
      <c r="T1675">
        <v>0</v>
      </c>
      <c r="U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796.5</v>
      </c>
      <c r="AF1675">
        <v>0</v>
      </c>
      <c r="AG1675">
        <v>1</v>
      </c>
      <c r="AH1675">
        <v>0</v>
      </c>
      <c r="AI1675">
        <v>0</v>
      </c>
      <c r="AJ1675">
        <v>0</v>
      </c>
      <c r="AP1675">
        <v>1</v>
      </c>
      <c r="AQ1675">
        <v>0</v>
      </c>
      <c r="AR1675">
        <v>1</v>
      </c>
      <c r="AS1675">
        <v>0</v>
      </c>
      <c r="AT1675">
        <v>0</v>
      </c>
      <c r="AU1675">
        <v>1</v>
      </c>
      <c r="AV1675">
        <v>0</v>
      </c>
      <c r="AW1675">
        <v>11.64</v>
      </c>
      <c r="AX1675">
        <v>0</v>
      </c>
      <c r="AY1675">
        <v>796.5</v>
      </c>
      <c r="BA1675">
        <v>692</v>
      </c>
      <c r="BB1675">
        <v>1115</v>
      </c>
      <c r="BE1675" t="s">
        <v>510</v>
      </c>
      <c r="BF1675" t="s">
        <v>613</v>
      </c>
    </row>
    <row r="1676" spans="1:58" x14ac:dyDescent="0.45">
      <c r="A1676">
        <v>30232</v>
      </c>
      <c r="B1676">
        <v>1</v>
      </c>
      <c r="C1676">
        <v>88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768</v>
      </c>
      <c r="AF1676">
        <v>0</v>
      </c>
      <c r="AG1676">
        <v>1</v>
      </c>
      <c r="AH1676">
        <v>0</v>
      </c>
      <c r="AI1676">
        <v>0</v>
      </c>
      <c r="AJ1676">
        <v>0</v>
      </c>
      <c r="AP1676">
        <v>1</v>
      </c>
      <c r="AQ1676">
        <v>0</v>
      </c>
      <c r="AR1676">
        <v>1</v>
      </c>
      <c r="AS1676">
        <v>0</v>
      </c>
      <c r="AT1676">
        <v>0</v>
      </c>
      <c r="AU1676">
        <v>1</v>
      </c>
      <c r="AV1676">
        <v>0</v>
      </c>
      <c r="AW1676">
        <v>12</v>
      </c>
      <c r="AX1676">
        <v>0</v>
      </c>
      <c r="AY1676">
        <v>768</v>
      </c>
      <c r="BA1676">
        <v>400</v>
      </c>
      <c r="BB1676">
        <v>550</v>
      </c>
      <c r="BE1676" t="s">
        <v>511</v>
      </c>
      <c r="BF1676" t="s">
        <v>614</v>
      </c>
    </row>
    <row r="1677" spans="1:58" x14ac:dyDescent="0.45">
      <c r="A1677">
        <v>30233</v>
      </c>
      <c r="B1677">
        <v>0</v>
      </c>
      <c r="C1677">
        <v>95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J1677">
        <v>0</v>
      </c>
      <c r="AP1677">
        <v>1</v>
      </c>
      <c r="AQ1677">
        <v>1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0</v>
      </c>
      <c r="AX1677">
        <v>0</v>
      </c>
      <c r="AY1677">
        <v>882</v>
      </c>
      <c r="AZ1677">
        <v>115</v>
      </c>
      <c r="BA1677">
        <v>791</v>
      </c>
      <c r="BB1677">
        <v>890</v>
      </c>
      <c r="BD1677">
        <v>318</v>
      </c>
      <c r="BE1677" t="s">
        <v>512</v>
      </c>
      <c r="BF1677" t="s">
        <v>615</v>
      </c>
    </row>
    <row r="1678" spans="1:58" x14ac:dyDescent="0.45">
      <c r="A1678">
        <v>30234</v>
      </c>
      <c r="B1678">
        <v>0</v>
      </c>
      <c r="C1678">
        <v>95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882</v>
      </c>
      <c r="AF1678">
        <v>0</v>
      </c>
      <c r="AG1678">
        <v>0</v>
      </c>
      <c r="AH1678">
        <v>0</v>
      </c>
      <c r="AI1678">
        <v>1</v>
      </c>
      <c r="AJ1678">
        <v>0</v>
      </c>
      <c r="AP1678">
        <v>1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1</v>
      </c>
      <c r="AW1678">
        <v>0</v>
      </c>
      <c r="AX1678">
        <v>0</v>
      </c>
      <c r="AY1678">
        <v>882</v>
      </c>
      <c r="AZ1678">
        <v>120</v>
      </c>
      <c r="BA1678">
        <v>592</v>
      </c>
      <c r="BB1678">
        <v>648</v>
      </c>
      <c r="BD1678">
        <v>239</v>
      </c>
      <c r="BE1678" t="s">
        <v>512</v>
      </c>
      <c r="BF1678" t="s">
        <v>615</v>
      </c>
    </row>
    <row r="1679" spans="1:58" x14ac:dyDescent="0.45">
      <c r="A1679">
        <v>30235</v>
      </c>
      <c r="B1679">
        <v>0</v>
      </c>
      <c r="C1679">
        <v>93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7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J1679">
        <v>0</v>
      </c>
      <c r="AP1679">
        <v>1</v>
      </c>
      <c r="AQ1679">
        <v>1</v>
      </c>
      <c r="AR1679">
        <v>0</v>
      </c>
      <c r="AS1679">
        <v>0</v>
      </c>
      <c r="AT1679">
        <v>0</v>
      </c>
      <c r="AU1679">
        <v>0</v>
      </c>
      <c r="AV1679">
        <v>1</v>
      </c>
      <c r="AW1679">
        <v>0</v>
      </c>
      <c r="AX1679">
        <v>0</v>
      </c>
      <c r="AY1679">
        <v>882</v>
      </c>
      <c r="AZ1679">
        <v>118</v>
      </c>
      <c r="BA1679">
        <v>863</v>
      </c>
      <c r="BB1679">
        <v>895</v>
      </c>
      <c r="BD1679">
        <v>333</v>
      </c>
      <c r="BE1679" t="s">
        <v>512</v>
      </c>
      <c r="BF1679" t="s">
        <v>615</v>
      </c>
    </row>
    <row r="1680" spans="1:58" x14ac:dyDescent="0.45">
      <c r="A1680">
        <v>30236</v>
      </c>
      <c r="B1680">
        <v>0</v>
      </c>
      <c r="C1680">
        <v>93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7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882</v>
      </c>
      <c r="AF1680">
        <v>0</v>
      </c>
      <c r="AG1680">
        <v>0</v>
      </c>
      <c r="AH1680">
        <v>0</v>
      </c>
      <c r="AI1680">
        <v>1</v>
      </c>
      <c r="AJ1680">
        <v>0</v>
      </c>
      <c r="AP1680">
        <v>1</v>
      </c>
      <c r="AQ1680">
        <v>1</v>
      </c>
      <c r="AR1680">
        <v>0</v>
      </c>
      <c r="AS1680">
        <v>0</v>
      </c>
      <c r="AT1680">
        <v>0</v>
      </c>
      <c r="AU1680">
        <v>0</v>
      </c>
      <c r="AV1680">
        <v>1</v>
      </c>
      <c r="AW1680">
        <v>0</v>
      </c>
      <c r="AX1680">
        <v>0</v>
      </c>
      <c r="AY1680">
        <v>882</v>
      </c>
      <c r="AZ1680">
        <v>112</v>
      </c>
      <c r="BA1680">
        <v>522</v>
      </c>
      <c r="BB1680">
        <v>660</v>
      </c>
      <c r="BD1680">
        <v>224</v>
      </c>
      <c r="BE1680" t="s">
        <v>512</v>
      </c>
      <c r="BF1680" t="s">
        <v>615</v>
      </c>
    </row>
    <row r="1681" spans="1:58" x14ac:dyDescent="0.45">
      <c r="A1681">
        <v>30237</v>
      </c>
      <c r="B1681">
        <v>0</v>
      </c>
      <c r="C1681">
        <v>85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J1681">
        <v>0</v>
      </c>
      <c r="AP1681">
        <v>1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1</v>
      </c>
      <c r="AW1681">
        <v>0</v>
      </c>
      <c r="AX1681">
        <v>0</v>
      </c>
      <c r="AY1681">
        <v>882</v>
      </c>
      <c r="AZ1681">
        <v>120</v>
      </c>
      <c r="BA1681">
        <v>666</v>
      </c>
      <c r="BB1681">
        <v>666</v>
      </c>
      <c r="BD1681">
        <v>382</v>
      </c>
      <c r="BE1681" t="s">
        <v>512</v>
      </c>
      <c r="BF1681" t="s">
        <v>615</v>
      </c>
    </row>
    <row r="1682" spans="1:58" x14ac:dyDescent="0.45">
      <c r="A1682">
        <v>30238</v>
      </c>
      <c r="B1682">
        <v>0</v>
      </c>
      <c r="C1682">
        <v>85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882</v>
      </c>
      <c r="AF1682">
        <v>0</v>
      </c>
      <c r="AG1682">
        <v>0</v>
      </c>
      <c r="AH1682">
        <v>0</v>
      </c>
      <c r="AI1682">
        <v>1</v>
      </c>
      <c r="AJ1682">
        <v>0</v>
      </c>
      <c r="AP1682">
        <v>1</v>
      </c>
      <c r="AQ1682">
        <v>1</v>
      </c>
      <c r="AR1682">
        <v>0</v>
      </c>
      <c r="AS1682">
        <v>0</v>
      </c>
      <c r="AT1682">
        <v>0</v>
      </c>
      <c r="AU1682">
        <v>0</v>
      </c>
      <c r="AV1682">
        <v>1</v>
      </c>
      <c r="AW1682">
        <v>0</v>
      </c>
      <c r="AX1682">
        <v>0</v>
      </c>
      <c r="AY1682">
        <v>882</v>
      </c>
      <c r="AZ1682">
        <v>121</v>
      </c>
      <c r="BA1682">
        <v>541</v>
      </c>
      <c r="BB1682">
        <v>676</v>
      </c>
      <c r="BD1682">
        <v>224</v>
      </c>
      <c r="BE1682" t="s">
        <v>512</v>
      </c>
      <c r="BF1682" t="s">
        <v>615</v>
      </c>
    </row>
    <row r="1683" spans="1:58" x14ac:dyDescent="0.45">
      <c r="A1683">
        <v>30239</v>
      </c>
      <c r="B1683">
        <v>1</v>
      </c>
      <c r="C1683">
        <v>85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15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739.5</v>
      </c>
      <c r="AF1683">
        <v>0</v>
      </c>
      <c r="AG1683">
        <v>1</v>
      </c>
      <c r="AH1683">
        <v>0</v>
      </c>
      <c r="AI1683">
        <v>0</v>
      </c>
      <c r="AJ1683">
        <v>0</v>
      </c>
      <c r="AP1683">
        <v>1</v>
      </c>
      <c r="AQ1683">
        <v>0</v>
      </c>
      <c r="AR1683">
        <v>1</v>
      </c>
      <c r="AS1683">
        <v>0</v>
      </c>
      <c r="AT1683">
        <v>0</v>
      </c>
      <c r="AU1683">
        <v>1</v>
      </c>
      <c r="AV1683">
        <v>0</v>
      </c>
      <c r="AW1683">
        <v>15</v>
      </c>
      <c r="AX1683">
        <v>0</v>
      </c>
      <c r="AY1683">
        <v>739.5</v>
      </c>
      <c r="BA1683">
        <v>439</v>
      </c>
      <c r="BB1683">
        <v>714</v>
      </c>
      <c r="BE1683" t="s">
        <v>513</v>
      </c>
      <c r="BF1683" t="s">
        <v>616</v>
      </c>
    </row>
    <row r="1684" spans="1:58" x14ac:dyDescent="0.45">
      <c r="A1684">
        <v>30240</v>
      </c>
      <c r="B1684">
        <v>1</v>
      </c>
      <c r="C1684">
        <v>84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15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724.1</v>
      </c>
      <c r="AF1684">
        <v>0</v>
      </c>
      <c r="AG1684">
        <v>1</v>
      </c>
      <c r="AH1684">
        <v>0</v>
      </c>
      <c r="AI1684">
        <v>0</v>
      </c>
      <c r="AJ1684">
        <v>0</v>
      </c>
      <c r="AP1684">
        <v>1</v>
      </c>
      <c r="AQ1684">
        <v>0</v>
      </c>
      <c r="AR1684">
        <v>1</v>
      </c>
      <c r="AS1684">
        <v>0</v>
      </c>
      <c r="AT1684">
        <v>0</v>
      </c>
      <c r="AU1684">
        <v>1</v>
      </c>
      <c r="AV1684">
        <v>0</v>
      </c>
      <c r="AW1684">
        <v>17.899999999999999</v>
      </c>
      <c r="AX1684">
        <v>0</v>
      </c>
      <c r="AY1684">
        <v>724.1</v>
      </c>
      <c r="BA1684">
        <v>837</v>
      </c>
      <c r="BB1684">
        <v>837</v>
      </c>
      <c r="BE1684" t="s">
        <v>513</v>
      </c>
      <c r="BF1684" t="s">
        <v>616</v>
      </c>
    </row>
    <row r="1685" spans="1:58" x14ac:dyDescent="0.45">
      <c r="A1685">
        <v>30241</v>
      </c>
      <c r="B1685">
        <v>1</v>
      </c>
      <c r="C1685">
        <v>80</v>
      </c>
      <c r="D1685">
        <v>4</v>
      </c>
      <c r="E1685">
        <v>5</v>
      </c>
      <c r="F1685">
        <v>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5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711.3</v>
      </c>
      <c r="AF1685">
        <v>0</v>
      </c>
      <c r="AG1685">
        <v>0</v>
      </c>
      <c r="AH1685">
        <v>1</v>
      </c>
      <c r="AI1685">
        <v>0</v>
      </c>
      <c r="AJ1685">
        <v>0</v>
      </c>
      <c r="AP1685">
        <v>1</v>
      </c>
      <c r="AQ1685">
        <v>0</v>
      </c>
      <c r="AR1685">
        <v>1</v>
      </c>
      <c r="AS1685">
        <v>0</v>
      </c>
      <c r="AT1685">
        <v>0</v>
      </c>
      <c r="AU1685">
        <v>0</v>
      </c>
      <c r="AV1685">
        <v>0</v>
      </c>
      <c r="AW1685">
        <v>13.950000000000003</v>
      </c>
      <c r="AX1685">
        <v>4</v>
      </c>
      <c r="AY1685">
        <v>711.3</v>
      </c>
      <c r="BA1685">
        <v>873</v>
      </c>
      <c r="BB1685">
        <v>875</v>
      </c>
      <c r="BE1685" t="s">
        <v>514</v>
      </c>
      <c r="BF1685" t="s">
        <v>617</v>
      </c>
    </row>
    <row r="1686" spans="1:58" x14ac:dyDescent="0.45">
      <c r="A1686">
        <v>30242</v>
      </c>
      <c r="B1686">
        <v>1</v>
      </c>
      <c r="C1686">
        <v>52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5</v>
      </c>
      <c r="K1686">
        <v>30</v>
      </c>
      <c r="L1686">
        <v>0</v>
      </c>
      <c r="M1686">
        <v>0</v>
      </c>
      <c r="N1686">
        <v>0</v>
      </c>
      <c r="O1686">
        <v>13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847.5</v>
      </c>
      <c r="AF1686">
        <v>0</v>
      </c>
      <c r="AG1686">
        <v>1</v>
      </c>
      <c r="AH1686">
        <v>0</v>
      </c>
      <c r="AI1686">
        <v>0</v>
      </c>
      <c r="AJ1686">
        <v>0</v>
      </c>
      <c r="AP1686">
        <v>1</v>
      </c>
      <c r="AQ1686">
        <v>0</v>
      </c>
      <c r="AR1686">
        <v>1</v>
      </c>
      <c r="AS1686">
        <v>0</v>
      </c>
      <c r="AT1686">
        <v>0</v>
      </c>
      <c r="AU1686">
        <v>0</v>
      </c>
      <c r="AV1686">
        <v>0</v>
      </c>
      <c r="AW1686">
        <v>11.26</v>
      </c>
      <c r="AX1686">
        <v>0.83333333333333337</v>
      </c>
      <c r="AY1686">
        <v>847.5</v>
      </c>
      <c r="AZ1686">
        <v>61</v>
      </c>
      <c r="BA1686">
        <v>521</v>
      </c>
      <c r="BB1686">
        <v>554</v>
      </c>
      <c r="BD1686">
        <v>175</v>
      </c>
      <c r="BE1686" t="s">
        <v>515</v>
      </c>
      <c r="BF1686" t="s">
        <v>618</v>
      </c>
    </row>
    <row r="1687" spans="1:58" x14ac:dyDescent="0.45">
      <c r="A1687">
        <v>30243</v>
      </c>
      <c r="B1687">
        <v>1</v>
      </c>
      <c r="C1687">
        <v>73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</v>
      </c>
      <c r="K1687">
        <v>24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872.40000000000009</v>
      </c>
      <c r="AF1687">
        <v>0</v>
      </c>
      <c r="AG1687">
        <v>1</v>
      </c>
      <c r="AH1687">
        <v>0</v>
      </c>
      <c r="AI1687">
        <v>0</v>
      </c>
      <c r="AJ1687">
        <v>0</v>
      </c>
      <c r="AP1687">
        <v>1</v>
      </c>
      <c r="AQ1687">
        <v>0</v>
      </c>
      <c r="AR1687">
        <v>1</v>
      </c>
      <c r="AS1687">
        <v>0</v>
      </c>
      <c r="AT1687">
        <v>1</v>
      </c>
      <c r="AU1687">
        <v>0</v>
      </c>
      <c r="AV1687">
        <v>0</v>
      </c>
      <c r="AW1687">
        <v>6.7200000000000006</v>
      </c>
      <c r="AX1687">
        <v>0.66666666666666663</v>
      </c>
      <c r="AY1687">
        <v>872.40000000000009</v>
      </c>
      <c r="AZ1687">
        <v>75</v>
      </c>
      <c r="BA1687">
        <v>499</v>
      </c>
      <c r="BB1687">
        <v>646</v>
      </c>
      <c r="BE1687" t="s">
        <v>516</v>
      </c>
      <c r="BF1687" t="s">
        <v>619</v>
      </c>
    </row>
    <row r="1688" spans="1:58" x14ac:dyDescent="0.45">
      <c r="A1688">
        <v>30244</v>
      </c>
      <c r="B1688">
        <v>1</v>
      </c>
      <c r="C1688">
        <v>68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3</v>
      </c>
      <c r="K1688">
        <v>24</v>
      </c>
      <c r="L1688">
        <v>3</v>
      </c>
      <c r="M1688">
        <v>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841.19999999999993</v>
      </c>
      <c r="AF1688">
        <v>0</v>
      </c>
      <c r="AG1688">
        <v>1</v>
      </c>
      <c r="AH1688">
        <v>0</v>
      </c>
      <c r="AI1688">
        <v>0</v>
      </c>
      <c r="AJ1688">
        <v>0</v>
      </c>
      <c r="AP1688">
        <v>1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0</v>
      </c>
      <c r="AW1688">
        <v>9.7200000000000006</v>
      </c>
      <c r="AX1688">
        <v>1.1666666666666665</v>
      </c>
      <c r="AY1688">
        <v>841.19999999999993</v>
      </c>
      <c r="AZ1688">
        <v>72</v>
      </c>
      <c r="BA1688">
        <v>534</v>
      </c>
      <c r="BB1688">
        <v>673</v>
      </c>
      <c r="BE1688" t="s">
        <v>516</v>
      </c>
      <c r="BF1688" t="s">
        <v>619</v>
      </c>
    </row>
    <row r="1689" spans="1:58" x14ac:dyDescent="0.45">
      <c r="A1689">
        <v>30245</v>
      </c>
      <c r="B1689">
        <v>1</v>
      </c>
      <c r="C1689">
        <v>65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3</v>
      </c>
      <c r="K1689">
        <v>25</v>
      </c>
      <c r="L1689">
        <v>5</v>
      </c>
      <c r="M1689">
        <v>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822.19999999999993</v>
      </c>
      <c r="AF1689">
        <v>0</v>
      </c>
      <c r="AG1689">
        <v>1</v>
      </c>
      <c r="AH1689">
        <v>0</v>
      </c>
      <c r="AI1689">
        <v>0</v>
      </c>
      <c r="AJ1689">
        <v>0</v>
      </c>
      <c r="AP1689">
        <v>1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12</v>
      </c>
      <c r="AX1689">
        <v>1.1666666666666665</v>
      </c>
      <c r="AY1689">
        <v>822.19999999999993</v>
      </c>
      <c r="AZ1689">
        <v>68</v>
      </c>
      <c r="BA1689">
        <v>491</v>
      </c>
      <c r="BB1689">
        <v>618</v>
      </c>
      <c r="BE1689" t="s">
        <v>516</v>
      </c>
      <c r="BF1689" t="s">
        <v>619</v>
      </c>
    </row>
    <row r="1690" spans="1:58" x14ac:dyDescent="0.45">
      <c r="A1690">
        <v>30246</v>
      </c>
      <c r="B1690">
        <v>1</v>
      </c>
      <c r="C1690">
        <v>87</v>
      </c>
      <c r="D1690">
        <v>0</v>
      </c>
      <c r="E1690">
        <v>0</v>
      </c>
      <c r="F1690">
        <v>0</v>
      </c>
      <c r="G1690">
        <v>0</v>
      </c>
      <c r="H1690">
        <v>3</v>
      </c>
      <c r="I1690">
        <v>0</v>
      </c>
      <c r="J1690">
        <v>0</v>
      </c>
      <c r="K1690">
        <v>10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J1690">
        <v>0</v>
      </c>
      <c r="AP1690">
        <v>1</v>
      </c>
      <c r="AQ1690">
        <v>0</v>
      </c>
      <c r="AR1690">
        <v>1</v>
      </c>
      <c r="AS1690">
        <v>0</v>
      </c>
      <c r="AT1690">
        <v>0</v>
      </c>
      <c r="AU1690">
        <v>1</v>
      </c>
      <c r="AV1690">
        <v>0</v>
      </c>
      <c r="AW1690">
        <v>11.5</v>
      </c>
      <c r="AX1690">
        <v>0</v>
      </c>
      <c r="AY1690">
        <v>835.8</v>
      </c>
      <c r="AZ1690">
        <v>77</v>
      </c>
      <c r="BD1690">
        <v>479</v>
      </c>
      <c r="BE1690" t="s">
        <v>517</v>
      </c>
      <c r="BF1690" t="s">
        <v>620</v>
      </c>
    </row>
    <row r="1691" spans="1:58" x14ac:dyDescent="0.45">
      <c r="A1691">
        <v>30247</v>
      </c>
      <c r="B1691">
        <v>1</v>
      </c>
      <c r="C1691">
        <v>82</v>
      </c>
      <c r="D1691">
        <v>0</v>
      </c>
      <c r="E1691">
        <v>0</v>
      </c>
      <c r="F1691">
        <v>0</v>
      </c>
      <c r="G1691">
        <v>0</v>
      </c>
      <c r="H1691">
        <v>3</v>
      </c>
      <c r="I1691">
        <v>0</v>
      </c>
      <c r="J1691">
        <v>0</v>
      </c>
      <c r="K1691">
        <v>15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J1691">
        <v>0</v>
      </c>
      <c r="AP1691">
        <v>1</v>
      </c>
      <c r="AQ1691">
        <v>0</v>
      </c>
      <c r="AR1691">
        <v>1</v>
      </c>
      <c r="AS1691">
        <v>0</v>
      </c>
      <c r="AT1691">
        <v>0</v>
      </c>
      <c r="AU1691">
        <v>1</v>
      </c>
      <c r="AV1691">
        <v>0</v>
      </c>
      <c r="AW1691">
        <v>12.899999999999999</v>
      </c>
      <c r="AX1691">
        <v>0</v>
      </c>
      <c r="AY1691">
        <v>835.8</v>
      </c>
      <c r="AZ1691">
        <v>71</v>
      </c>
      <c r="BD1691">
        <v>411</v>
      </c>
      <c r="BE1691" t="s">
        <v>517</v>
      </c>
      <c r="BF1691" t="s">
        <v>620</v>
      </c>
    </row>
    <row r="1692" spans="1:58" x14ac:dyDescent="0.45">
      <c r="A1692">
        <v>30248</v>
      </c>
      <c r="B1692">
        <v>1</v>
      </c>
      <c r="C1692">
        <v>77</v>
      </c>
      <c r="D1692">
        <v>0</v>
      </c>
      <c r="E1692">
        <v>0</v>
      </c>
      <c r="F1692">
        <v>0</v>
      </c>
      <c r="G1692">
        <v>0</v>
      </c>
      <c r="H1692">
        <v>3</v>
      </c>
      <c r="I1692">
        <v>0</v>
      </c>
      <c r="J1692">
        <v>0</v>
      </c>
      <c r="K1692">
        <v>20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J1692">
        <v>0</v>
      </c>
      <c r="AP1692">
        <v>1</v>
      </c>
      <c r="AQ1692">
        <v>0</v>
      </c>
      <c r="AR1692">
        <v>1</v>
      </c>
      <c r="AS1692">
        <v>0</v>
      </c>
      <c r="AT1692">
        <v>0</v>
      </c>
      <c r="AU1692">
        <v>1</v>
      </c>
      <c r="AV1692">
        <v>0</v>
      </c>
      <c r="AW1692">
        <v>14.3</v>
      </c>
      <c r="AX1692">
        <v>0</v>
      </c>
      <c r="AY1692">
        <v>835.8</v>
      </c>
      <c r="AZ1692">
        <v>67</v>
      </c>
      <c r="BD1692">
        <v>326</v>
      </c>
      <c r="BE1692" t="s">
        <v>517</v>
      </c>
      <c r="BF1692" t="s">
        <v>620</v>
      </c>
    </row>
    <row r="1693" spans="1:58" x14ac:dyDescent="0.45">
      <c r="A1693">
        <v>30249</v>
      </c>
      <c r="B1693">
        <v>1</v>
      </c>
      <c r="C1693">
        <v>72</v>
      </c>
      <c r="D1693">
        <v>0</v>
      </c>
      <c r="E1693">
        <v>0</v>
      </c>
      <c r="F1693">
        <v>0</v>
      </c>
      <c r="G1693">
        <v>0</v>
      </c>
      <c r="H1693">
        <v>3</v>
      </c>
      <c r="I1693">
        <v>0</v>
      </c>
      <c r="J1693">
        <v>0</v>
      </c>
      <c r="K1693">
        <v>25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J1693">
        <v>0</v>
      </c>
      <c r="AP1693">
        <v>1</v>
      </c>
      <c r="AQ1693">
        <v>0</v>
      </c>
      <c r="AR1693">
        <v>1</v>
      </c>
      <c r="AS1693">
        <v>0</v>
      </c>
      <c r="AT1693">
        <v>0</v>
      </c>
      <c r="AU1693">
        <v>1</v>
      </c>
      <c r="AV1693">
        <v>0</v>
      </c>
      <c r="AW1693">
        <v>15.7</v>
      </c>
      <c r="AX1693">
        <v>0</v>
      </c>
      <c r="AY1693">
        <v>835.8</v>
      </c>
      <c r="AZ1693">
        <v>65</v>
      </c>
      <c r="BD1693">
        <v>289</v>
      </c>
      <c r="BE1693" t="s">
        <v>517</v>
      </c>
      <c r="BF1693" t="s">
        <v>620</v>
      </c>
    </row>
    <row r="1694" spans="1:58" x14ac:dyDescent="0.45">
      <c r="A1694">
        <v>30250</v>
      </c>
      <c r="B1694">
        <v>1</v>
      </c>
      <c r="C1694">
        <v>92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7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J1694">
        <v>0</v>
      </c>
      <c r="AP1694">
        <v>1</v>
      </c>
      <c r="AQ1694">
        <v>0</v>
      </c>
      <c r="AR1694">
        <v>1</v>
      </c>
      <c r="AS1694">
        <v>0</v>
      </c>
      <c r="AT1694">
        <v>0</v>
      </c>
      <c r="AU1694">
        <v>1</v>
      </c>
      <c r="AV1694">
        <v>0</v>
      </c>
      <c r="AW1694">
        <v>9.9</v>
      </c>
      <c r="AX1694">
        <v>0</v>
      </c>
      <c r="AY1694">
        <v>800.1</v>
      </c>
      <c r="AZ1694">
        <v>111</v>
      </c>
      <c r="BB1694">
        <v>1902</v>
      </c>
      <c r="BD1694">
        <v>435</v>
      </c>
      <c r="BE1694" t="s">
        <v>518</v>
      </c>
      <c r="BF1694" t="s">
        <v>621</v>
      </c>
    </row>
    <row r="1695" spans="1:58" x14ac:dyDescent="0.45">
      <c r="A1695">
        <v>30251</v>
      </c>
      <c r="B1695">
        <v>1</v>
      </c>
      <c r="C1695">
        <v>90</v>
      </c>
      <c r="D1695">
        <v>0</v>
      </c>
      <c r="E1695">
        <v>0</v>
      </c>
      <c r="F1695">
        <v>0</v>
      </c>
      <c r="G1695">
        <v>0</v>
      </c>
      <c r="H1695">
        <v>3</v>
      </c>
      <c r="I1695">
        <v>0</v>
      </c>
      <c r="J1695">
        <v>0</v>
      </c>
      <c r="K1695">
        <v>0</v>
      </c>
      <c r="L1695">
        <v>7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Z1695">
        <v>1</v>
      </c>
      <c r="AA1695">
        <v>0</v>
      </c>
      <c r="AB1695">
        <v>0</v>
      </c>
      <c r="AC1695">
        <v>0</v>
      </c>
      <c r="AD1695">
        <v>0</v>
      </c>
      <c r="AJ1695">
        <v>0</v>
      </c>
      <c r="AP1695">
        <v>1</v>
      </c>
      <c r="AQ1695">
        <v>0</v>
      </c>
      <c r="AR1695">
        <v>1</v>
      </c>
      <c r="AS1695">
        <v>0</v>
      </c>
      <c r="AT1695">
        <v>0</v>
      </c>
      <c r="AU1695">
        <v>1</v>
      </c>
      <c r="AV1695">
        <v>0</v>
      </c>
      <c r="AW1695">
        <v>15.7</v>
      </c>
      <c r="AX1695">
        <v>0</v>
      </c>
      <c r="AY1695">
        <v>769.3</v>
      </c>
      <c r="AZ1695">
        <v>85</v>
      </c>
      <c r="BB1695">
        <v>2201</v>
      </c>
      <c r="BD1695">
        <v>382</v>
      </c>
      <c r="BE1695" t="s">
        <v>518</v>
      </c>
      <c r="BF1695" t="s">
        <v>621</v>
      </c>
    </row>
    <row r="1696" spans="1:58" x14ac:dyDescent="0.45">
      <c r="A1696">
        <v>30252</v>
      </c>
      <c r="B1696">
        <v>1</v>
      </c>
      <c r="C1696">
        <v>88</v>
      </c>
      <c r="D1696">
        <v>0</v>
      </c>
      <c r="E1696">
        <v>0</v>
      </c>
      <c r="F1696">
        <v>0</v>
      </c>
      <c r="G1696">
        <v>0</v>
      </c>
      <c r="H1696">
        <v>5</v>
      </c>
      <c r="I1696">
        <v>0</v>
      </c>
      <c r="J1696">
        <v>0</v>
      </c>
      <c r="K1696">
        <v>0</v>
      </c>
      <c r="L1696">
        <v>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J1696">
        <v>0</v>
      </c>
      <c r="AP1696">
        <v>1</v>
      </c>
      <c r="AQ1696">
        <v>0</v>
      </c>
      <c r="AR1696">
        <v>1</v>
      </c>
      <c r="AS1696">
        <v>0</v>
      </c>
      <c r="AT1696">
        <v>0</v>
      </c>
      <c r="AU1696">
        <v>1</v>
      </c>
      <c r="AV1696">
        <v>0</v>
      </c>
      <c r="AW1696">
        <v>21.5</v>
      </c>
      <c r="AX1696">
        <v>0</v>
      </c>
      <c r="AY1696">
        <v>738.5</v>
      </c>
      <c r="AZ1696">
        <v>89</v>
      </c>
      <c r="BB1696">
        <v>1994</v>
      </c>
      <c r="BD1696">
        <v>347</v>
      </c>
      <c r="BE1696" t="s">
        <v>518</v>
      </c>
      <c r="BF1696" t="s">
        <v>621</v>
      </c>
    </row>
    <row r="1697" spans="1:58" x14ac:dyDescent="0.45">
      <c r="A1697">
        <v>30253</v>
      </c>
      <c r="B1697">
        <v>1</v>
      </c>
      <c r="C1697">
        <v>86</v>
      </c>
      <c r="D1697">
        <v>0</v>
      </c>
      <c r="E1697">
        <v>0</v>
      </c>
      <c r="F1697">
        <v>0</v>
      </c>
      <c r="G1697">
        <v>0</v>
      </c>
      <c r="H1697">
        <v>7</v>
      </c>
      <c r="I1697">
        <v>0</v>
      </c>
      <c r="J1697">
        <v>0</v>
      </c>
      <c r="K1697">
        <v>0</v>
      </c>
      <c r="L1697">
        <v>7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J1697">
        <v>0</v>
      </c>
      <c r="AP1697">
        <v>1</v>
      </c>
      <c r="AQ1697">
        <v>0</v>
      </c>
      <c r="AR1697">
        <v>1</v>
      </c>
      <c r="AS1697">
        <v>0</v>
      </c>
      <c r="AT1697">
        <v>0</v>
      </c>
      <c r="AU1697">
        <v>1</v>
      </c>
      <c r="AV1697">
        <v>0</v>
      </c>
      <c r="AW1697">
        <v>27.3</v>
      </c>
      <c r="AX1697">
        <v>0</v>
      </c>
      <c r="AY1697">
        <v>707.7</v>
      </c>
      <c r="AZ1697">
        <v>98</v>
      </c>
      <c r="BB1697">
        <v>1851</v>
      </c>
      <c r="BD1697">
        <v>367</v>
      </c>
      <c r="BE1697" t="s">
        <v>518</v>
      </c>
      <c r="BF1697" t="s">
        <v>621</v>
      </c>
    </row>
    <row r="1698" spans="1:58" x14ac:dyDescent="0.45">
      <c r="A1698">
        <v>30254</v>
      </c>
      <c r="B1698">
        <v>1</v>
      </c>
      <c r="C1698">
        <v>84</v>
      </c>
      <c r="D1698">
        <v>0</v>
      </c>
      <c r="E1698">
        <v>0</v>
      </c>
      <c r="F1698">
        <v>0</v>
      </c>
      <c r="G1698">
        <v>0</v>
      </c>
      <c r="H1698">
        <v>8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8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758.8</v>
      </c>
      <c r="AF1698">
        <v>0</v>
      </c>
      <c r="AG1698">
        <v>1</v>
      </c>
      <c r="AH1698">
        <v>0</v>
      </c>
      <c r="AI1698">
        <v>0</v>
      </c>
      <c r="AJ1698">
        <v>0</v>
      </c>
      <c r="AP1698">
        <v>1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0</v>
      </c>
      <c r="AW1698">
        <v>24.96</v>
      </c>
      <c r="AX1698">
        <v>0</v>
      </c>
      <c r="AY1698">
        <v>758.8</v>
      </c>
      <c r="BA1698">
        <v>914</v>
      </c>
      <c r="BB1698">
        <v>1058</v>
      </c>
      <c r="BD1698">
        <v>327</v>
      </c>
      <c r="BE1698" t="s">
        <v>519</v>
      </c>
      <c r="BF1698" t="s">
        <v>622</v>
      </c>
    </row>
    <row r="1699" spans="1:58" x14ac:dyDescent="0.45">
      <c r="A1699">
        <v>30255</v>
      </c>
      <c r="B1699">
        <v>1</v>
      </c>
      <c r="C1699">
        <v>80</v>
      </c>
      <c r="D1699">
        <v>0</v>
      </c>
      <c r="E1699">
        <v>0</v>
      </c>
      <c r="F1699">
        <v>0</v>
      </c>
      <c r="G1699">
        <v>0</v>
      </c>
      <c r="H1699">
        <v>8</v>
      </c>
      <c r="I1699">
        <v>0</v>
      </c>
      <c r="J1699">
        <v>4</v>
      </c>
      <c r="K1699">
        <v>0</v>
      </c>
      <c r="L1699">
        <v>0</v>
      </c>
      <c r="M1699">
        <v>0</v>
      </c>
      <c r="N1699">
        <v>0</v>
      </c>
      <c r="O1699">
        <v>8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731.19999999999993</v>
      </c>
      <c r="AF1699">
        <v>0</v>
      </c>
      <c r="AG1699">
        <v>1</v>
      </c>
      <c r="AH1699">
        <v>0</v>
      </c>
      <c r="AI1699">
        <v>0</v>
      </c>
      <c r="AJ1699">
        <v>0</v>
      </c>
      <c r="AP1699">
        <v>1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24.96</v>
      </c>
      <c r="AX1699">
        <v>0.66666666666666663</v>
      </c>
      <c r="AY1699">
        <v>731.19999999999993</v>
      </c>
      <c r="BA1699">
        <v>934</v>
      </c>
      <c r="BB1699">
        <v>1054</v>
      </c>
      <c r="BD1699">
        <v>331</v>
      </c>
      <c r="BE1699" t="s">
        <v>519</v>
      </c>
      <c r="BF1699" t="s">
        <v>622</v>
      </c>
    </row>
    <row r="1700" spans="1:58" x14ac:dyDescent="0.45">
      <c r="A1700">
        <v>30256</v>
      </c>
      <c r="B1700">
        <v>1</v>
      </c>
      <c r="C1700">
        <v>76</v>
      </c>
      <c r="D1700">
        <v>0</v>
      </c>
      <c r="E1700">
        <v>0</v>
      </c>
      <c r="F1700">
        <v>0</v>
      </c>
      <c r="G1700">
        <v>0</v>
      </c>
      <c r="H1700">
        <v>10</v>
      </c>
      <c r="I1700">
        <v>0</v>
      </c>
      <c r="J1700">
        <v>4</v>
      </c>
      <c r="K1700">
        <v>0</v>
      </c>
      <c r="L1700">
        <v>0</v>
      </c>
      <c r="M1700">
        <v>0</v>
      </c>
      <c r="N1700">
        <v>0</v>
      </c>
      <c r="O1700">
        <v>10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700.4</v>
      </c>
      <c r="AF1700">
        <v>0</v>
      </c>
      <c r="AG1700">
        <v>1</v>
      </c>
      <c r="AH1700">
        <v>0</v>
      </c>
      <c r="AI1700">
        <v>0</v>
      </c>
      <c r="AJ1700">
        <v>0</v>
      </c>
      <c r="AP1700">
        <v>1</v>
      </c>
      <c r="AQ1700">
        <v>0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31.2</v>
      </c>
      <c r="AX1700">
        <v>0.66666666666666663</v>
      </c>
      <c r="AY1700">
        <v>700.4</v>
      </c>
      <c r="BA1700">
        <v>966</v>
      </c>
      <c r="BB1700">
        <v>1086</v>
      </c>
      <c r="BD1700">
        <v>338</v>
      </c>
      <c r="BE1700" t="s">
        <v>519</v>
      </c>
      <c r="BF1700" t="s">
        <v>622</v>
      </c>
    </row>
    <row r="1701" spans="1:58" x14ac:dyDescent="0.45">
      <c r="A1701">
        <v>30257</v>
      </c>
      <c r="B1701">
        <v>0</v>
      </c>
      <c r="C1701">
        <v>64.8</v>
      </c>
      <c r="D1701">
        <v>0</v>
      </c>
      <c r="E1701">
        <v>0</v>
      </c>
      <c r="F1701">
        <v>0</v>
      </c>
      <c r="G1701">
        <v>0</v>
      </c>
      <c r="H1701">
        <v>2</v>
      </c>
      <c r="I1701">
        <v>0</v>
      </c>
      <c r="J1701">
        <v>0</v>
      </c>
      <c r="K1701">
        <v>25</v>
      </c>
      <c r="L1701">
        <v>5</v>
      </c>
      <c r="M1701">
        <v>3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0.2</v>
      </c>
      <c r="U1701">
        <v>0</v>
      </c>
      <c r="V1701">
        <v>1</v>
      </c>
      <c r="W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J1701">
        <v>0</v>
      </c>
      <c r="AP1701">
        <v>1</v>
      </c>
      <c r="AQ1701">
        <v>1</v>
      </c>
      <c r="AR1701">
        <v>1</v>
      </c>
      <c r="AS1701">
        <v>0</v>
      </c>
      <c r="AT1701">
        <v>0</v>
      </c>
      <c r="AU1701">
        <v>0</v>
      </c>
      <c r="AV1701">
        <v>0</v>
      </c>
      <c r="AW1701">
        <v>17.8</v>
      </c>
      <c r="AX1701">
        <v>1.02</v>
      </c>
      <c r="AY1701">
        <v>840.90000000000009</v>
      </c>
      <c r="AZ1701">
        <v>72</v>
      </c>
      <c r="BB1701">
        <v>621</v>
      </c>
      <c r="BE1701" t="s">
        <v>520</v>
      </c>
      <c r="BF1701" t="s">
        <v>623</v>
      </c>
    </row>
    <row r="1702" spans="1:58" x14ac:dyDescent="0.45">
      <c r="A1702">
        <v>30258</v>
      </c>
      <c r="B1702">
        <v>0</v>
      </c>
      <c r="C1702">
        <v>64.7</v>
      </c>
      <c r="D1702">
        <v>0</v>
      </c>
      <c r="E1702">
        <v>0</v>
      </c>
      <c r="F1702">
        <v>0</v>
      </c>
      <c r="G1702">
        <v>0</v>
      </c>
      <c r="H1702">
        <v>2</v>
      </c>
      <c r="I1702">
        <v>0</v>
      </c>
      <c r="J1702">
        <v>0</v>
      </c>
      <c r="K1702">
        <v>25</v>
      </c>
      <c r="L1702">
        <v>5</v>
      </c>
      <c r="M1702">
        <v>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0.3</v>
      </c>
      <c r="U1702">
        <v>0</v>
      </c>
      <c r="V1702">
        <v>1</v>
      </c>
      <c r="W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J1702">
        <v>0</v>
      </c>
      <c r="AP1702">
        <v>1</v>
      </c>
      <c r="AQ1702">
        <v>1</v>
      </c>
      <c r="AR1702">
        <v>1</v>
      </c>
      <c r="AS1702">
        <v>0</v>
      </c>
      <c r="AT1702">
        <v>0</v>
      </c>
      <c r="AU1702">
        <v>0</v>
      </c>
      <c r="AV1702">
        <v>0</v>
      </c>
      <c r="AW1702">
        <v>17.8</v>
      </c>
      <c r="AX1702">
        <v>1.03</v>
      </c>
      <c r="AY1702">
        <v>853.2</v>
      </c>
      <c r="AZ1702">
        <v>75</v>
      </c>
      <c r="BB1702">
        <v>682</v>
      </c>
      <c r="BE1702" t="s">
        <v>520</v>
      </c>
      <c r="BF1702" t="s">
        <v>623</v>
      </c>
    </row>
    <row r="1703" spans="1:58" x14ac:dyDescent="0.45">
      <c r="A1703">
        <v>30259</v>
      </c>
      <c r="B1703">
        <v>0</v>
      </c>
      <c r="C1703">
        <v>64.400000000000006</v>
      </c>
      <c r="D1703">
        <v>0</v>
      </c>
      <c r="E1703">
        <v>0</v>
      </c>
      <c r="F1703">
        <v>0</v>
      </c>
      <c r="G1703">
        <v>0</v>
      </c>
      <c r="H1703">
        <v>2</v>
      </c>
      <c r="I1703">
        <v>0</v>
      </c>
      <c r="J1703">
        <v>0</v>
      </c>
      <c r="K1703">
        <v>25</v>
      </c>
      <c r="L1703">
        <v>5</v>
      </c>
      <c r="M1703">
        <v>3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0.6</v>
      </c>
      <c r="U1703">
        <v>0</v>
      </c>
      <c r="V1703">
        <v>1</v>
      </c>
      <c r="W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J1703">
        <v>0</v>
      </c>
      <c r="AP1703">
        <v>1</v>
      </c>
      <c r="AQ1703">
        <v>1</v>
      </c>
      <c r="AR1703">
        <v>1</v>
      </c>
      <c r="AS1703">
        <v>0</v>
      </c>
      <c r="AT1703">
        <v>0</v>
      </c>
      <c r="AU1703">
        <v>0</v>
      </c>
      <c r="AV1703">
        <v>0</v>
      </c>
      <c r="AW1703">
        <v>17.8</v>
      </c>
      <c r="AX1703">
        <v>1.06</v>
      </c>
      <c r="AY1703">
        <v>890.1</v>
      </c>
      <c r="AZ1703">
        <v>74</v>
      </c>
      <c r="BB1703">
        <v>610</v>
      </c>
      <c r="BE1703" t="s">
        <v>520</v>
      </c>
      <c r="BF1703" t="s">
        <v>623</v>
      </c>
    </row>
    <row r="1704" spans="1:58" x14ac:dyDescent="0.45">
      <c r="A1704">
        <v>30260</v>
      </c>
      <c r="B1704">
        <v>0</v>
      </c>
      <c r="C1704">
        <v>81</v>
      </c>
      <c r="D1704">
        <v>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15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868.8</v>
      </c>
      <c r="AF1704">
        <v>0</v>
      </c>
      <c r="AG1704">
        <v>0</v>
      </c>
      <c r="AH1704">
        <v>1</v>
      </c>
      <c r="AI1704">
        <v>0</v>
      </c>
      <c r="AJ1704">
        <v>0</v>
      </c>
      <c r="AP1704">
        <v>1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12</v>
      </c>
      <c r="AX1704">
        <v>3.1</v>
      </c>
      <c r="AY1704">
        <v>868.8</v>
      </c>
      <c r="BA1704">
        <v>1203</v>
      </c>
      <c r="BD1704">
        <v>376</v>
      </c>
      <c r="BE1704" t="s">
        <v>521</v>
      </c>
      <c r="BF1704" t="s">
        <v>561</v>
      </c>
    </row>
    <row r="1705" spans="1:58" x14ac:dyDescent="0.45">
      <c r="A1705">
        <v>30261</v>
      </c>
      <c r="B1705">
        <v>1</v>
      </c>
      <c r="C1705">
        <v>63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6</v>
      </c>
      <c r="K1705">
        <v>29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821.6</v>
      </c>
      <c r="AF1705">
        <v>0</v>
      </c>
      <c r="AG1705">
        <v>1</v>
      </c>
      <c r="AH1705">
        <v>0</v>
      </c>
      <c r="AI1705">
        <v>0</v>
      </c>
      <c r="AJ1705">
        <v>0</v>
      </c>
      <c r="AP1705">
        <v>1</v>
      </c>
      <c r="AQ1705">
        <v>0</v>
      </c>
      <c r="AR1705">
        <v>1</v>
      </c>
      <c r="AS1705">
        <v>0</v>
      </c>
      <c r="AT1705">
        <v>1</v>
      </c>
      <c r="AU1705">
        <v>0</v>
      </c>
      <c r="AV1705">
        <v>0</v>
      </c>
      <c r="AW1705">
        <v>10.120000000000001</v>
      </c>
      <c r="AX1705">
        <v>1</v>
      </c>
      <c r="AY1705">
        <v>821.6</v>
      </c>
      <c r="AZ1705">
        <v>79</v>
      </c>
      <c r="BD1705">
        <v>297</v>
      </c>
      <c r="BE1705" t="s">
        <v>522</v>
      </c>
      <c r="BF1705" t="s">
        <v>624</v>
      </c>
    </row>
    <row r="1706" spans="1:58" x14ac:dyDescent="0.45">
      <c r="A1706">
        <v>30262</v>
      </c>
      <c r="B1706">
        <v>1</v>
      </c>
      <c r="C1706">
        <v>85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</v>
      </c>
      <c r="L1706">
        <v>12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768</v>
      </c>
      <c r="AF1706">
        <v>0</v>
      </c>
      <c r="AG1706">
        <v>1</v>
      </c>
      <c r="AH1706">
        <v>0</v>
      </c>
      <c r="AI1706">
        <v>0</v>
      </c>
      <c r="AJ1706">
        <v>0</v>
      </c>
      <c r="AP1706">
        <v>1</v>
      </c>
      <c r="AQ1706">
        <v>0</v>
      </c>
      <c r="AR1706">
        <v>1</v>
      </c>
      <c r="AS1706">
        <v>0</v>
      </c>
      <c r="AT1706">
        <v>0</v>
      </c>
      <c r="AU1706">
        <v>0</v>
      </c>
      <c r="AV1706">
        <v>0</v>
      </c>
      <c r="AW1706">
        <v>12.84</v>
      </c>
      <c r="AX1706">
        <v>0</v>
      </c>
      <c r="AY1706">
        <v>768</v>
      </c>
      <c r="AZ1706">
        <v>105</v>
      </c>
      <c r="BA1706">
        <v>449</v>
      </c>
      <c r="BB1706">
        <v>747</v>
      </c>
      <c r="BE1706" t="s">
        <v>523</v>
      </c>
      <c r="BF1706" t="s">
        <v>625</v>
      </c>
    </row>
    <row r="1707" spans="1:58" x14ac:dyDescent="0.45">
      <c r="A1707">
        <v>30263</v>
      </c>
      <c r="B1707">
        <v>0</v>
      </c>
      <c r="C1707">
        <v>52.9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7</v>
      </c>
      <c r="K1707">
        <v>35</v>
      </c>
      <c r="L1707">
        <v>0</v>
      </c>
      <c r="M1707">
        <v>0</v>
      </c>
      <c r="N1707">
        <v>0</v>
      </c>
      <c r="O1707">
        <v>5</v>
      </c>
      <c r="P1707">
        <v>0</v>
      </c>
      <c r="Q1707">
        <v>0</v>
      </c>
      <c r="R1707">
        <v>0</v>
      </c>
      <c r="S1707">
        <v>0</v>
      </c>
      <c r="T1707">
        <v>0.1</v>
      </c>
      <c r="U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846</v>
      </c>
      <c r="AF1707">
        <v>0</v>
      </c>
      <c r="AG1707">
        <v>1</v>
      </c>
      <c r="AH1707">
        <v>0</v>
      </c>
      <c r="AI1707">
        <v>0</v>
      </c>
      <c r="AJ1707">
        <v>0</v>
      </c>
      <c r="AP1707">
        <v>1</v>
      </c>
      <c r="AQ1707">
        <v>0</v>
      </c>
      <c r="AR1707">
        <v>1</v>
      </c>
      <c r="AS1707">
        <v>0</v>
      </c>
      <c r="AT1707">
        <v>0</v>
      </c>
      <c r="AU1707">
        <v>0</v>
      </c>
      <c r="AV1707">
        <v>0</v>
      </c>
      <c r="AW1707">
        <v>10.9</v>
      </c>
      <c r="AX1707">
        <v>1.1766666666666667</v>
      </c>
      <c r="AY1707">
        <v>846</v>
      </c>
      <c r="BA1707">
        <v>530</v>
      </c>
      <c r="BB1707">
        <v>590</v>
      </c>
      <c r="BE1707" t="s">
        <v>524</v>
      </c>
      <c r="BF1707" t="s">
        <v>626</v>
      </c>
    </row>
    <row r="1708" spans="1:58" x14ac:dyDescent="0.45">
      <c r="A1708">
        <v>30264</v>
      </c>
      <c r="B1708">
        <v>0</v>
      </c>
      <c r="C1708">
        <v>52.5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7</v>
      </c>
      <c r="K1708">
        <v>35</v>
      </c>
      <c r="L1708">
        <v>0</v>
      </c>
      <c r="M1708">
        <v>0</v>
      </c>
      <c r="N1708">
        <v>0</v>
      </c>
      <c r="O1708">
        <v>5</v>
      </c>
      <c r="P1708">
        <v>0</v>
      </c>
      <c r="Q1708">
        <v>0</v>
      </c>
      <c r="R1708">
        <v>0</v>
      </c>
      <c r="S1708">
        <v>0</v>
      </c>
      <c r="T1708">
        <v>0.5</v>
      </c>
      <c r="U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895.2</v>
      </c>
      <c r="AF1708">
        <v>0</v>
      </c>
      <c r="AG1708">
        <v>1</v>
      </c>
      <c r="AH1708">
        <v>0</v>
      </c>
      <c r="AI1708">
        <v>0</v>
      </c>
      <c r="AJ1708">
        <v>0</v>
      </c>
      <c r="AP1708">
        <v>1</v>
      </c>
      <c r="AQ1708">
        <v>0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10.9</v>
      </c>
      <c r="AX1708">
        <v>1.2166666666666668</v>
      </c>
      <c r="AY1708">
        <v>895.2</v>
      </c>
      <c r="BA1708">
        <v>937</v>
      </c>
      <c r="BB1708">
        <v>1014</v>
      </c>
      <c r="BE1708" t="s">
        <v>524</v>
      </c>
      <c r="BF1708" t="s">
        <v>626</v>
      </c>
    </row>
    <row r="1709" spans="1:58" x14ac:dyDescent="0.45">
      <c r="A1709">
        <v>30265</v>
      </c>
      <c r="B1709">
        <v>0</v>
      </c>
      <c r="C1709">
        <v>52.3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7</v>
      </c>
      <c r="K1709">
        <v>35</v>
      </c>
      <c r="L1709">
        <v>0</v>
      </c>
      <c r="M1709">
        <v>0</v>
      </c>
      <c r="N1709">
        <v>0</v>
      </c>
      <c r="O1709">
        <v>5</v>
      </c>
      <c r="P1709">
        <v>0</v>
      </c>
      <c r="Q1709">
        <v>0</v>
      </c>
      <c r="R1709">
        <v>0</v>
      </c>
      <c r="S1709">
        <v>0</v>
      </c>
      <c r="T1709">
        <v>0.7</v>
      </c>
      <c r="U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919.80000000000007</v>
      </c>
      <c r="AF1709">
        <v>0</v>
      </c>
      <c r="AG1709">
        <v>1</v>
      </c>
      <c r="AH1709">
        <v>0</v>
      </c>
      <c r="AI1709">
        <v>0</v>
      </c>
      <c r="AJ1709">
        <v>0</v>
      </c>
      <c r="AP1709">
        <v>1</v>
      </c>
      <c r="AQ1709">
        <v>0</v>
      </c>
      <c r="AR1709">
        <v>1</v>
      </c>
      <c r="AS1709">
        <v>0</v>
      </c>
      <c r="AT1709">
        <v>0</v>
      </c>
      <c r="AU1709">
        <v>0</v>
      </c>
      <c r="AV1709">
        <v>0</v>
      </c>
      <c r="AW1709">
        <v>10.9</v>
      </c>
      <c r="AX1709">
        <v>1.2366666666666668</v>
      </c>
      <c r="AY1709">
        <v>919.80000000000007</v>
      </c>
      <c r="BA1709">
        <v>1081</v>
      </c>
      <c r="BB1709">
        <v>1097</v>
      </c>
      <c r="BE1709" t="s">
        <v>524</v>
      </c>
      <c r="BF1709" t="s">
        <v>626</v>
      </c>
    </row>
    <row r="1710" spans="1:58" x14ac:dyDescent="0.45">
      <c r="A1710">
        <v>30266</v>
      </c>
      <c r="B1710">
        <v>1</v>
      </c>
      <c r="C1710">
        <v>65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30</v>
      </c>
      <c r="K1710">
        <v>0</v>
      </c>
      <c r="L1710">
        <v>5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627.5</v>
      </c>
      <c r="AF1710">
        <v>0</v>
      </c>
      <c r="AG1710">
        <v>1</v>
      </c>
      <c r="AH1710">
        <v>0</v>
      </c>
      <c r="AI1710">
        <v>0</v>
      </c>
      <c r="AJ1710">
        <v>0</v>
      </c>
      <c r="AP1710">
        <v>1</v>
      </c>
      <c r="AQ1710">
        <v>0</v>
      </c>
      <c r="AR1710">
        <v>1</v>
      </c>
      <c r="AS1710">
        <v>0</v>
      </c>
      <c r="AT1710">
        <v>0</v>
      </c>
      <c r="AU1710">
        <v>0</v>
      </c>
      <c r="AV1710">
        <v>0</v>
      </c>
      <c r="AW1710">
        <v>5</v>
      </c>
      <c r="AX1710">
        <v>5</v>
      </c>
      <c r="AY1710">
        <v>627.5</v>
      </c>
      <c r="AZ1710">
        <v>75</v>
      </c>
      <c r="BA1710">
        <v>383</v>
      </c>
      <c r="BB1710">
        <v>762</v>
      </c>
      <c r="BE1710" t="s">
        <v>301</v>
      </c>
      <c r="BF1710" t="s">
        <v>627</v>
      </c>
    </row>
    <row r="1711" spans="1:58" x14ac:dyDescent="0.45">
      <c r="A1711">
        <v>30267</v>
      </c>
      <c r="B1711">
        <v>1</v>
      </c>
      <c r="C1711">
        <v>64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30</v>
      </c>
      <c r="K1711">
        <v>0</v>
      </c>
      <c r="L1711">
        <v>6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618</v>
      </c>
      <c r="AF1711">
        <v>0</v>
      </c>
      <c r="AG1711">
        <v>1</v>
      </c>
      <c r="AH1711">
        <v>0</v>
      </c>
      <c r="AI1711">
        <v>0</v>
      </c>
      <c r="AJ1711">
        <v>0</v>
      </c>
      <c r="AP1711">
        <v>1</v>
      </c>
      <c r="AQ1711">
        <v>0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6</v>
      </c>
      <c r="AX1711">
        <v>5</v>
      </c>
      <c r="AY1711">
        <v>618</v>
      </c>
      <c r="AZ1711">
        <v>63</v>
      </c>
      <c r="BA1711">
        <v>459</v>
      </c>
      <c r="BB1711">
        <v>723</v>
      </c>
      <c r="BE1711" t="s">
        <v>301</v>
      </c>
      <c r="BF1711" t="s">
        <v>627</v>
      </c>
    </row>
    <row r="1712" spans="1:58" x14ac:dyDescent="0.45">
      <c r="A1712">
        <v>30268</v>
      </c>
      <c r="B1712">
        <v>1</v>
      </c>
      <c r="C1712">
        <v>63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30</v>
      </c>
      <c r="K1712">
        <v>0</v>
      </c>
      <c r="L1712">
        <v>7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608.5</v>
      </c>
      <c r="AF1712">
        <v>0</v>
      </c>
      <c r="AG1712">
        <v>1</v>
      </c>
      <c r="AH1712">
        <v>0</v>
      </c>
      <c r="AI1712">
        <v>0</v>
      </c>
      <c r="AJ1712">
        <v>0</v>
      </c>
      <c r="AP1712">
        <v>1</v>
      </c>
      <c r="AQ1712">
        <v>0</v>
      </c>
      <c r="AR1712">
        <v>1</v>
      </c>
      <c r="AS1712">
        <v>0</v>
      </c>
      <c r="AT1712">
        <v>0</v>
      </c>
      <c r="AU1712">
        <v>0</v>
      </c>
      <c r="AV1712">
        <v>0</v>
      </c>
      <c r="AW1712">
        <v>7</v>
      </c>
      <c r="AX1712">
        <v>5</v>
      </c>
      <c r="AY1712">
        <v>608.5</v>
      </c>
      <c r="AZ1712">
        <v>66</v>
      </c>
      <c r="BA1712">
        <v>674</v>
      </c>
      <c r="BB1712">
        <v>784</v>
      </c>
      <c r="BE1712" t="s">
        <v>301</v>
      </c>
      <c r="BF1712" t="s">
        <v>627</v>
      </c>
    </row>
    <row r="1713" spans="1:58" x14ac:dyDescent="0.45">
      <c r="A1713">
        <v>30269</v>
      </c>
      <c r="B1713">
        <v>1</v>
      </c>
      <c r="C1713">
        <v>59.454900000000002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40.545099999999998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J1713">
        <v>0</v>
      </c>
      <c r="AP1713">
        <v>1</v>
      </c>
      <c r="AQ1713">
        <v>0</v>
      </c>
      <c r="AR1713">
        <v>1</v>
      </c>
      <c r="AS1713">
        <v>0</v>
      </c>
      <c r="AT1713">
        <v>1</v>
      </c>
      <c r="AU1713">
        <v>0</v>
      </c>
      <c r="AV1713">
        <v>0</v>
      </c>
      <c r="AW1713">
        <v>11.352624377889663</v>
      </c>
      <c r="AX1713">
        <v>0</v>
      </c>
      <c r="AY1713">
        <v>882</v>
      </c>
      <c r="AZ1713">
        <v>75</v>
      </c>
      <c r="BA1713">
        <v>447</v>
      </c>
      <c r="BD1713">
        <v>227</v>
      </c>
      <c r="BE1713" t="s">
        <v>525</v>
      </c>
      <c r="BF1713" t="s">
        <v>628</v>
      </c>
    </row>
    <row r="1714" spans="1:58" x14ac:dyDescent="0.45">
      <c r="A1714">
        <v>30270</v>
      </c>
      <c r="B1714">
        <v>1</v>
      </c>
      <c r="C1714">
        <v>56.929099999999998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39.901000000000003</v>
      </c>
      <c r="L1714">
        <v>3.1699000000000002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J1714">
        <v>0</v>
      </c>
      <c r="AP1714">
        <v>1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0</v>
      </c>
      <c r="AW1714">
        <v>14.342152046147781</v>
      </c>
      <c r="AX1714">
        <v>0</v>
      </c>
      <c r="AY1714">
        <v>851.88629097831506</v>
      </c>
      <c r="AZ1714">
        <v>67</v>
      </c>
      <c r="BA1714">
        <v>535</v>
      </c>
      <c r="BD1714">
        <v>189</v>
      </c>
      <c r="BE1714" t="s">
        <v>525</v>
      </c>
      <c r="BF1714" t="s">
        <v>628</v>
      </c>
    </row>
    <row r="1715" spans="1:58" x14ac:dyDescent="0.45">
      <c r="A1715">
        <v>30271</v>
      </c>
      <c r="B1715">
        <v>1</v>
      </c>
      <c r="C1715">
        <v>54.482300000000002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39.277099999999997</v>
      </c>
      <c r="L1715">
        <v>6.2405999999999997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J1715">
        <v>0</v>
      </c>
      <c r="AP1715">
        <v>1</v>
      </c>
      <c r="AQ1715">
        <v>0</v>
      </c>
      <c r="AR1715">
        <v>1</v>
      </c>
      <c r="AS1715">
        <v>0</v>
      </c>
      <c r="AT1715">
        <v>0</v>
      </c>
      <c r="AU1715">
        <v>0</v>
      </c>
      <c r="AV1715">
        <v>0</v>
      </c>
      <c r="AW1715">
        <v>17.238187542986623</v>
      </c>
      <c r="AX1715">
        <v>0</v>
      </c>
      <c r="AY1715">
        <v>822.71433475451124</v>
      </c>
      <c r="AZ1715">
        <v>64</v>
      </c>
      <c r="BA1715">
        <v>621</v>
      </c>
      <c r="BD1715">
        <v>211</v>
      </c>
      <c r="BE1715" t="s">
        <v>525</v>
      </c>
      <c r="BF1715" t="s">
        <v>628</v>
      </c>
    </row>
    <row r="1716" spans="1:58" x14ac:dyDescent="0.45">
      <c r="A1716">
        <v>30272</v>
      </c>
      <c r="B1716">
        <v>1</v>
      </c>
      <c r="C1716">
        <v>52.110799999999998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38.672400000000003</v>
      </c>
      <c r="L1716">
        <v>9.2167999999999992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J1716">
        <v>0</v>
      </c>
      <c r="AP1716">
        <v>1</v>
      </c>
      <c r="AQ1716">
        <v>0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20.045049049254644</v>
      </c>
      <c r="AX1716">
        <v>0</v>
      </c>
      <c r="AY1716">
        <v>794.44063400860944</v>
      </c>
      <c r="AZ1716">
        <v>56</v>
      </c>
      <c r="BA1716">
        <v>634</v>
      </c>
      <c r="BD1716">
        <v>218</v>
      </c>
      <c r="BE1716" t="s">
        <v>525</v>
      </c>
      <c r="BF1716" t="s">
        <v>628</v>
      </c>
    </row>
    <row r="1717" spans="1:58" x14ac:dyDescent="0.45">
      <c r="A1717">
        <v>30273</v>
      </c>
      <c r="B1717">
        <v>1</v>
      </c>
      <c r="C1717">
        <v>49.811300000000003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38.085999999999999</v>
      </c>
      <c r="L1717">
        <v>12.1027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J1717">
        <v>0</v>
      </c>
      <c r="AP1717">
        <v>1</v>
      </c>
      <c r="AQ1717">
        <v>0</v>
      </c>
      <c r="AR1717">
        <v>1</v>
      </c>
      <c r="AS1717">
        <v>0</v>
      </c>
      <c r="AT1717">
        <v>0</v>
      </c>
      <c r="AU1717">
        <v>0</v>
      </c>
      <c r="AV1717">
        <v>0</v>
      </c>
      <c r="AW1717">
        <v>22.766792849266956</v>
      </c>
      <c r="AX1717">
        <v>0</v>
      </c>
      <c r="AY1717">
        <v>767.02432952165282</v>
      </c>
      <c r="AZ1717">
        <v>55</v>
      </c>
      <c r="BA1717">
        <v>663</v>
      </c>
      <c r="BD1717">
        <v>242</v>
      </c>
      <c r="BE1717" t="s">
        <v>525</v>
      </c>
      <c r="BF1717" t="s">
        <v>628</v>
      </c>
    </row>
    <row r="1718" spans="1:58" x14ac:dyDescent="0.45">
      <c r="A1718">
        <v>30274</v>
      </c>
      <c r="B1718">
        <v>1</v>
      </c>
      <c r="C1718">
        <v>22.3386</v>
      </c>
      <c r="D1718">
        <v>13.344200000000001</v>
      </c>
      <c r="E1718">
        <v>23.205100000000002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41.112000000000002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636.20223915442921</v>
      </c>
      <c r="AF1718">
        <v>0</v>
      </c>
      <c r="AG1718">
        <v>0</v>
      </c>
      <c r="AH1718">
        <v>0</v>
      </c>
      <c r="AI1718">
        <v>1</v>
      </c>
      <c r="AJ1718">
        <v>0</v>
      </c>
      <c r="AP1718">
        <v>1</v>
      </c>
      <c r="AQ1718">
        <v>0</v>
      </c>
      <c r="AR1718">
        <v>1</v>
      </c>
      <c r="AS1718">
        <v>0</v>
      </c>
      <c r="AT1718">
        <v>0</v>
      </c>
      <c r="AU1718">
        <v>0</v>
      </c>
      <c r="AV1718">
        <v>0</v>
      </c>
      <c r="AW1718">
        <v>13.714552191282458</v>
      </c>
      <c r="AX1718">
        <v>13.344249668401837</v>
      </c>
      <c r="AY1718">
        <v>636.20223915442921</v>
      </c>
      <c r="BA1718">
        <v>1020</v>
      </c>
      <c r="BB1718">
        <v>1318</v>
      </c>
      <c r="BD1718">
        <v>448</v>
      </c>
      <c r="BE1718" t="s">
        <v>526</v>
      </c>
      <c r="BF1718" t="s">
        <v>629</v>
      </c>
    </row>
    <row r="1719" spans="1:58" x14ac:dyDescent="0.45">
      <c r="A1719">
        <v>30275</v>
      </c>
      <c r="B1719">
        <v>0</v>
      </c>
      <c r="C1719">
        <v>11.661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22.223299999999998</v>
      </c>
      <c r="K1719">
        <v>22.633199999999999</v>
      </c>
      <c r="L1719">
        <v>0</v>
      </c>
      <c r="M1719">
        <v>0</v>
      </c>
      <c r="N1719">
        <v>43.482500000000002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728.65892692216914</v>
      </c>
      <c r="AF1719">
        <v>0</v>
      </c>
      <c r="AG1719">
        <v>0</v>
      </c>
      <c r="AH1719">
        <v>0</v>
      </c>
      <c r="AI1719">
        <v>1</v>
      </c>
      <c r="AJ1719">
        <v>0</v>
      </c>
      <c r="AP1719">
        <v>1</v>
      </c>
      <c r="AQ1719">
        <v>0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6.3372873332396571</v>
      </c>
      <c r="AX1719">
        <v>3.7038906540538847</v>
      </c>
      <c r="AY1719">
        <v>728.65892692216914</v>
      </c>
      <c r="BA1719">
        <v>879</v>
      </c>
      <c r="BB1719">
        <v>969</v>
      </c>
      <c r="BE1719" t="s">
        <v>527</v>
      </c>
      <c r="BF1719" t="s">
        <v>630</v>
      </c>
    </row>
    <row r="1720" spans="1:58" x14ac:dyDescent="0.45">
      <c r="A1720">
        <v>30276</v>
      </c>
      <c r="B1720">
        <v>0</v>
      </c>
      <c r="C1720">
        <v>7.9566999999999997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16.3415</v>
      </c>
      <c r="K1720">
        <v>14.8398</v>
      </c>
      <c r="L1720">
        <v>0</v>
      </c>
      <c r="M1720">
        <v>0</v>
      </c>
      <c r="N1720">
        <v>30.814299999999999</v>
      </c>
      <c r="O1720">
        <v>30.047699999999999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769.24372953318675</v>
      </c>
      <c r="AF1720">
        <v>0</v>
      </c>
      <c r="AG1720">
        <v>0</v>
      </c>
      <c r="AH1720">
        <v>0</v>
      </c>
      <c r="AI1720">
        <v>1</v>
      </c>
      <c r="AJ1720">
        <v>0</v>
      </c>
      <c r="AP1720">
        <v>1</v>
      </c>
      <c r="AQ1720">
        <v>0</v>
      </c>
      <c r="AR1720">
        <v>1</v>
      </c>
      <c r="AS1720">
        <v>0</v>
      </c>
      <c r="AT1720">
        <v>0</v>
      </c>
      <c r="AU1720">
        <v>0</v>
      </c>
      <c r="AV1720">
        <v>0</v>
      </c>
      <c r="AW1720">
        <v>10.765637323593298</v>
      </c>
      <c r="AX1720">
        <v>2.7235814122418667</v>
      </c>
      <c r="AY1720">
        <v>769.24372953318675</v>
      </c>
      <c r="BA1720">
        <v>929</v>
      </c>
      <c r="BD1720">
        <v>390</v>
      </c>
      <c r="BE1720" t="s">
        <v>528</v>
      </c>
      <c r="BF1720" t="s">
        <v>631</v>
      </c>
    </row>
    <row r="1721" spans="1:58" x14ac:dyDescent="0.45">
      <c r="A1721">
        <v>30277</v>
      </c>
      <c r="B1721">
        <v>1</v>
      </c>
      <c r="C1721">
        <v>77.419499999999999</v>
      </c>
      <c r="D1721">
        <v>0</v>
      </c>
      <c r="E1721">
        <v>0</v>
      </c>
      <c r="F1721">
        <v>0</v>
      </c>
      <c r="G1721">
        <v>0</v>
      </c>
      <c r="H1721">
        <v>22.580500000000001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J1721">
        <v>0</v>
      </c>
      <c r="AP1721">
        <v>1</v>
      </c>
      <c r="AQ1721">
        <v>1</v>
      </c>
      <c r="AR1721">
        <v>1</v>
      </c>
      <c r="AS1721">
        <v>0</v>
      </c>
      <c r="AT1721">
        <v>0</v>
      </c>
      <c r="AU1721">
        <v>0</v>
      </c>
      <c r="AV1721">
        <v>0</v>
      </c>
      <c r="AW1721">
        <v>65.48356835986857</v>
      </c>
      <c r="AX1721">
        <v>0</v>
      </c>
      <c r="AY1721">
        <v>534.25967146828407</v>
      </c>
      <c r="BA1721">
        <v>1389</v>
      </c>
      <c r="BB1721">
        <v>1566</v>
      </c>
      <c r="BD1721">
        <v>484</v>
      </c>
      <c r="BE1721" t="s">
        <v>529</v>
      </c>
      <c r="BF1721" t="s">
        <v>632</v>
      </c>
    </row>
    <row r="1722" spans="1:58" x14ac:dyDescent="0.45">
      <c r="A1722">
        <v>30278</v>
      </c>
      <c r="B1722">
        <v>1</v>
      </c>
      <c r="C1722">
        <v>75.372200000000007</v>
      </c>
      <c r="D1722">
        <v>0</v>
      </c>
      <c r="E1722">
        <v>0</v>
      </c>
      <c r="F1722">
        <v>0</v>
      </c>
      <c r="G1722">
        <v>0</v>
      </c>
      <c r="H1722">
        <v>22.261700000000001</v>
      </c>
      <c r="I1722">
        <v>0</v>
      </c>
      <c r="J1722">
        <v>0</v>
      </c>
      <c r="K1722">
        <v>0</v>
      </c>
      <c r="L1722">
        <v>0</v>
      </c>
      <c r="M1722">
        <v>2.3660999999999999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J1722">
        <v>0</v>
      </c>
      <c r="AP1722">
        <v>1</v>
      </c>
      <c r="AQ1722">
        <v>1</v>
      </c>
      <c r="AR1722">
        <v>1</v>
      </c>
      <c r="AS1722">
        <v>0</v>
      </c>
      <c r="AT1722">
        <v>0</v>
      </c>
      <c r="AU1722">
        <v>0</v>
      </c>
      <c r="AV1722">
        <v>0</v>
      </c>
      <c r="AW1722">
        <v>64.558918879917101</v>
      </c>
      <c r="AX1722">
        <v>0.78870373740331301</v>
      </c>
      <c r="AY1722">
        <v>549.10754614275629</v>
      </c>
      <c r="BA1722">
        <v>1531</v>
      </c>
      <c r="BB1722">
        <v>1679</v>
      </c>
      <c r="BD1722">
        <v>495</v>
      </c>
      <c r="BE1722" t="s">
        <v>529</v>
      </c>
      <c r="BF1722" t="s">
        <v>632</v>
      </c>
    </row>
    <row r="1723" spans="1:58" x14ac:dyDescent="0.45">
      <c r="A1723">
        <v>30279</v>
      </c>
      <c r="B1723">
        <v>1</v>
      </c>
      <c r="C1723">
        <v>71.446299999999994</v>
      </c>
      <c r="D1723">
        <v>0</v>
      </c>
      <c r="E1723">
        <v>0</v>
      </c>
      <c r="F1723">
        <v>0</v>
      </c>
      <c r="G1723">
        <v>0</v>
      </c>
      <c r="H1723">
        <v>21.650300000000001</v>
      </c>
      <c r="I1723">
        <v>0</v>
      </c>
      <c r="J1723">
        <v>0</v>
      </c>
      <c r="K1723">
        <v>0</v>
      </c>
      <c r="L1723">
        <v>0</v>
      </c>
      <c r="M1723">
        <v>6.9034000000000004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J1723">
        <v>0</v>
      </c>
      <c r="AP1723">
        <v>1</v>
      </c>
      <c r="AQ1723">
        <v>1</v>
      </c>
      <c r="AR1723">
        <v>1</v>
      </c>
      <c r="AS1723">
        <v>0</v>
      </c>
      <c r="AT1723">
        <v>0</v>
      </c>
      <c r="AU1723">
        <v>0</v>
      </c>
      <c r="AV1723">
        <v>1</v>
      </c>
      <c r="AW1723">
        <v>62.785806486379812</v>
      </c>
      <c r="AX1723">
        <v>2.3011259059556539</v>
      </c>
      <c r="AY1723">
        <v>577.57990369426557</v>
      </c>
      <c r="BA1723">
        <v>1574</v>
      </c>
      <c r="BB1723">
        <v>1732</v>
      </c>
      <c r="BD1723">
        <v>513</v>
      </c>
      <c r="BE1723" t="s">
        <v>529</v>
      </c>
      <c r="BF1723" t="s">
        <v>632</v>
      </c>
    </row>
    <row r="1724" spans="1:58" x14ac:dyDescent="0.45">
      <c r="A1724">
        <v>30280</v>
      </c>
      <c r="B1724">
        <v>1</v>
      </c>
      <c r="C1724">
        <v>67.730400000000003</v>
      </c>
      <c r="D1724">
        <v>0</v>
      </c>
      <c r="E1724">
        <v>0</v>
      </c>
      <c r="F1724">
        <v>0</v>
      </c>
      <c r="G1724">
        <v>0</v>
      </c>
      <c r="H1724">
        <v>21.0715</v>
      </c>
      <c r="I1724">
        <v>0</v>
      </c>
      <c r="J1724">
        <v>0</v>
      </c>
      <c r="K1724">
        <v>0</v>
      </c>
      <c r="L1724">
        <v>0</v>
      </c>
      <c r="M1724">
        <v>11.1981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J1724">
        <v>0</v>
      </c>
      <c r="AP1724">
        <v>1</v>
      </c>
      <c r="AQ1724">
        <v>1</v>
      </c>
      <c r="AR1724">
        <v>1</v>
      </c>
      <c r="AS1724">
        <v>0</v>
      </c>
      <c r="AT1724">
        <v>0</v>
      </c>
      <c r="AU1724">
        <v>0</v>
      </c>
      <c r="AV1724">
        <v>1</v>
      </c>
      <c r="AW1724">
        <v>61.107487739283258</v>
      </c>
      <c r="AX1724">
        <v>3.7326913770772947</v>
      </c>
      <c r="AY1724">
        <v>604.53007990808351</v>
      </c>
      <c r="BA1724">
        <v>1700</v>
      </c>
      <c r="BB1724">
        <v>2332</v>
      </c>
      <c r="BD1724">
        <v>558</v>
      </c>
      <c r="BE1724" t="s">
        <v>529</v>
      </c>
      <c r="BF1724" t="s">
        <v>632</v>
      </c>
    </row>
    <row r="1725" spans="1:58" x14ac:dyDescent="0.45">
      <c r="A1725">
        <v>30281</v>
      </c>
      <c r="B1725">
        <v>1</v>
      </c>
      <c r="C1725">
        <v>77.114199999999997</v>
      </c>
      <c r="D1725">
        <v>0</v>
      </c>
      <c r="E1725">
        <v>0</v>
      </c>
      <c r="F1725">
        <v>0</v>
      </c>
      <c r="G1725">
        <v>0</v>
      </c>
      <c r="H1725">
        <v>10.7102</v>
      </c>
      <c r="I1725">
        <v>0</v>
      </c>
      <c r="J1725">
        <v>0</v>
      </c>
      <c r="K1725">
        <v>5.3455000000000004</v>
      </c>
      <c r="L1725">
        <v>0</v>
      </c>
      <c r="M1725">
        <v>6.8300999999999998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J1725">
        <v>0</v>
      </c>
      <c r="AP1725">
        <v>1</v>
      </c>
      <c r="AQ1725">
        <v>0</v>
      </c>
      <c r="AR1725">
        <v>1</v>
      </c>
      <c r="AS1725">
        <v>0</v>
      </c>
      <c r="AT1725">
        <v>1</v>
      </c>
      <c r="AU1725">
        <v>0</v>
      </c>
      <c r="AV1725">
        <v>0</v>
      </c>
      <c r="AW1725">
        <v>32.556427089551853</v>
      </c>
      <c r="AX1725">
        <v>2.2767016890422336</v>
      </c>
      <c r="AY1725">
        <v>745.74873434104495</v>
      </c>
      <c r="BA1725">
        <v>1470</v>
      </c>
      <c r="BB1725">
        <v>1950</v>
      </c>
      <c r="BE1725" t="s">
        <v>530</v>
      </c>
      <c r="BF1725" t="s">
        <v>633</v>
      </c>
    </row>
    <row r="1726" spans="1:58" x14ac:dyDescent="0.45">
      <c r="A1726">
        <v>30282</v>
      </c>
      <c r="B1726">
        <v>1</v>
      </c>
      <c r="C1726">
        <v>75.048500000000004</v>
      </c>
      <c r="D1726">
        <v>0</v>
      </c>
      <c r="E1726">
        <v>0</v>
      </c>
      <c r="F1726">
        <v>0</v>
      </c>
      <c r="G1726">
        <v>0</v>
      </c>
      <c r="H1726">
        <v>12.8131</v>
      </c>
      <c r="I1726">
        <v>0</v>
      </c>
      <c r="J1726">
        <v>0</v>
      </c>
      <c r="K1726">
        <v>5.3292000000000002</v>
      </c>
      <c r="L1726">
        <v>0</v>
      </c>
      <c r="M1726">
        <v>6.8093000000000004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J1726">
        <v>0</v>
      </c>
      <c r="AP1726">
        <v>1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38.650098976366095</v>
      </c>
      <c r="AX1726">
        <v>2.2697563273276886</v>
      </c>
      <c r="AY1726">
        <v>713.27747698636097</v>
      </c>
      <c r="BA1726">
        <v>1600</v>
      </c>
      <c r="BB1726">
        <v>2080</v>
      </c>
      <c r="BE1726" t="s">
        <v>530</v>
      </c>
      <c r="BF1726" t="s">
        <v>633</v>
      </c>
    </row>
    <row r="1727" spans="1:58" x14ac:dyDescent="0.45">
      <c r="A1727">
        <v>30283</v>
      </c>
      <c r="B1727">
        <v>1</v>
      </c>
      <c r="C1727">
        <v>72.995400000000004</v>
      </c>
      <c r="D1727">
        <v>0</v>
      </c>
      <c r="E1727">
        <v>0</v>
      </c>
      <c r="F1727">
        <v>0</v>
      </c>
      <c r="G1727">
        <v>0</v>
      </c>
      <c r="H1727">
        <v>14.9031</v>
      </c>
      <c r="I1727">
        <v>0</v>
      </c>
      <c r="J1727">
        <v>0</v>
      </c>
      <c r="K1727">
        <v>5.3129</v>
      </c>
      <c r="L1727">
        <v>0</v>
      </c>
      <c r="M1727">
        <v>6.7885999999999997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J1727">
        <v>0</v>
      </c>
      <c r="AP1727">
        <v>1</v>
      </c>
      <c r="AQ1727">
        <v>0</v>
      </c>
      <c r="AR1727">
        <v>1</v>
      </c>
      <c r="AS1727">
        <v>0</v>
      </c>
      <c r="AT1727">
        <v>0</v>
      </c>
      <c r="AU1727">
        <v>0</v>
      </c>
      <c r="AV1727">
        <v>0</v>
      </c>
      <c r="AW1727">
        <v>44.706704929186998</v>
      </c>
      <c r="AX1727">
        <v>2.2628532121147016</v>
      </c>
      <c r="AY1727">
        <v>681.00373231436583</v>
      </c>
      <c r="BA1727">
        <v>1880</v>
      </c>
      <c r="BB1727">
        <v>2400</v>
      </c>
      <c r="BE1727" t="s">
        <v>530</v>
      </c>
      <c r="BF1727" t="s">
        <v>633</v>
      </c>
    </row>
  </sheetData>
  <autoFilter ref="A1:BF1727" xr:uid="{92C91345-9CE2-4256-9977-84D8B4ABA20F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97E4-29B0-4D4F-9369-310EC08E40A1}">
  <dimension ref="A1:BC1205"/>
  <sheetViews>
    <sheetView zoomScaleNormal="100" workbookViewId="0">
      <pane ySplit="1" topLeftCell="A2" activePane="bottomLeft" state="frozen"/>
      <selection activeCell="AU1" sqref="AU1"/>
      <selection pane="bottomLeft"/>
    </sheetView>
  </sheetViews>
  <sheetFormatPr defaultRowHeight="14" x14ac:dyDescent="0.45"/>
  <cols>
    <col min="1" max="1" width="3" bestFit="1" customWidth="1"/>
    <col min="2" max="2" width="9.234375" bestFit="1" customWidth="1"/>
    <col min="3" max="3" width="8.46875" bestFit="1" customWidth="1"/>
    <col min="4" max="5" width="6.46875" bestFit="1" customWidth="1"/>
    <col min="6" max="6" width="5.46875" bestFit="1" customWidth="1"/>
    <col min="7" max="7" width="4.05859375" bestFit="1" customWidth="1"/>
    <col min="8" max="8" width="6.46875" bestFit="1" customWidth="1"/>
    <col min="9" max="9" width="3.5859375" bestFit="1" customWidth="1"/>
    <col min="10" max="13" width="6.46875" bestFit="1" customWidth="1"/>
    <col min="14" max="14" width="3.234375" bestFit="1" customWidth="1"/>
    <col min="15" max="15" width="6.46875" bestFit="1" customWidth="1"/>
    <col min="16" max="16" width="3.234375" bestFit="1" customWidth="1"/>
    <col min="17" max="17" width="2.87890625" bestFit="1" customWidth="1"/>
    <col min="18" max="18" width="2.5859375" bestFit="1" customWidth="1"/>
    <col min="19" max="20" width="2.87890625" bestFit="1" customWidth="1"/>
    <col min="21" max="21" width="3.3515625" bestFit="1" customWidth="1"/>
    <col min="22" max="22" width="10.87890625" bestFit="1" customWidth="1"/>
    <col min="23" max="23" width="9.703125" bestFit="1" customWidth="1"/>
    <col min="24" max="24" width="9.5859375" bestFit="1" customWidth="1"/>
    <col min="25" max="25" width="16.3515625" bestFit="1" customWidth="1"/>
    <col min="26" max="26" width="15.87890625" bestFit="1" customWidth="1"/>
    <col min="27" max="27" width="16.5859375" bestFit="1" customWidth="1"/>
    <col min="28" max="28" width="17.87890625" bestFit="1" customWidth="1"/>
    <col min="29" max="29" width="10.234375" bestFit="1" customWidth="1"/>
    <col min="30" max="30" width="12.703125" bestFit="1" customWidth="1"/>
    <col min="31" max="31" width="11.87890625" bestFit="1" customWidth="1"/>
    <col min="32" max="32" width="7.703125" bestFit="1" customWidth="1"/>
    <col min="33" max="33" width="12.05859375" bestFit="1" customWidth="1"/>
    <col min="34" max="34" width="10.234375" bestFit="1" customWidth="1"/>
    <col min="35" max="35" width="12.703125" bestFit="1" customWidth="1"/>
    <col min="36" max="36" width="11.87890625" bestFit="1" customWidth="1"/>
    <col min="37" max="37" width="7.703125" bestFit="1" customWidth="1"/>
    <col min="38" max="38" width="12.05859375" bestFit="1" customWidth="1"/>
    <col min="39" max="39" width="10.05859375" bestFit="1" customWidth="1"/>
    <col min="40" max="40" width="11.87890625" bestFit="1" customWidth="1"/>
    <col min="41" max="41" width="10.5859375" bestFit="1" customWidth="1"/>
    <col min="42" max="42" width="17.87890625" bestFit="1" customWidth="1"/>
    <col min="43" max="43" width="25.234375" bestFit="1" customWidth="1"/>
    <col min="44" max="44" width="13.46875" bestFit="1" customWidth="1"/>
    <col min="45" max="45" width="17.703125" bestFit="1" customWidth="1"/>
    <col min="46" max="46" width="9.46875" bestFit="1" customWidth="1"/>
    <col min="47" max="47" width="12.703125" bestFit="1" customWidth="1"/>
    <col min="48" max="48" width="16.234375" bestFit="1" customWidth="1"/>
    <col min="49" max="49" width="7.46875" bestFit="1" customWidth="1"/>
    <col min="50" max="50" width="9.46875" bestFit="1" customWidth="1"/>
    <col min="51" max="52" width="10.46875" bestFit="1" customWidth="1"/>
    <col min="53" max="53" width="7.46875" bestFit="1" customWidth="1"/>
    <col min="54" max="54" width="7.46875" customWidth="1"/>
  </cols>
  <sheetData>
    <row r="1" spans="1:55" x14ac:dyDescent="0.45">
      <c r="A1" s="1" t="s">
        <v>0</v>
      </c>
      <c r="B1" s="1" t="s">
        <v>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7" t="s">
        <v>640</v>
      </c>
      <c r="W1" s="3" t="s">
        <v>20</v>
      </c>
      <c r="X1" s="3" t="s">
        <v>21</v>
      </c>
      <c r="Y1" s="3" t="s">
        <v>637</v>
      </c>
      <c r="Z1" s="3" t="s">
        <v>636</v>
      </c>
      <c r="AA1" s="3" t="s">
        <v>23</v>
      </c>
      <c r="AB1" s="3" t="s">
        <v>24</v>
      </c>
      <c r="AC1" s="6" t="s">
        <v>25</v>
      </c>
      <c r="AD1" s="6" t="s">
        <v>26</v>
      </c>
      <c r="AE1" s="6" t="s">
        <v>29</v>
      </c>
      <c r="AF1" s="6" t="s">
        <v>30</v>
      </c>
      <c r="AG1" s="6" t="s">
        <v>31</v>
      </c>
      <c r="AH1" s="6" t="s">
        <v>27</v>
      </c>
      <c r="AI1" s="6" t="s">
        <v>28</v>
      </c>
      <c r="AJ1" s="6" t="s">
        <v>32</v>
      </c>
      <c r="AK1" s="6" t="s">
        <v>33</v>
      </c>
      <c r="AL1" s="6" t="s">
        <v>34</v>
      </c>
      <c r="AM1" s="4" t="s">
        <v>641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39</v>
      </c>
      <c r="AS1" s="4" t="s">
        <v>40</v>
      </c>
      <c r="AT1" s="4" t="s">
        <v>358</v>
      </c>
      <c r="AU1" s="4" t="s">
        <v>634</v>
      </c>
      <c r="AV1" s="4" t="s">
        <v>638</v>
      </c>
      <c r="AW1" s="5" t="s">
        <v>41</v>
      </c>
      <c r="AX1" s="5" t="s">
        <v>43</v>
      </c>
      <c r="AY1" s="5" t="s">
        <v>45</v>
      </c>
      <c r="AZ1" s="5" t="s">
        <v>46</v>
      </c>
      <c r="BA1" s="5" t="s">
        <v>218</v>
      </c>
      <c r="BB1" t="s">
        <v>219</v>
      </c>
      <c r="BC1" t="s">
        <v>48</v>
      </c>
    </row>
    <row r="2" spans="1:55" x14ac:dyDescent="0.45">
      <c r="C2">
        <v>99.837000000000003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800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f>L2+0.67*E2+0.44*P2+0.28*K2+0.22*O2+2.9*H2+1.6*F2+1.7*G2-D2</f>
        <v>0</v>
      </c>
      <c r="AU2">
        <f t="shared" ref="AU2:AU65" si="0">D2+J2/6+M2/3+(T2+S2)/10</f>
        <v>0</v>
      </c>
      <c r="AV2">
        <f t="shared" ref="AV2:AV65" si="1">882+2.1*D2-9.5*L2+4.2*M2-6.9*J2-11.8*E2-12.1*F2-15.4*H2+23.3*Q2+123*T2</f>
        <v>882</v>
      </c>
      <c r="AY2">
        <v>500</v>
      </c>
      <c r="BC2" t="s">
        <v>49</v>
      </c>
    </row>
    <row r="3" spans="1:55" x14ac:dyDescent="0.45">
      <c r="C3">
        <v>99.972999999999999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800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f t="shared" ref="AT3:AT66" si="2">L3+0.67*E3+0.44*P3+0.28*K3+0.22*O3+2.9*H3+1.6*F3+1.7*G3-D3</f>
        <v>0</v>
      </c>
      <c r="AU3">
        <f t="shared" si="0"/>
        <v>0</v>
      </c>
      <c r="AV3">
        <f t="shared" si="1"/>
        <v>882</v>
      </c>
      <c r="AY3">
        <v>257</v>
      </c>
      <c r="BC3" t="s">
        <v>49</v>
      </c>
    </row>
    <row r="4" spans="1:55" x14ac:dyDescent="0.45">
      <c r="C4">
        <v>60.72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39.28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850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f t="shared" si="2"/>
        <v>10.998400000000002</v>
      </c>
      <c r="AU4">
        <f t="shared" si="0"/>
        <v>0</v>
      </c>
      <c r="AV4">
        <f t="shared" si="1"/>
        <v>882</v>
      </c>
      <c r="AY4">
        <v>581.4</v>
      </c>
      <c r="AZ4">
        <v>22.32</v>
      </c>
      <c r="BC4" t="s">
        <v>51</v>
      </c>
    </row>
    <row r="5" spans="1:55" x14ac:dyDescent="0.45">
      <c r="C5">
        <v>59.45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40.549999999999997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20</v>
      </c>
      <c r="X5">
        <v>99</v>
      </c>
      <c r="Y5">
        <v>0</v>
      </c>
      <c r="Z5">
        <v>1</v>
      </c>
      <c r="AA5">
        <v>0</v>
      </c>
      <c r="AB5">
        <v>0</v>
      </c>
      <c r="AC5">
        <v>900</v>
      </c>
      <c r="AD5">
        <v>0.5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f t="shared" si="2"/>
        <v>11.354000000000001</v>
      </c>
      <c r="AU5">
        <f t="shared" si="0"/>
        <v>0</v>
      </c>
      <c r="AV5">
        <f t="shared" si="1"/>
        <v>882</v>
      </c>
      <c r="AY5">
        <v>352</v>
      </c>
      <c r="AZ5">
        <v>9.08</v>
      </c>
      <c r="BC5" t="s">
        <v>52</v>
      </c>
    </row>
    <row r="6" spans="1:55" x14ac:dyDescent="0.45">
      <c r="C6">
        <v>59.45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40.549999999999997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20</v>
      </c>
      <c r="X6">
        <v>99</v>
      </c>
      <c r="Y6">
        <v>0</v>
      </c>
      <c r="Z6">
        <v>1</v>
      </c>
      <c r="AA6">
        <v>0</v>
      </c>
      <c r="AB6">
        <v>0</v>
      </c>
      <c r="AC6">
        <v>900</v>
      </c>
      <c r="AD6">
        <v>0.5</v>
      </c>
      <c r="AE6">
        <v>1</v>
      </c>
      <c r="AF6">
        <v>0</v>
      </c>
      <c r="AG6">
        <v>0</v>
      </c>
      <c r="AH6">
        <v>200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f t="shared" si="2"/>
        <v>11.354000000000001</v>
      </c>
      <c r="AU6">
        <f t="shared" si="0"/>
        <v>0</v>
      </c>
      <c r="AV6">
        <f t="shared" si="1"/>
        <v>882</v>
      </c>
      <c r="AY6">
        <v>392</v>
      </c>
      <c r="AZ6">
        <v>8.07</v>
      </c>
      <c r="BC6" t="s">
        <v>52</v>
      </c>
    </row>
    <row r="7" spans="1:55" x14ac:dyDescent="0.45">
      <c r="C7">
        <v>59.45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40.549999999999997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20</v>
      </c>
      <c r="X7">
        <v>99</v>
      </c>
      <c r="Y7">
        <v>0</v>
      </c>
      <c r="Z7">
        <v>1</v>
      </c>
      <c r="AA7">
        <v>0</v>
      </c>
      <c r="AB7">
        <v>0</v>
      </c>
      <c r="AC7">
        <v>900</v>
      </c>
      <c r="AD7">
        <v>0.5</v>
      </c>
      <c r="AE7">
        <v>1</v>
      </c>
      <c r="AF7">
        <v>0</v>
      </c>
      <c r="AG7">
        <v>0</v>
      </c>
      <c r="AH7">
        <v>300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f t="shared" si="2"/>
        <v>11.354000000000001</v>
      </c>
      <c r="AU7">
        <f t="shared" si="0"/>
        <v>0</v>
      </c>
      <c r="AV7">
        <f t="shared" si="1"/>
        <v>882</v>
      </c>
      <c r="AY7">
        <v>506</v>
      </c>
      <c r="AZ7">
        <v>9.58</v>
      </c>
      <c r="BC7" t="s">
        <v>52</v>
      </c>
    </row>
    <row r="8" spans="1:55" x14ac:dyDescent="0.45">
      <c r="C8">
        <v>59.45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40.549999999999997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20</v>
      </c>
      <c r="X8">
        <v>99</v>
      </c>
      <c r="Y8">
        <v>0</v>
      </c>
      <c r="Z8">
        <v>1</v>
      </c>
      <c r="AA8">
        <v>0</v>
      </c>
      <c r="AB8">
        <v>0</v>
      </c>
      <c r="AC8">
        <v>900</v>
      </c>
      <c r="AD8">
        <v>0.5</v>
      </c>
      <c r="AE8">
        <v>1</v>
      </c>
      <c r="AF8">
        <v>0</v>
      </c>
      <c r="AG8">
        <v>0</v>
      </c>
      <c r="AH8">
        <v>400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f t="shared" si="2"/>
        <v>11.354000000000001</v>
      </c>
      <c r="AU8">
        <f t="shared" si="0"/>
        <v>0</v>
      </c>
      <c r="AV8">
        <f t="shared" si="1"/>
        <v>882</v>
      </c>
      <c r="AY8">
        <v>435</v>
      </c>
      <c r="AZ8">
        <v>8.9499999999999993</v>
      </c>
      <c r="BC8" t="s">
        <v>52</v>
      </c>
    </row>
    <row r="9" spans="1:55" x14ac:dyDescent="0.45">
      <c r="C9">
        <v>59.45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40.549999999999997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20</v>
      </c>
      <c r="X9">
        <v>99</v>
      </c>
      <c r="Y9">
        <v>0</v>
      </c>
      <c r="Z9">
        <v>1</v>
      </c>
      <c r="AA9">
        <v>0</v>
      </c>
      <c r="AB9">
        <v>0</v>
      </c>
      <c r="AC9">
        <v>900</v>
      </c>
      <c r="AD9">
        <v>0.5</v>
      </c>
      <c r="AE9">
        <v>1</v>
      </c>
      <c r="AF9">
        <v>0</v>
      </c>
      <c r="AG9">
        <v>0</v>
      </c>
      <c r="AH9">
        <v>600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f t="shared" si="2"/>
        <v>11.354000000000001</v>
      </c>
      <c r="AU9">
        <f t="shared" si="0"/>
        <v>0</v>
      </c>
      <c r="AV9">
        <f t="shared" si="1"/>
        <v>882</v>
      </c>
      <c r="AY9">
        <v>370</v>
      </c>
      <c r="AZ9">
        <v>10.02</v>
      </c>
      <c r="BC9" t="s">
        <v>52</v>
      </c>
    </row>
    <row r="10" spans="1:55" x14ac:dyDescent="0.45">
      <c r="C10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20</v>
      </c>
      <c r="X10">
        <v>85</v>
      </c>
      <c r="Y10">
        <v>0</v>
      </c>
      <c r="Z10">
        <v>1</v>
      </c>
      <c r="AA10">
        <v>0</v>
      </c>
      <c r="AB10">
        <v>0</v>
      </c>
      <c r="AC10">
        <v>800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f t="shared" si="2"/>
        <v>10.64</v>
      </c>
      <c r="AU10">
        <f t="shared" si="0"/>
        <v>0</v>
      </c>
      <c r="AV10">
        <f t="shared" si="1"/>
        <v>882</v>
      </c>
      <c r="AY10">
        <v>411</v>
      </c>
      <c r="AZ10">
        <v>36.700000000000003</v>
      </c>
      <c r="BC10" t="s">
        <v>53</v>
      </c>
    </row>
    <row r="11" spans="1:55" x14ac:dyDescent="0.45">
      <c r="C11">
        <v>67.33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32.67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20</v>
      </c>
      <c r="X11">
        <v>90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f t="shared" si="2"/>
        <v>9.1476000000000006</v>
      </c>
      <c r="AU11">
        <f t="shared" si="0"/>
        <v>0</v>
      </c>
      <c r="AV11">
        <f t="shared" si="1"/>
        <v>882</v>
      </c>
      <c r="AY11">
        <v>779</v>
      </c>
      <c r="AZ11">
        <v>6.2</v>
      </c>
      <c r="BC11" t="s">
        <v>54</v>
      </c>
    </row>
    <row r="12" spans="1:55" x14ac:dyDescent="0.45">
      <c r="C12">
        <v>67.33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32.67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20</v>
      </c>
      <c r="X12">
        <v>90</v>
      </c>
      <c r="Y12">
        <v>0</v>
      </c>
      <c r="Z12">
        <v>1</v>
      </c>
      <c r="AA12">
        <v>0</v>
      </c>
      <c r="AB12">
        <v>0</v>
      </c>
      <c r="AC12">
        <v>750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f t="shared" si="2"/>
        <v>9.1476000000000006</v>
      </c>
      <c r="AU12">
        <f t="shared" si="0"/>
        <v>0</v>
      </c>
      <c r="AV12">
        <f t="shared" si="1"/>
        <v>882</v>
      </c>
      <c r="AY12">
        <v>503</v>
      </c>
      <c r="AZ12">
        <v>25.8</v>
      </c>
      <c r="BC12" t="s">
        <v>54</v>
      </c>
    </row>
    <row r="13" spans="1:55" x14ac:dyDescent="0.45">
      <c r="C13">
        <v>67.33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32.67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20</v>
      </c>
      <c r="X13">
        <v>90</v>
      </c>
      <c r="Y13">
        <v>0</v>
      </c>
      <c r="Z13">
        <v>1</v>
      </c>
      <c r="AA13">
        <v>0</v>
      </c>
      <c r="AB13">
        <v>0</v>
      </c>
      <c r="AC13">
        <v>850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f t="shared" si="2"/>
        <v>9.1476000000000006</v>
      </c>
      <c r="AU13">
        <f t="shared" si="0"/>
        <v>0</v>
      </c>
      <c r="AV13">
        <f t="shared" si="1"/>
        <v>882</v>
      </c>
      <c r="AY13">
        <v>608</v>
      </c>
      <c r="AZ13">
        <v>24.9</v>
      </c>
      <c r="BC13" t="s">
        <v>54</v>
      </c>
    </row>
    <row r="14" spans="1:55" x14ac:dyDescent="0.45">
      <c r="C14">
        <v>67.33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32.67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20</v>
      </c>
      <c r="X14">
        <v>90</v>
      </c>
      <c r="Y14">
        <v>0</v>
      </c>
      <c r="Z14">
        <v>1</v>
      </c>
      <c r="AA14">
        <v>0</v>
      </c>
      <c r="AB14">
        <v>0</v>
      </c>
      <c r="AC14">
        <v>950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f t="shared" si="2"/>
        <v>9.1476000000000006</v>
      </c>
      <c r="AU14">
        <f t="shared" si="0"/>
        <v>0</v>
      </c>
      <c r="AV14">
        <f t="shared" si="1"/>
        <v>882</v>
      </c>
      <c r="AY14">
        <v>623</v>
      </c>
      <c r="AZ14">
        <v>16.899999999999999</v>
      </c>
      <c r="BC14" t="s">
        <v>54</v>
      </c>
    </row>
    <row r="15" spans="1:55" x14ac:dyDescent="0.45">
      <c r="C15">
        <v>54.59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45.41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20</v>
      </c>
      <c r="X15">
        <v>90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f t="shared" si="2"/>
        <v>12.7148</v>
      </c>
      <c r="AU15">
        <f t="shared" si="0"/>
        <v>0</v>
      </c>
      <c r="AV15">
        <f t="shared" si="1"/>
        <v>882</v>
      </c>
      <c r="AY15">
        <v>561</v>
      </c>
      <c r="AZ15">
        <v>3.5</v>
      </c>
      <c r="BC15" t="s">
        <v>54</v>
      </c>
    </row>
    <row r="16" spans="1:55" x14ac:dyDescent="0.45">
      <c r="C16">
        <v>54.59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45.41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20</v>
      </c>
      <c r="X16">
        <v>90</v>
      </c>
      <c r="Y16">
        <v>0</v>
      </c>
      <c r="Z16">
        <v>1</v>
      </c>
      <c r="AA16">
        <v>0</v>
      </c>
      <c r="AB16">
        <v>0</v>
      </c>
      <c r="AC16">
        <v>750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f t="shared" si="2"/>
        <v>12.7148</v>
      </c>
      <c r="AU16">
        <f t="shared" si="0"/>
        <v>0</v>
      </c>
      <c r="AV16">
        <f t="shared" si="1"/>
        <v>882</v>
      </c>
      <c r="AY16">
        <v>449</v>
      </c>
      <c r="AZ16">
        <v>24</v>
      </c>
      <c r="BC16" t="s">
        <v>54</v>
      </c>
    </row>
    <row r="17" spans="3:55" x14ac:dyDescent="0.45">
      <c r="C17">
        <v>54.59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45.41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20</v>
      </c>
      <c r="X17">
        <v>90</v>
      </c>
      <c r="Y17">
        <v>0</v>
      </c>
      <c r="Z17">
        <v>1</v>
      </c>
      <c r="AA17">
        <v>0</v>
      </c>
      <c r="AB17">
        <v>0</v>
      </c>
      <c r="AC17">
        <v>850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f t="shared" si="2"/>
        <v>12.7148</v>
      </c>
      <c r="AU17">
        <f t="shared" si="0"/>
        <v>0</v>
      </c>
      <c r="AV17">
        <f t="shared" si="1"/>
        <v>882</v>
      </c>
      <c r="AY17">
        <v>493</v>
      </c>
      <c r="AZ17">
        <v>21.1</v>
      </c>
      <c r="BC17" t="s">
        <v>54</v>
      </c>
    </row>
    <row r="18" spans="3:55" x14ac:dyDescent="0.45">
      <c r="C18">
        <v>54.59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45.41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20</v>
      </c>
      <c r="X18">
        <v>90</v>
      </c>
      <c r="Y18">
        <v>0</v>
      </c>
      <c r="Z18">
        <v>1</v>
      </c>
      <c r="AA18">
        <v>0</v>
      </c>
      <c r="AB18">
        <v>0</v>
      </c>
      <c r="AC18">
        <v>950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f t="shared" si="2"/>
        <v>12.7148</v>
      </c>
      <c r="AU18">
        <f t="shared" si="0"/>
        <v>0</v>
      </c>
      <c r="AV18">
        <f t="shared" si="1"/>
        <v>882</v>
      </c>
      <c r="AY18">
        <v>587</v>
      </c>
      <c r="AZ18">
        <v>17.100000000000001</v>
      </c>
      <c r="BC18" t="s">
        <v>54</v>
      </c>
    </row>
    <row r="19" spans="3:55" x14ac:dyDescent="0.45">
      <c r="C19">
        <v>87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f t="shared" si="2"/>
        <v>3.6400000000000006</v>
      </c>
      <c r="AU19">
        <f t="shared" si="0"/>
        <v>0</v>
      </c>
      <c r="AV19">
        <f t="shared" si="1"/>
        <v>882</v>
      </c>
      <c r="AX19">
        <v>672.97</v>
      </c>
      <c r="AY19">
        <v>799.98</v>
      </c>
      <c r="AZ19">
        <v>5.1100000000000003</v>
      </c>
      <c r="BC19" t="s">
        <v>55</v>
      </c>
    </row>
    <row r="20" spans="3:55" x14ac:dyDescent="0.45">
      <c r="C20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f t="shared" si="2"/>
        <v>7.8400000000000007</v>
      </c>
      <c r="AU20">
        <f t="shared" si="0"/>
        <v>0</v>
      </c>
      <c r="AV20">
        <f t="shared" si="1"/>
        <v>882</v>
      </c>
      <c r="AX20">
        <v>616.5</v>
      </c>
      <c r="AY20">
        <v>778.33</v>
      </c>
      <c r="AZ20">
        <v>3.03</v>
      </c>
      <c r="BC20" t="s">
        <v>55</v>
      </c>
    </row>
    <row r="21" spans="3:55" x14ac:dyDescent="0.45">
      <c r="C21">
        <v>85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20</v>
      </c>
      <c r="X21">
        <v>85</v>
      </c>
      <c r="Y21">
        <v>0</v>
      </c>
      <c r="Z21">
        <v>1</v>
      </c>
      <c r="AA21">
        <v>0</v>
      </c>
      <c r="AB21">
        <v>0</v>
      </c>
      <c r="AC21">
        <v>900</v>
      </c>
      <c r="AD21">
        <v>0.5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f t="shared" si="2"/>
        <v>4.2</v>
      </c>
      <c r="AU21">
        <f t="shared" si="0"/>
        <v>0</v>
      </c>
      <c r="AV21">
        <f t="shared" si="1"/>
        <v>882</v>
      </c>
      <c r="AW21">
        <v>56</v>
      </c>
      <c r="AX21">
        <v>462</v>
      </c>
      <c r="AY21">
        <v>648</v>
      </c>
      <c r="AZ21">
        <v>16</v>
      </c>
      <c r="BA21">
        <v>241</v>
      </c>
      <c r="BC21" t="s">
        <v>56</v>
      </c>
    </row>
    <row r="22" spans="3:55" x14ac:dyDescent="0.45">
      <c r="C22">
        <v>68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20</v>
      </c>
      <c r="X22">
        <v>85</v>
      </c>
      <c r="Y22">
        <v>0</v>
      </c>
      <c r="Z22">
        <v>1</v>
      </c>
      <c r="AA22">
        <v>0</v>
      </c>
      <c r="AB22">
        <v>0</v>
      </c>
      <c r="AC22">
        <v>900</v>
      </c>
      <c r="AD22">
        <v>0.5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f t="shared" si="2"/>
        <v>8.9600000000000009</v>
      </c>
      <c r="AU22">
        <f t="shared" si="0"/>
        <v>0</v>
      </c>
      <c r="AV22">
        <f t="shared" si="1"/>
        <v>882</v>
      </c>
      <c r="AW22">
        <v>65</v>
      </c>
      <c r="AX22">
        <v>325</v>
      </c>
      <c r="AY22">
        <v>550</v>
      </c>
      <c r="AZ22">
        <v>22</v>
      </c>
      <c r="BA22">
        <v>158</v>
      </c>
      <c r="BC22" t="s">
        <v>57</v>
      </c>
    </row>
    <row r="23" spans="3:55" x14ac:dyDescent="0.45">
      <c r="C23">
        <v>62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20</v>
      </c>
      <c r="X23">
        <v>85</v>
      </c>
      <c r="Y23">
        <v>0</v>
      </c>
      <c r="Z23">
        <v>1</v>
      </c>
      <c r="AA23">
        <v>0</v>
      </c>
      <c r="AB23">
        <v>0</v>
      </c>
      <c r="AC23">
        <v>900</v>
      </c>
      <c r="AD23">
        <v>0.5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f t="shared" si="2"/>
        <v>10.64</v>
      </c>
      <c r="AU23">
        <f t="shared" si="0"/>
        <v>0</v>
      </c>
      <c r="AV23">
        <f t="shared" si="1"/>
        <v>882</v>
      </c>
      <c r="AW23">
        <v>60</v>
      </c>
      <c r="AX23">
        <v>220</v>
      </c>
      <c r="AY23">
        <v>479</v>
      </c>
      <c r="AZ23">
        <v>41</v>
      </c>
      <c r="BA23">
        <v>167</v>
      </c>
      <c r="BC23" t="s">
        <v>58</v>
      </c>
    </row>
    <row r="24" spans="3:55" x14ac:dyDescent="0.45">
      <c r="C24">
        <v>81.84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18.16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f t="shared" si="2"/>
        <v>5.0848000000000004</v>
      </c>
      <c r="AU24">
        <f t="shared" si="0"/>
        <v>0</v>
      </c>
      <c r="AV24">
        <f t="shared" si="1"/>
        <v>882</v>
      </c>
      <c r="AW24">
        <v>79</v>
      </c>
      <c r="AX24">
        <v>348</v>
      </c>
      <c r="BB24" t="s">
        <v>335</v>
      </c>
      <c r="BC24" t="s">
        <v>60</v>
      </c>
    </row>
    <row r="25" spans="3:55" x14ac:dyDescent="0.45">
      <c r="C25">
        <v>76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f t="shared" si="2"/>
        <v>6.7200000000000006</v>
      </c>
      <c r="AU25">
        <f t="shared" si="0"/>
        <v>0</v>
      </c>
      <c r="AV25">
        <f t="shared" si="1"/>
        <v>882</v>
      </c>
      <c r="AW25">
        <v>56</v>
      </c>
      <c r="AX25">
        <v>203</v>
      </c>
      <c r="BB25" t="s">
        <v>336</v>
      </c>
      <c r="BC25" t="s">
        <v>60</v>
      </c>
    </row>
    <row r="26" spans="3:55" x14ac:dyDescent="0.45">
      <c r="C26">
        <v>76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f t="shared" si="2"/>
        <v>6.7200000000000006</v>
      </c>
      <c r="AU26">
        <f t="shared" si="0"/>
        <v>0</v>
      </c>
      <c r="AV26">
        <f t="shared" si="1"/>
        <v>882</v>
      </c>
      <c r="AW26">
        <v>58</v>
      </c>
      <c r="AX26">
        <v>301</v>
      </c>
      <c r="BB26" t="s">
        <v>336</v>
      </c>
      <c r="BC26" t="s">
        <v>60</v>
      </c>
    </row>
    <row r="27" spans="3:55" x14ac:dyDescent="0.45">
      <c r="C27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f t="shared" si="2"/>
        <v>6.7200000000000006</v>
      </c>
      <c r="AU27">
        <f t="shared" si="0"/>
        <v>0</v>
      </c>
      <c r="AV27">
        <f t="shared" si="1"/>
        <v>882</v>
      </c>
      <c r="AW27">
        <v>62</v>
      </c>
      <c r="AX27">
        <v>575</v>
      </c>
      <c r="BB27" t="s">
        <v>336</v>
      </c>
      <c r="BC27" t="s">
        <v>60</v>
      </c>
    </row>
    <row r="28" spans="3:55" x14ac:dyDescent="0.45">
      <c r="C28">
        <v>76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f t="shared" si="2"/>
        <v>6.7200000000000006</v>
      </c>
      <c r="AU28">
        <f t="shared" si="0"/>
        <v>0</v>
      </c>
      <c r="AV28">
        <f t="shared" si="1"/>
        <v>882</v>
      </c>
      <c r="AW28">
        <v>60</v>
      </c>
      <c r="AX28">
        <v>300</v>
      </c>
      <c r="BB28" t="s">
        <v>336</v>
      </c>
      <c r="BC28" t="s">
        <v>60</v>
      </c>
    </row>
    <row r="29" spans="3:55" x14ac:dyDescent="0.45">
      <c r="C29">
        <v>91.67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8.33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f t="shared" si="2"/>
        <v>2.3324000000000003</v>
      </c>
      <c r="AU29">
        <f t="shared" si="0"/>
        <v>0</v>
      </c>
      <c r="AV29">
        <f t="shared" si="1"/>
        <v>882</v>
      </c>
      <c r="AW29">
        <v>96</v>
      </c>
      <c r="AX29">
        <v>558</v>
      </c>
      <c r="BB29" t="s">
        <v>336</v>
      </c>
      <c r="BC29" t="s">
        <v>60</v>
      </c>
    </row>
    <row r="30" spans="3:55" x14ac:dyDescent="0.45">
      <c r="C30">
        <v>91.67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8.33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f t="shared" si="2"/>
        <v>2.3324000000000003</v>
      </c>
      <c r="AU30">
        <f t="shared" si="0"/>
        <v>0</v>
      </c>
      <c r="AV30">
        <f t="shared" si="1"/>
        <v>882</v>
      </c>
      <c r="AW30">
        <v>103</v>
      </c>
      <c r="AX30">
        <v>744</v>
      </c>
      <c r="BB30" t="s">
        <v>337</v>
      </c>
      <c r="BC30" t="s">
        <v>60</v>
      </c>
    </row>
    <row r="31" spans="3:55" x14ac:dyDescent="0.45">
      <c r="C31">
        <v>91.67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8.33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f t="shared" si="2"/>
        <v>2.3324000000000003</v>
      </c>
      <c r="AU31">
        <f t="shared" si="0"/>
        <v>0</v>
      </c>
      <c r="AV31">
        <f t="shared" si="1"/>
        <v>882</v>
      </c>
      <c r="AW31">
        <v>102</v>
      </c>
      <c r="AX31">
        <v>962</v>
      </c>
      <c r="BB31" t="s">
        <v>338</v>
      </c>
      <c r="BC31" t="s">
        <v>60</v>
      </c>
    </row>
    <row r="32" spans="3:55" x14ac:dyDescent="0.45">
      <c r="C32">
        <v>90.149999999999991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9.85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f t="shared" si="2"/>
        <v>2.758</v>
      </c>
      <c r="AU32">
        <f t="shared" si="0"/>
        <v>0</v>
      </c>
      <c r="AV32">
        <f t="shared" si="1"/>
        <v>882</v>
      </c>
      <c r="AW32">
        <v>89</v>
      </c>
      <c r="AX32">
        <v>628</v>
      </c>
      <c r="BB32" t="s">
        <v>338</v>
      </c>
      <c r="BC32" t="s">
        <v>60</v>
      </c>
    </row>
    <row r="33" spans="3:55" x14ac:dyDescent="0.45">
      <c r="C33">
        <v>90.149999999999991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9.85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f t="shared" si="2"/>
        <v>2.758</v>
      </c>
      <c r="AU33">
        <f t="shared" si="0"/>
        <v>0</v>
      </c>
      <c r="AV33">
        <f t="shared" si="1"/>
        <v>882</v>
      </c>
      <c r="AW33">
        <v>91</v>
      </c>
      <c r="AX33">
        <v>822</v>
      </c>
      <c r="BB33" t="s">
        <v>338</v>
      </c>
      <c r="BC33" t="s">
        <v>60</v>
      </c>
    </row>
    <row r="34" spans="3:55" x14ac:dyDescent="0.45">
      <c r="C34">
        <v>90.149999999999991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9.85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f t="shared" si="2"/>
        <v>2.758</v>
      </c>
      <c r="AU34">
        <f t="shared" si="0"/>
        <v>0</v>
      </c>
      <c r="AV34">
        <f t="shared" si="1"/>
        <v>882</v>
      </c>
      <c r="AW34">
        <v>92</v>
      </c>
      <c r="AX34">
        <v>893</v>
      </c>
      <c r="BB34" t="s">
        <v>338</v>
      </c>
      <c r="BC34" t="s">
        <v>60</v>
      </c>
    </row>
    <row r="35" spans="3:55" x14ac:dyDescent="0.45">
      <c r="C35">
        <v>88.59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11.41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f t="shared" si="2"/>
        <v>3.1948000000000003</v>
      </c>
      <c r="AU35">
        <f t="shared" si="0"/>
        <v>0</v>
      </c>
      <c r="AV35">
        <f t="shared" si="1"/>
        <v>882</v>
      </c>
      <c r="AW35">
        <v>89</v>
      </c>
      <c r="AX35">
        <v>655</v>
      </c>
      <c r="BB35" t="s">
        <v>338</v>
      </c>
      <c r="BC35" t="s">
        <v>60</v>
      </c>
    </row>
    <row r="36" spans="3:55" x14ac:dyDescent="0.45">
      <c r="C36">
        <v>88.59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11.41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f t="shared" si="2"/>
        <v>3.1948000000000003</v>
      </c>
      <c r="AU36">
        <f t="shared" si="0"/>
        <v>0</v>
      </c>
      <c r="AV36">
        <f t="shared" si="1"/>
        <v>882</v>
      </c>
      <c r="AW36">
        <v>87</v>
      </c>
      <c r="AX36">
        <v>818</v>
      </c>
      <c r="BB36" t="s">
        <v>338</v>
      </c>
      <c r="BC36" t="s">
        <v>60</v>
      </c>
    </row>
    <row r="37" spans="3:55" x14ac:dyDescent="0.45">
      <c r="C37">
        <v>88.59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11.41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f t="shared" si="2"/>
        <v>3.1948000000000003</v>
      </c>
      <c r="AU37">
        <f t="shared" si="0"/>
        <v>0</v>
      </c>
      <c r="AV37">
        <f t="shared" si="1"/>
        <v>882</v>
      </c>
      <c r="AW37">
        <v>94</v>
      </c>
      <c r="AX37">
        <v>906</v>
      </c>
      <c r="BB37" t="s">
        <v>338</v>
      </c>
      <c r="BC37" t="s">
        <v>60</v>
      </c>
    </row>
    <row r="38" spans="3:55" x14ac:dyDescent="0.45">
      <c r="C38">
        <v>86.99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13.01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f t="shared" si="2"/>
        <v>3.6428000000000003</v>
      </c>
      <c r="AU38">
        <f t="shared" si="0"/>
        <v>0</v>
      </c>
      <c r="AV38">
        <f t="shared" si="1"/>
        <v>882</v>
      </c>
      <c r="AW38">
        <v>89</v>
      </c>
      <c r="AX38">
        <v>734</v>
      </c>
      <c r="BB38" t="s">
        <v>338</v>
      </c>
      <c r="BC38" t="s">
        <v>60</v>
      </c>
    </row>
    <row r="39" spans="3:55" x14ac:dyDescent="0.45">
      <c r="C39">
        <v>86.99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13.01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f t="shared" si="2"/>
        <v>3.6428000000000003</v>
      </c>
      <c r="AU39">
        <f t="shared" si="0"/>
        <v>0</v>
      </c>
      <c r="AV39">
        <f t="shared" si="1"/>
        <v>882</v>
      </c>
      <c r="AW39">
        <v>99</v>
      </c>
      <c r="AX39">
        <v>854</v>
      </c>
      <c r="BB39" t="s">
        <v>220</v>
      </c>
      <c r="BC39" t="s">
        <v>60</v>
      </c>
    </row>
    <row r="40" spans="3:55" x14ac:dyDescent="0.45">
      <c r="C40">
        <v>86.99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13.01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f t="shared" si="2"/>
        <v>3.6428000000000003</v>
      </c>
      <c r="AU40">
        <f t="shared" si="0"/>
        <v>0</v>
      </c>
      <c r="AV40">
        <f t="shared" si="1"/>
        <v>882</v>
      </c>
      <c r="AW40">
        <v>100</v>
      </c>
      <c r="AX40">
        <v>930</v>
      </c>
      <c r="BB40" t="s">
        <v>221</v>
      </c>
      <c r="BC40" t="s">
        <v>60</v>
      </c>
    </row>
    <row r="41" spans="3:55" x14ac:dyDescent="0.45">
      <c r="C41">
        <v>78.28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21.72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f t="shared" si="2"/>
        <v>6.0815999999999999</v>
      </c>
      <c r="AU41">
        <f t="shared" si="0"/>
        <v>0</v>
      </c>
      <c r="AV41">
        <f t="shared" si="1"/>
        <v>882</v>
      </c>
      <c r="AW41">
        <v>73.900000000000006</v>
      </c>
      <c r="AX41">
        <v>289</v>
      </c>
      <c r="BB41" t="s">
        <v>222</v>
      </c>
      <c r="BC41" t="s">
        <v>60</v>
      </c>
    </row>
    <row r="42" spans="3:55" x14ac:dyDescent="0.45">
      <c r="C42">
        <v>78.28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21.72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f t="shared" si="2"/>
        <v>6.0815999999999999</v>
      </c>
      <c r="AU42">
        <f t="shared" si="0"/>
        <v>0</v>
      </c>
      <c r="AV42">
        <f t="shared" si="1"/>
        <v>882</v>
      </c>
      <c r="AW42">
        <v>85</v>
      </c>
      <c r="AX42">
        <v>338</v>
      </c>
      <c r="BB42" t="s">
        <v>223</v>
      </c>
      <c r="BC42" t="s">
        <v>60</v>
      </c>
    </row>
    <row r="43" spans="3:55" x14ac:dyDescent="0.45">
      <c r="C43">
        <v>78.28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21.72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f t="shared" si="2"/>
        <v>6.0815999999999999</v>
      </c>
      <c r="AU43">
        <f t="shared" si="0"/>
        <v>0</v>
      </c>
      <c r="AV43">
        <f t="shared" si="1"/>
        <v>882</v>
      </c>
      <c r="AW43">
        <v>72</v>
      </c>
      <c r="AX43">
        <v>382</v>
      </c>
      <c r="BB43" t="s">
        <v>224</v>
      </c>
      <c r="BC43" t="s">
        <v>60</v>
      </c>
    </row>
    <row r="44" spans="3:55" x14ac:dyDescent="0.45">
      <c r="C44">
        <v>85.34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14.66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f t="shared" si="2"/>
        <v>4.1048</v>
      </c>
      <c r="AU44">
        <f t="shared" si="0"/>
        <v>0</v>
      </c>
      <c r="AV44">
        <f t="shared" si="1"/>
        <v>882</v>
      </c>
      <c r="AW44">
        <v>64</v>
      </c>
      <c r="AX44">
        <v>456</v>
      </c>
      <c r="BC44" t="s">
        <v>60</v>
      </c>
    </row>
    <row r="45" spans="3:55" x14ac:dyDescent="0.45">
      <c r="C45">
        <v>81.910000000000011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18.09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f t="shared" si="2"/>
        <v>5.0652000000000008</v>
      </c>
      <c r="AU45">
        <f t="shared" si="0"/>
        <v>0</v>
      </c>
      <c r="AV45">
        <f t="shared" si="1"/>
        <v>882</v>
      </c>
      <c r="AW45">
        <v>79</v>
      </c>
      <c r="AX45">
        <v>327</v>
      </c>
      <c r="BC45" t="s">
        <v>60</v>
      </c>
    </row>
    <row r="46" spans="3:55" x14ac:dyDescent="0.45">
      <c r="C46">
        <v>78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f t="shared" si="2"/>
        <v>6.16</v>
      </c>
      <c r="AU46">
        <f t="shared" si="0"/>
        <v>0</v>
      </c>
      <c r="AV46">
        <f t="shared" si="1"/>
        <v>882</v>
      </c>
      <c r="AW46">
        <v>73</v>
      </c>
      <c r="AX46">
        <v>405</v>
      </c>
      <c r="BC46" t="s">
        <v>60</v>
      </c>
    </row>
    <row r="47" spans="3:55" x14ac:dyDescent="0.45">
      <c r="C47">
        <v>74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f t="shared" si="2"/>
        <v>7.2800000000000011</v>
      </c>
      <c r="AU47">
        <f t="shared" si="0"/>
        <v>0</v>
      </c>
      <c r="AV47">
        <f t="shared" si="1"/>
        <v>882</v>
      </c>
      <c r="AW47">
        <v>50</v>
      </c>
      <c r="AX47">
        <v>290</v>
      </c>
      <c r="BC47" t="s">
        <v>60</v>
      </c>
    </row>
    <row r="48" spans="3:55" x14ac:dyDescent="0.45">
      <c r="C48">
        <v>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f t="shared" si="2"/>
        <v>7.2800000000000011</v>
      </c>
      <c r="AU48">
        <f t="shared" si="0"/>
        <v>0</v>
      </c>
      <c r="AV48">
        <f t="shared" si="1"/>
        <v>882</v>
      </c>
      <c r="AW48">
        <v>75</v>
      </c>
      <c r="AX48">
        <v>447</v>
      </c>
      <c r="BC48" t="s">
        <v>60</v>
      </c>
    </row>
    <row r="49" spans="3:49" x14ac:dyDescent="0.45">
      <c r="C49">
        <v>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f t="shared" si="2"/>
        <v>6.7200000000000006</v>
      </c>
      <c r="AU49">
        <f t="shared" si="0"/>
        <v>0</v>
      </c>
      <c r="AV49">
        <f t="shared" si="1"/>
        <v>882</v>
      </c>
      <c r="AW49">
        <v>66.7</v>
      </c>
    </row>
    <row r="50" spans="3:49" x14ac:dyDescent="0.45">
      <c r="C50">
        <v>92.85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7.15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f t="shared" si="2"/>
        <v>2.0020000000000002</v>
      </c>
      <c r="AU50">
        <f t="shared" si="0"/>
        <v>0</v>
      </c>
      <c r="AV50">
        <f t="shared" si="1"/>
        <v>882</v>
      </c>
      <c r="AW50">
        <v>81.25</v>
      </c>
    </row>
    <row r="51" spans="3:49" x14ac:dyDescent="0.45">
      <c r="C51">
        <v>83.31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16.690000000000001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f t="shared" si="2"/>
        <v>4.6732000000000005</v>
      </c>
      <c r="AU51">
        <f t="shared" si="0"/>
        <v>0</v>
      </c>
      <c r="AV51">
        <f t="shared" si="1"/>
        <v>882</v>
      </c>
      <c r="AW51">
        <v>80.989999999999995</v>
      </c>
    </row>
    <row r="52" spans="3:49" x14ac:dyDescent="0.45">
      <c r="C52">
        <v>90.9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9.1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f t="shared" si="2"/>
        <v>2.548</v>
      </c>
      <c r="AU52">
        <f t="shared" si="0"/>
        <v>0</v>
      </c>
      <c r="AV52">
        <f t="shared" si="1"/>
        <v>882</v>
      </c>
      <c r="AW52">
        <v>92.7</v>
      </c>
    </row>
    <row r="53" spans="3:49" x14ac:dyDescent="0.45">
      <c r="C53">
        <v>90.8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9.1999999999999993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f t="shared" si="2"/>
        <v>2.5760000000000001</v>
      </c>
      <c r="AU53">
        <f t="shared" si="0"/>
        <v>0</v>
      </c>
      <c r="AV53">
        <f t="shared" si="1"/>
        <v>882</v>
      </c>
      <c r="AW53">
        <v>93.11</v>
      </c>
    </row>
    <row r="54" spans="3:49" x14ac:dyDescent="0.45">
      <c r="C54">
        <v>82.65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17.350000000000001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f t="shared" si="2"/>
        <v>4.8580000000000005</v>
      </c>
      <c r="AU54">
        <f t="shared" si="0"/>
        <v>0</v>
      </c>
      <c r="AV54">
        <f t="shared" si="1"/>
        <v>882</v>
      </c>
      <c r="AW54">
        <v>98.88</v>
      </c>
    </row>
    <row r="55" spans="3:49" x14ac:dyDescent="0.45">
      <c r="C55">
        <v>72.5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27.5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f t="shared" si="2"/>
        <v>7.7000000000000011</v>
      </c>
      <c r="AU55">
        <f t="shared" si="0"/>
        <v>0</v>
      </c>
      <c r="AV55">
        <f t="shared" si="1"/>
        <v>882</v>
      </c>
      <c r="AW55">
        <v>77.31</v>
      </c>
    </row>
    <row r="56" spans="3:49" x14ac:dyDescent="0.45">
      <c r="C56">
        <v>71.349999999999994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28.65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f t="shared" si="2"/>
        <v>8.0220000000000002</v>
      </c>
      <c r="AU56">
        <f t="shared" si="0"/>
        <v>0</v>
      </c>
      <c r="AV56">
        <f t="shared" si="1"/>
        <v>882</v>
      </c>
      <c r="AW56">
        <v>95.22</v>
      </c>
    </row>
    <row r="57" spans="3:49" x14ac:dyDescent="0.45">
      <c r="C57">
        <v>98.7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f t="shared" si="2"/>
        <v>0.36400000000000005</v>
      </c>
      <c r="AU57">
        <f t="shared" si="0"/>
        <v>0</v>
      </c>
      <c r="AV57">
        <f t="shared" si="1"/>
        <v>882</v>
      </c>
      <c r="AW57">
        <v>112.5</v>
      </c>
    </row>
    <row r="58" spans="3:49" x14ac:dyDescent="0.45">
      <c r="C58">
        <v>97.9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f t="shared" si="2"/>
        <v>0.58800000000000008</v>
      </c>
      <c r="AU58">
        <f t="shared" si="0"/>
        <v>0</v>
      </c>
      <c r="AV58">
        <f t="shared" si="1"/>
        <v>882</v>
      </c>
      <c r="AW58">
        <v>108</v>
      </c>
    </row>
    <row r="59" spans="3:49" x14ac:dyDescent="0.45">
      <c r="C59">
        <v>94.59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5.41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f t="shared" si="2"/>
        <v>1.5148000000000001</v>
      </c>
      <c r="AU59">
        <f t="shared" si="0"/>
        <v>0</v>
      </c>
      <c r="AV59">
        <f t="shared" si="1"/>
        <v>882</v>
      </c>
      <c r="AW59">
        <v>78.5</v>
      </c>
    </row>
    <row r="60" spans="3:49" x14ac:dyDescent="0.45">
      <c r="C60">
        <v>91.67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8.33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f t="shared" si="2"/>
        <v>2.3324000000000003</v>
      </c>
      <c r="AU60">
        <f t="shared" si="0"/>
        <v>0</v>
      </c>
      <c r="AV60">
        <f t="shared" si="1"/>
        <v>882</v>
      </c>
      <c r="AW60">
        <v>66.5</v>
      </c>
    </row>
    <row r="61" spans="3:49" x14ac:dyDescent="0.45">
      <c r="C61">
        <v>90.45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9.5500000000000007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f t="shared" si="2"/>
        <v>2.6740000000000004</v>
      </c>
      <c r="AU61">
        <f t="shared" si="0"/>
        <v>0</v>
      </c>
      <c r="AV61">
        <f t="shared" si="1"/>
        <v>882</v>
      </c>
      <c r="AW61">
        <v>66</v>
      </c>
    </row>
    <row r="62" spans="3:49" x14ac:dyDescent="0.45">
      <c r="C62">
        <v>88.59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11.41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f t="shared" si="2"/>
        <v>3.1948000000000003</v>
      </c>
      <c r="AU62">
        <f t="shared" si="0"/>
        <v>0</v>
      </c>
      <c r="AV62">
        <f t="shared" si="1"/>
        <v>882</v>
      </c>
      <c r="AW62">
        <v>78.5</v>
      </c>
    </row>
    <row r="63" spans="3:49" x14ac:dyDescent="0.45">
      <c r="C63">
        <v>81.91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18.09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f t="shared" si="2"/>
        <v>5.0652000000000008</v>
      </c>
      <c r="AU63">
        <f t="shared" si="0"/>
        <v>0</v>
      </c>
      <c r="AV63">
        <f t="shared" si="1"/>
        <v>882</v>
      </c>
      <c r="AW63">
        <v>93.5</v>
      </c>
    </row>
    <row r="64" spans="3:49" x14ac:dyDescent="0.45">
      <c r="C64">
        <v>74.430000000000007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25.57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f t="shared" si="2"/>
        <v>7.1596000000000011</v>
      </c>
      <c r="AU64">
        <f t="shared" si="0"/>
        <v>0</v>
      </c>
      <c r="AV64">
        <f t="shared" si="1"/>
        <v>882</v>
      </c>
      <c r="AW64">
        <v>67</v>
      </c>
    </row>
    <row r="65" spans="3:49" x14ac:dyDescent="0.45">
      <c r="C65">
        <v>70.349999999999994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29.65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f t="shared" si="2"/>
        <v>8.3019999999999996</v>
      </c>
      <c r="AU65">
        <f t="shared" si="0"/>
        <v>0</v>
      </c>
      <c r="AV65">
        <f t="shared" si="1"/>
        <v>882</v>
      </c>
      <c r="AW65">
        <v>67.5</v>
      </c>
    </row>
    <row r="66" spans="3:49" x14ac:dyDescent="0.45">
      <c r="C66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f t="shared" si="2"/>
        <v>9.5200000000000014</v>
      </c>
      <c r="AU66">
        <f t="shared" ref="AU66:AU129" si="3">D66+J66/6+M66/3+(T66+S66)/10</f>
        <v>0</v>
      </c>
      <c r="AV66">
        <f t="shared" ref="AV66:AV129" si="4">882+2.1*D66-9.5*L66+4.2*M66-6.9*J66-11.8*E66-12.1*F66-15.4*H66+23.3*Q66+123*T66</f>
        <v>882</v>
      </c>
      <c r="AW66">
        <v>74.5</v>
      </c>
    </row>
    <row r="67" spans="3:49" x14ac:dyDescent="0.45">
      <c r="C67">
        <v>56.41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43.59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f t="shared" ref="AT67:AT130" si="5">L67+0.67*E67+0.44*P67+0.28*K67+0.22*O67+2.9*H67+1.6*F67+1.7*G67-D67</f>
        <v>12.205200000000001</v>
      </c>
      <c r="AU67">
        <f t="shared" si="3"/>
        <v>0</v>
      </c>
      <c r="AV67">
        <f t="shared" si="4"/>
        <v>882</v>
      </c>
      <c r="AW67">
        <v>84</v>
      </c>
    </row>
    <row r="68" spans="3:49" x14ac:dyDescent="0.45">
      <c r="C68">
        <v>77.53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22.47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f t="shared" si="5"/>
        <v>6.2915999999999999</v>
      </c>
      <c r="AU68">
        <f t="shared" si="3"/>
        <v>0</v>
      </c>
      <c r="AV68">
        <f t="shared" si="4"/>
        <v>882</v>
      </c>
      <c r="AW68">
        <v>72</v>
      </c>
    </row>
    <row r="69" spans="3:49" x14ac:dyDescent="0.45">
      <c r="C69">
        <v>74.430000000000007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25.57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f t="shared" si="5"/>
        <v>7.1596000000000011</v>
      </c>
      <c r="AU69">
        <f t="shared" si="3"/>
        <v>0</v>
      </c>
      <c r="AV69">
        <f t="shared" si="4"/>
        <v>882</v>
      </c>
      <c r="AW69">
        <v>61</v>
      </c>
    </row>
    <row r="70" spans="3:49" x14ac:dyDescent="0.45">
      <c r="C70">
        <v>72.83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27.17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f t="shared" si="5"/>
        <v>7.6076000000000015</v>
      </c>
      <c r="AU70">
        <f t="shared" si="3"/>
        <v>0</v>
      </c>
      <c r="AV70">
        <f t="shared" si="4"/>
        <v>882</v>
      </c>
      <c r="AW70">
        <v>62</v>
      </c>
    </row>
    <row r="71" spans="3:49" x14ac:dyDescent="0.45">
      <c r="C71">
        <v>70.25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29.75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f t="shared" si="5"/>
        <v>8.33</v>
      </c>
      <c r="AU71">
        <f t="shared" si="3"/>
        <v>0</v>
      </c>
      <c r="AV71">
        <f t="shared" si="4"/>
        <v>882</v>
      </c>
      <c r="AW71">
        <v>65</v>
      </c>
    </row>
    <row r="72" spans="3:49" x14ac:dyDescent="0.45">
      <c r="C72">
        <v>70.180000000000007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29.82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f t="shared" si="5"/>
        <v>8.3496000000000006</v>
      </c>
      <c r="AU72">
        <f t="shared" si="3"/>
        <v>0</v>
      </c>
      <c r="AV72">
        <f t="shared" si="4"/>
        <v>882</v>
      </c>
      <c r="AW72">
        <v>64.3</v>
      </c>
    </row>
    <row r="73" spans="3:49" x14ac:dyDescent="0.45">
      <c r="C73">
        <v>80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f t="shared" si="5"/>
        <v>5.6000000000000005</v>
      </c>
      <c r="AU73">
        <f t="shared" si="3"/>
        <v>0</v>
      </c>
      <c r="AV73">
        <f t="shared" si="4"/>
        <v>882</v>
      </c>
      <c r="AW73">
        <v>61.4</v>
      </c>
    </row>
    <row r="74" spans="3:49" x14ac:dyDescent="0.45">
      <c r="C74">
        <v>74.489999999999995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25.51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f t="shared" si="5"/>
        <v>7.1428000000000011</v>
      </c>
      <c r="AU74">
        <f t="shared" si="3"/>
        <v>0</v>
      </c>
      <c r="AV74">
        <f t="shared" si="4"/>
        <v>882</v>
      </c>
      <c r="AW74">
        <v>65</v>
      </c>
    </row>
    <row r="75" spans="3:49" x14ac:dyDescent="0.45">
      <c r="C75">
        <v>43.59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56.41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f t="shared" si="5"/>
        <v>15.7948</v>
      </c>
      <c r="AU75">
        <f t="shared" si="3"/>
        <v>0</v>
      </c>
      <c r="AV75">
        <f t="shared" si="4"/>
        <v>882</v>
      </c>
      <c r="AW75">
        <v>54</v>
      </c>
    </row>
    <row r="76" spans="3:49" x14ac:dyDescent="0.45">
      <c r="C76">
        <v>73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f t="shared" si="5"/>
        <v>7.5600000000000005</v>
      </c>
      <c r="AU76">
        <f t="shared" si="3"/>
        <v>0</v>
      </c>
      <c r="AV76">
        <f t="shared" si="4"/>
        <v>882</v>
      </c>
      <c r="AW76">
        <v>67.099999999999994</v>
      </c>
    </row>
    <row r="77" spans="3:49" x14ac:dyDescent="0.45">
      <c r="C77">
        <v>72.739999999999995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27.26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f t="shared" si="5"/>
        <v>7.6328000000000014</v>
      </c>
      <c r="AU77">
        <f t="shared" si="3"/>
        <v>0</v>
      </c>
      <c r="AV77">
        <f t="shared" si="4"/>
        <v>882</v>
      </c>
      <c r="AW77">
        <v>55</v>
      </c>
    </row>
    <row r="78" spans="3:49" x14ac:dyDescent="0.45">
      <c r="C78">
        <v>76.849999999999994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23.15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f t="shared" si="5"/>
        <v>6.4820000000000002</v>
      </c>
      <c r="AU78">
        <f t="shared" si="3"/>
        <v>0</v>
      </c>
      <c r="AV78">
        <f t="shared" si="4"/>
        <v>882</v>
      </c>
      <c r="AW78">
        <v>65</v>
      </c>
    </row>
    <row r="79" spans="3:49" x14ac:dyDescent="0.45">
      <c r="C79">
        <v>71.180000000000007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28.82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f t="shared" si="5"/>
        <v>8.0696000000000012</v>
      </c>
      <c r="AU79">
        <f t="shared" si="3"/>
        <v>0</v>
      </c>
      <c r="AV79">
        <f t="shared" si="4"/>
        <v>882</v>
      </c>
      <c r="AW79">
        <v>62</v>
      </c>
    </row>
    <row r="80" spans="3:49" x14ac:dyDescent="0.45">
      <c r="C80">
        <v>78.28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21.72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f t="shared" si="5"/>
        <v>6.0815999999999999</v>
      </c>
      <c r="AU80">
        <f t="shared" si="3"/>
        <v>0</v>
      </c>
      <c r="AV80">
        <f t="shared" si="4"/>
        <v>882</v>
      </c>
      <c r="AW80">
        <v>69</v>
      </c>
    </row>
    <row r="81" spans="3:55" x14ac:dyDescent="0.45">
      <c r="C81">
        <v>76.849999999999994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23.15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f t="shared" si="5"/>
        <v>6.4820000000000002</v>
      </c>
      <c r="AU81">
        <f t="shared" si="3"/>
        <v>0</v>
      </c>
      <c r="AV81">
        <f t="shared" si="4"/>
        <v>882</v>
      </c>
      <c r="AW81">
        <v>65</v>
      </c>
    </row>
    <row r="82" spans="3:55" x14ac:dyDescent="0.45">
      <c r="C82">
        <v>70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30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950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f t="shared" si="5"/>
        <v>6.6</v>
      </c>
      <c r="AU82">
        <f t="shared" si="3"/>
        <v>0</v>
      </c>
      <c r="AV82">
        <f t="shared" si="4"/>
        <v>882</v>
      </c>
      <c r="AY82">
        <v>587</v>
      </c>
      <c r="AZ82">
        <v>20.97</v>
      </c>
      <c r="BC82" t="s">
        <v>109</v>
      </c>
    </row>
    <row r="83" spans="3:55" x14ac:dyDescent="0.45">
      <c r="C83">
        <v>70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950</v>
      </c>
      <c r="AD83">
        <v>1</v>
      </c>
      <c r="AE83">
        <v>1</v>
      </c>
      <c r="AF83">
        <v>0</v>
      </c>
      <c r="AG83">
        <v>0</v>
      </c>
      <c r="AH83">
        <v>500</v>
      </c>
      <c r="AI83">
        <v>72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f t="shared" si="5"/>
        <v>6.6</v>
      </c>
      <c r="AU83">
        <f t="shared" si="3"/>
        <v>0</v>
      </c>
      <c r="AV83">
        <f t="shared" si="4"/>
        <v>882</v>
      </c>
      <c r="AY83">
        <v>891</v>
      </c>
      <c r="AZ83">
        <v>9.32</v>
      </c>
      <c r="BC83" t="s">
        <v>109</v>
      </c>
    </row>
    <row r="84" spans="3:55" x14ac:dyDescent="0.45">
      <c r="C84">
        <v>70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950</v>
      </c>
      <c r="AD84">
        <v>1</v>
      </c>
      <c r="AE84">
        <v>1</v>
      </c>
      <c r="AF84">
        <v>0</v>
      </c>
      <c r="AG84">
        <v>0</v>
      </c>
      <c r="AH84">
        <v>600</v>
      </c>
      <c r="AI84">
        <v>72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f t="shared" si="5"/>
        <v>6.6</v>
      </c>
      <c r="AU84">
        <f t="shared" si="3"/>
        <v>0</v>
      </c>
      <c r="AV84">
        <f t="shared" si="4"/>
        <v>882</v>
      </c>
      <c r="AY84">
        <v>761</v>
      </c>
      <c r="AZ84">
        <v>11.93</v>
      </c>
      <c r="BC84" t="s">
        <v>109</v>
      </c>
    </row>
    <row r="85" spans="3:55" x14ac:dyDescent="0.45">
      <c r="C85">
        <v>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50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950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f t="shared" si="5"/>
        <v>11</v>
      </c>
      <c r="AU85">
        <f t="shared" si="3"/>
        <v>0</v>
      </c>
      <c r="AV85">
        <f t="shared" si="4"/>
        <v>882</v>
      </c>
      <c r="AY85">
        <v>582</v>
      </c>
      <c r="AZ85">
        <v>22.97</v>
      </c>
      <c r="BC85" t="s">
        <v>109</v>
      </c>
    </row>
    <row r="86" spans="3:55" x14ac:dyDescent="0.45">
      <c r="C86">
        <v>50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950</v>
      </c>
      <c r="AD86">
        <v>1</v>
      </c>
      <c r="AE86">
        <v>1</v>
      </c>
      <c r="AF86">
        <v>0</v>
      </c>
      <c r="AG86">
        <v>0</v>
      </c>
      <c r="AH86">
        <v>500</v>
      </c>
      <c r="AI86">
        <v>72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f t="shared" si="5"/>
        <v>11</v>
      </c>
      <c r="AU86">
        <f t="shared" si="3"/>
        <v>0</v>
      </c>
      <c r="AV86">
        <f t="shared" si="4"/>
        <v>882</v>
      </c>
      <c r="AY86">
        <v>1029</v>
      </c>
      <c r="AZ86">
        <v>10.38</v>
      </c>
      <c r="BC86" t="s">
        <v>109</v>
      </c>
    </row>
    <row r="87" spans="3:55" x14ac:dyDescent="0.45">
      <c r="C87">
        <v>50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50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950</v>
      </c>
      <c r="AD87">
        <v>1</v>
      </c>
      <c r="AE87">
        <v>1</v>
      </c>
      <c r="AF87">
        <v>0</v>
      </c>
      <c r="AG87">
        <v>0</v>
      </c>
      <c r="AH87">
        <v>600</v>
      </c>
      <c r="AI87">
        <v>72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f t="shared" si="5"/>
        <v>11</v>
      </c>
      <c r="AU87">
        <f t="shared" si="3"/>
        <v>0</v>
      </c>
      <c r="AV87">
        <f t="shared" si="4"/>
        <v>882</v>
      </c>
      <c r="AY87">
        <v>988</v>
      </c>
      <c r="AZ87">
        <v>10.63</v>
      </c>
      <c r="BC87" t="s">
        <v>109</v>
      </c>
    </row>
    <row r="88" spans="3:55" x14ac:dyDescent="0.45">
      <c r="C88">
        <v>97.14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2.86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f t="shared" si="5"/>
        <v>0.62919999999999998</v>
      </c>
      <c r="AU88">
        <f t="shared" si="3"/>
        <v>0</v>
      </c>
      <c r="AV88">
        <f t="shared" si="4"/>
        <v>882</v>
      </c>
      <c r="AW88">
        <v>100</v>
      </c>
      <c r="AX88">
        <v>396</v>
      </c>
      <c r="BC88" t="s">
        <v>60</v>
      </c>
    </row>
    <row r="89" spans="3:55" x14ac:dyDescent="0.45">
      <c r="C89">
        <v>89.82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10.18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f t="shared" si="5"/>
        <v>2.2395999999999998</v>
      </c>
      <c r="AU89">
        <f t="shared" si="3"/>
        <v>0</v>
      </c>
      <c r="AV89">
        <f t="shared" si="4"/>
        <v>882</v>
      </c>
      <c r="AW89">
        <v>69</v>
      </c>
      <c r="AX89">
        <v>441</v>
      </c>
      <c r="BC89" t="s">
        <v>60</v>
      </c>
    </row>
    <row r="90" spans="3:55" x14ac:dyDescent="0.45">
      <c r="C90">
        <v>79.08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20.919999999999998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f t="shared" si="5"/>
        <v>4.6023999999999994</v>
      </c>
      <c r="AU90">
        <f t="shared" si="3"/>
        <v>0</v>
      </c>
      <c r="AV90">
        <f t="shared" si="4"/>
        <v>882</v>
      </c>
      <c r="AW90">
        <v>88</v>
      </c>
      <c r="AX90">
        <v>379</v>
      </c>
      <c r="BC90" t="s">
        <v>60</v>
      </c>
    </row>
    <row r="91" spans="3:55" x14ac:dyDescent="0.45">
      <c r="C91">
        <v>61.83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38.17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f t="shared" si="5"/>
        <v>8.3974000000000011</v>
      </c>
      <c r="AU91">
        <f t="shared" si="3"/>
        <v>0</v>
      </c>
      <c r="AV91">
        <f t="shared" si="4"/>
        <v>882</v>
      </c>
      <c r="AW91">
        <v>67</v>
      </c>
      <c r="AX91">
        <v>373</v>
      </c>
      <c r="BC91" t="s">
        <v>60</v>
      </c>
    </row>
    <row r="92" spans="3:55" x14ac:dyDescent="0.45">
      <c r="C92">
        <v>86.02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13.98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900</v>
      </c>
      <c r="AD92">
        <v>1.67E-2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f t="shared" si="5"/>
        <v>13.98</v>
      </c>
      <c r="AU92">
        <f t="shared" si="3"/>
        <v>0</v>
      </c>
      <c r="AV92">
        <f t="shared" si="4"/>
        <v>749.19</v>
      </c>
      <c r="AY92">
        <v>1153</v>
      </c>
      <c r="AZ92">
        <v>8.18</v>
      </c>
      <c r="BC92" t="s">
        <v>61</v>
      </c>
    </row>
    <row r="93" spans="3:55" x14ac:dyDescent="0.45">
      <c r="C93">
        <v>86.02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13.98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900</v>
      </c>
      <c r="AD93">
        <v>0.05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f t="shared" si="5"/>
        <v>13.98</v>
      </c>
      <c r="AU93">
        <f t="shared" si="3"/>
        <v>0</v>
      </c>
      <c r="AV93">
        <f t="shared" si="4"/>
        <v>749.19</v>
      </c>
      <c r="AY93">
        <v>938</v>
      </c>
      <c r="AZ93">
        <v>27.2</v>
      </c>
      <c r="BC93" t="s">
        <v>61</v>
      </c>
    </row>
    <row r="94" spans="3:55" x14ac:dyDescent="0.45">
      <c r="C94">
        <v>86.02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13.98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900</v>
      </c>
      <c r="AD94">
        <v>8.3000000000000004E-2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f t="shared" si="5"/>
        <v>13.98</v>
      </c>
      <c r="AU94">
        <f t="shared" si="3"/>
        <v>0</v>
      </c>
      <c r="AV94">
        <f t="shared" si="4"/>
        <v>749.19</v>
      </c>
      <c r="AY94">
        <v>924</v>
      </c>
      <c r="AZ94">
        <v>28.2</v>
      </c>
      <c r="BC94" t="s">
        <v>61</v>
      </c>
    </row>
    <row r="95" spans="3:55" x14ac:dyDescent="0.45">
      <c r="C95">
        <v>86.02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13.98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900</v>
      </c>
      <c r="AD95">
        <v>0.16700000000000001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f t="shared" si="5"/>
        <v>13.98</v>
      </c>
      <c r="AU95">
        <f t="shared" si="3"/>
        <v>0</v>
      </c>
      <c r="AV95">
        <f t="shared" si="4"/>
        <v>749.19</v>
      </c>
      <c r="AY95">
        <v>921</v>
      </c>
      <c r="AZ95">
        <v>21.78</v>
      </c>
      <c r="BC95" t="s">
        <v>61</v>
      </c>
    </row>
    <row r="96" spans="3:55" x14ac:dyDescent="0.45">
      <c r="C96">
        <v>86.02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13.98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900</v>
      </c>
      <c r="AD96">
        <v>0.5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f t="shared" si="5"/>
        <v>13.98</v>
      </c>
      <c r="AU96">
        <f t="shared" si="3"/>
        <v>0</v>
      </c>
      <c r="AV96">
        <f t="shared" si="4"/>
        <v>749.19</v>
      </c>
      <c r="AY96">
        <v>940</v>
      </c>
      <c r="AZ96">
        <v>17.399999999999999</v>
      </c>
      <c r="BC96" t="s">
        <v>61</v>
      </c>
    </row>
    <row r="97" spans="3:55" x14ac:dyDescent="0.45">
      <c r="C97">
        <v>85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1000</v>
      </c>
      <c r="X97">
        <v>70</v>
      </c>
      <c r="Y97">
        <v>0</v>
      </c>
      <c r="Z97">
        <v>1</v>
      </c>
      <c r="AA97">
        <v>0</v>
      </c>
      <c r="AB97">
        <v>0</v>
      </c>
      <c r="AC97">
        <v>850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f t="shared" si="5"/>
        <v>15</v>
      </c>
      <c r="AU97">
        <f t="shared" si="3"/>
        <v>0</v>
      </c>
      <c r="AV97">
        <f t="shared" si="4"/>
        <v>739.5</v>
      </c>
      <c r="AY97">
        <v>669</v>
      </c>
      <c r="AZ97">
        <v>45.52</v>
      </c>
      <c r="BC97" t="s">
        <v>110</v>
      </c>
    </row>
    <row r="98" spans="3:55" x14ac:dyDescent="0.45">
      <c r="C98">
        <v>84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1000</v>
      </c>
      <c r="X98">
        <v>70</v>
      </c>
      <c r="Y98">
        <v>0</v>
      </c>
      <c r="Z98">
        <v>1</v>
      </c>
      <c r="AA98">
        <v>0</v>
      </c>
      <c r="AB98">
        <v>0</v>
      </c>
      <c r="AC98">
        <v>850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f t="shared" si="5"/>
        <v>16</v>
      </c>
      <c r="AU98">
        <f t="shared" si="3"/>
        <v>0</v>
      </c>
      <c r="AV98">
        <f t="shared" si="4"/>
        <v>730</v>
      </c>
      <c r="AY98">
        <v>687</v>
      </c>
      <c r="AZ98">
        <v>38.42</v>
      </c>
      <c r="BC98" t="s">
        <v>110</v>
      </c>
    </row>
    <row r="99" spans="3:55" x14ac:dyDescent="0.45">
      <c r="C99">
        <v>83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1000</v>
      </c>
      <c r="X99">
        <v>70</v>
      </c>
      <c r="Y99">
        <v>0</v>
      </c>
      <c r="Z99">
        <v>1</v>
      </c>
      <c r="AA99">
        <v>0</v>
      </c>
      <c r="AB99">
        <v>0</v>
      </c>
      <c r="AC99">
        <v>850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f t="shared" si="5"/>
        <v>17</v>
      </c>
      <c r="AU99">
        <f t="shared" si="3"/>
        <v>0</v>
      </c>
      <c r="AV99">
        <f t="shared" si="4"/>
        <v>720.5</v>
      </c>
      <c r="AY99">
        <v>722</v>
      </c>
      <c r="AZ99">
        <v>23.86</v>
      </c>
      <c r="BC99" t="s">
        <v>110</v>
      </c>
    </row>
    <row r="100" spans="3:55" x14ac:dyDescent="0.45">
      <c r="C100">
        <v>82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1000</v>
      </c>
      <c r="X100">
        <v>70</v>
      </c>
      <c r="Y100">
        <v>0</v>
      </c>
      <c r="Z100">
        <v>1</v>
      </c>
      <c r="AA100">
        <v>0</v>
      </c>
      <c r="AB100">
        <v>0</v>
      </c>
      <c r="AC100">
        <v>850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f t="shared" si="5"/>
        <v>18</v>
      </c>
      <c r="AU100">
        <f t="shared" si="3"/>
        <v>0</v>
      </c>
      <c r="AV100">
        <f t="shared" si="4"/>
        <v>711</v>
      </c>
      <c r="AY100">
        <v>778</v>
      </c>
      <c r="AZ100">
        <v>15.5</v>
      </c>
      <c r="BC100" t="s">
        <v>110</v>
      </c>
    </row>
    <row r="101" spans="3:55" x14ac:dyDescent="0.45">
      <c r="C101">
        <v>92.5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f t="shared" si="5"/>
        <v>7.5</v>
      </c>
      <c r="AU101">
        <f t="shared" si="3"/>
        <v>0</v>
      </c>
      <c r="AV101">
        <f t="shared" si="4"/>
        <v>810.75</v>
      </c>
      <c r="AW101">
        <v>70</v>
      </c>
      <c r="AX101">
        <v>737</v>
      </c>
      <c r="AY101">
        <v>1019</v>
      </c>
      <c r="AZ101">
        <v>16</v>
      </c>
      <c r="BC101" t="s">
        <v>62</v>
      </c>
    </row>
    <row r="102" spans="3:55" x14ac:dyDescent="0.45">
      <c r="C102">
        <v>85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f t="shared" si="5"/>
        <v>15</v>
      </c>
      <c r="AU102">
        <f t="shared" si="3"/>
        <v>0</v>
      </c>
      <c r="AV102">
        <f t="shared" si="4"/>
        <v>739.5</v>
      </c>
      <c r="AW102">
        <v>84</v>
      </c>
      <c r="AX102">
        <v>745</v>
      </c>
      <c r="AY102">
        <v>921</v>
      </c>
      <c r="AZ102">
        <v>25</v>
      </c>
      <c r="BC102" t="s">
        <v>63</v>
      </c>
    </row>
    <row r="103" spans="3:55" x14ac:dyDescent="0.45">
      <c r="C103">
        <v>92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20</v>
      </c>
      <c r="X103">
        <v>94</v>
      </c>
      <c r="Y103">
        <v>0</v>
      </c>
      <c r="Z103">
        <v>1</v>
      </c>
      <c r="AA103">
        <v>0</v>
      </c>
      <c r="AB103">
        <v>0</v>
      </c>
      <c r="AC103">
        <v>900</v>
      </c>
      <c r="AD103">
        <v>0.5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f t="shared" si="5"/>
        <v>8</v>
      </c>
      <c r="AU103">
        <f t="shared" si="3"/>
        <v>0</v>
      </c>
      <c r="AV103">
        <f t="shared" si="4"/>
        <v>806</v>
      </c>
      <c r="AW103">
        <v>58.6</v>
      </c>
      <c r="AX103">
        <v>322</v>
      </c>
      <c r="AY103">
        <v>743</v>
      </c>
      <c r="AZ103">
        <v>31.71</v>
      </c>
      <c r="BC103" t="s">
        <v>64</v>
      </c>
    </row>
    <row r="104" spans="3:55" x14ac:dyDescent="0.45">
      <c r="C104">
        <v>89.8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10.199999999999999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f t="shared" si="5"/>
        <v>10.199999999999999</v>
      </c>
      <c r="AU104">
        <f t="shared" si="3"/>
        <v>0</v>
      </c>
      <c r="AV104">
        <f t="shared" si="4"/>
        <v>785.1</v>
      </c>
      <c r="AX104">
        <v>741.07</v>
      </c>
      <c r="AY104">
        <v>662.99</v>
      </c>
      <c r="AZ104">
        <v>0.71</v>
      </c>
      <c r="BA104">
        <v>113</v>
      </c>
      <c r="BC104" t="s">
        <v>65</v>
      </c>
    </row>
    <row r="105" spans="3:55" x14ac:dyDescent="0.45">
      <c r="C105">
        <v>89.17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10.83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f t="shared" si="5"/>
        <v>10.83</v>
      </c>
      <c r="AU105">
        <f t="shared" si="3"/>
        <v>0</v>
      </c>
      <c r="AV105">
        <f t="shared" si="4"/>
        <v>779.11500000000001</v>
      </c>
      <c r="AY105">
        <v>885.45</v>
      </c>
      <c r="AZ105">
        <v>0.35</v>
      </c>
      <c r="BA105">
        <v>105.17</v>
      </c>
      <c r="BC105" t="s">
        <v>65</v>
      </c>
    </row>
    <row r="106" spans="3:55" x14ac:dyDescent="0.45">
      <c r="C106">
        <v>87.11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12.89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f t="shared" si="5"/>
        <v>12.89</v>
      </c>
      <c r="AU106">
        <f t="shared" si="3"/>
        <v>0</v>
      </c>
      <c r="AV106">
        <f t="shared" si="4"/>
        <v>759.54499999999996</v>
      </c>
      <c r="AY106">
        <v>643.1</v>
      </c>
      <c r="AZ106">
        <v>0.09</v>
      </c>
      <c r="BA106">
        <v>104.47</v>
      </c>
      <c r="BB106" t="s">
        <v>339</v>
      </c>
      <c r="BC106" t="s">
        <v>65</v>
      </c>
    </row>
    <row r="107" spans="3:55" x14ac:dyDescent="0.45">
      <c r="C107">
        <v>84.95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f t="shared" si="5"/>
        <v>15.05</v>
      </c>
      <c r="AU107">
        <f t="shared" si="3"/>
        <v>0</v>
      </c>
      <c r="AV107">
        <f t="shared" si="4"/>
        <v>739.02499999999998</v>
      </c>
      <c r="AX107">
        <v>542.47</v>
      </c>
      <c r="AY107">
        <v>593.48</v>
      </c>
      <c r="AZ107">
        <v>0.14000000000000001</v>
      </c>
      <c r="BA107">
        <v>70.48</v>
      </c>
      <c r="BB107" t="s">
        <v>339</v>
      </c>
      <c r="BC107" t="s">
        <v>65</v>
      </c>
    </row>
    <row r="108" spans="3:55" x14ac:dyDescent="0.45">
      <c r="C108">
        <v>85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1000</v>
      </c>
      <c r="X108">
        <v>70</v>
      </c>
      <c r="Y108">
        <v>0</v>
      </c>
      <c r="Z108">
        <v>1</v>
      </c>
      <c r="AA108">
        <v>0</v>
      </c>
      <c r="AB108">
        <v>0</v>
      </c>
      <c r="AC108">
        <v>850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f t="shared" si="5"/>
        <v>15</v>
      </c>
      <c r="AU108">
        <f t="shared" si="3"/>
        <v>0</v>
      </c>
      <c r="AV108">
        <f t="shared" si="4"/>
        <v>739.5</v>
      </c>
      <c r="AX108" t="s">
        <v>216</v>
      </c>
      <c r="AY108">
        <v>669</v>
      </c>
      <c r="AZ108">
        <v>45.57</v>
      </c>
      <c r="BB108" t="s">
        <v>339</v>
      </c>
      <c r="BC108" t="s">
        <v>66</v>
      </c>
    </row>
    <row r="109" spans="3:55" x14ac:dyDescent="0.45">
      <c r="C109">
        <v>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1000</v>
      </c>
      <c r="X109">
        <v>70</v>
      </c>
      <c r="Y109">
        <v>0</v>
      </c>
      <c r="Z109">
        <v>1</v>
      </c>
      <c r="AA109">
        <v>0</v>
      </c>
      <c r="AB109">
        <v>0</v>
      </c>
      <c r="AC109">
        <v>850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f t="shared" si="5"/>
        <v>16</v>
      </c>
      <c r="AU109">
        <f t="shared" si="3"/>
        <v>0</v>
      </c>
      <c r="AV109">
        <f t="shared" si="4"/>
        <v>730</v>
      </c>
      <c r="AY109">
        <v>687</v>
      </c>
      <c r="AZ109">
        <v>38.549999999999997</v>
      </c>
      <c r="BB109" t="s">
        <v>339</v>
      </c>
      <c r="BC109" t="s">
        <v>67</v>
      </c>
    </row>
    <row r="110" spans="3:55" x14ac:dyDescent="0.45">
      <c r="C110">
        <v>83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1000</v>
      </c>
      <c r="X110">
        <v>70</v>
      </c>
      <c r="Y110">
        <v>0</v>
      </c>
      <c r="Z110">
        <v>1</v>
      </c>
      <c r="AA110">
        <v>0</v>
      </c>
      <c r="AB110">
        <v>0</v>
      </c>
      <c r="AC110">
        <v>850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f t="shared" si="5"/>
        <v>17</v>
      </c>
      <c r="AU110">
        <f t="shared" si="3"/>
        <v>0</v>
      </c>
      <c r="AV110">
        <f t="shared" si="4"/>
        <v>720.5</v>
      </c>
      <c r="AY110">
        <v>722</v>
      </c>
      <c r="AZ110">
        <v>23.82</v>
      </c>
      <c r="BB110" t="s">
        <v>339</v>
      </c>
      <c r="BC110" t="s">
        <v>68</v>
      </c>
    </row>
    <row r="111" spans="3:55" x14ac:dyDescent="0.45">
      <c r="C111">
        <v>82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1000</v>
      </c>
      <c r="X111">
        <v>70</v>
      </c>
      <c r="Y111">
        <v>0</v>
      </c>
      <c r="Z111">
        <v>1</v>
      </c>
      <c r="AA111">
        <v>0</v>
      </c>
      <c r="AB111">
        <v>0</v>
      </c>
      <c r="AC111">
        <v>850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f t="shared" si="5"/>
        <v>18</v>
      </c>
      <c r="AU111">
        <f t="shared" si="3"/>
        <v>0</v>
      </c>
      <c r="AV111">
        <f t="shared" si="4"/>
        <v>711</v>
      </c>
      <c r="AY111">
        <v>778</v>
      </c>
      <c r="AZ111">
        <v>15.54</v>
      </c>
      <c r="BB111" t="s">
        <v>339</v>
      </c>
      <c r="BC111" t="s">
        <v>69</v>
      </c>
    </row>
    <row r="112" spans="3:55" x14ac:dyDescent="0.45">
      <c r="C112">
        <v>95.35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4.6500000000000004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f t="shared" si="5"/>
        <v>4.6500000000000004</v>
      </c>
      <c r="AU112">
        <f t="shared" si="3"/>
        <v>0</v>
      </c>
      <c r="AV112">
        <f t="shared" si="4"/>
        <v>837.82500000000005</v>
      </c>
      <c r="AW112">
        <v>91</v>
      </c>
      <c r="AX112">
        <v>537</v>
      </c>
      <c r="BC112" t="s">
        <v>60</v>
      </c>
    </row>
    <row r="113" spans="3:55" x14ac:dyDescent="0.45">
      <c r="C113">
        <v>94.61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5.3900000000000006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f t="shared" si="5"/>
        <v>5.3900000000000006</v>
      </c>
      <c r="AU113">
        <f t="shared" si="3"/>
        <v>0</v>
      </c>
      <c r="AV113">
        <f t="shared" si="4"/>
        <v>830.79499999999996</v>
      </c>
      <c r="AW113">
        <v>93</v>
      </c>
      <c r="AX113">
        <v>731</v>
      </c>
      <c r="BC113" t="s">
        <v>60</v>
      </c>
    </row>
    <row r="114" spans="3:55" x14ac:dyDescent="0.45">
      <c r="C114">
        <v>89.24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10.76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f t="shared" si="5"/>
        <v>10.76</v>
      </c>
      <c r="AU114">
        <f t="shared" si="3"/>
        <v>0</v>
      </c>
      <c r="AV114">
        <f t="shared" si="4"/>
        <v>779.78</v>
      </c>
      <c r="AW114">
        <v>75</v>
      </c>
      <c r="AX114">
        <v>823</v>
      </c>
      <c r="BC114" t="s">
        <v>60</v>
      </c>
    </row>
    <row r="115" spans="3:55" x14ac:dyDescent="0.45">
      <c r="C115">
        <v>94.75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5.25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f t="shared" si="5"/>
        <v>5.25</v>
      </c>
      <c r="AU115">
        <f t="shared" si="3"/>
        <v>0</v>
      </c>
      <c r="AV115">
        <f t="shared" si="4"/>
        <v>832.125</v>
      </c>
      <c r="AW115">
        <v>77.599999999999994</v>
      </c>
      <c r="AX115">
        <v>862</v>
      </c>
      <c r="BB115" t="s">
        <v>340</v>
      </c>
      <c r="BC115" t="s">
        <v>60</v>
      </c>
    </row>
    <row r="116" spans="3:55" x14ac:dyDescent="0.45">
      <c r="C116">
        <v>93.63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6.370000000000001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f t="shared" si="5"/>
        <v>6.370000000000001</v>
      </c>
      <c r="AU116">
        <f t="shared" si="3"/>
        <v>0</v>
      </c>
      <c r="AV116">
        <f t="shared" si="4"/>
        <v>821.48500000000001</v>
      </c>
      <c r="AW116">
        <v>90</v>
      </c>
      <c r="AX116">
        <v>550</v>
      </c>
      <c r="BB116" t="s">
        <v>340</v>
      </c>
      <c r="BC116" t="s">
        <v>60</v>
      </c>
    </row>
    <row r="117" spans="3:55" x14ac:dyDescent="0.45">
      <c r="C117">
        <v>93.75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f t="shared" si="5"/>
        <v>6.25</v>
      </c>
      <c r="AU117">
        <f t="shared" si="3"/>
        <v>0</v>
      </c>
      <c r="AV117">
        <f t="shared" si="4"/>
        <v>822.625</v>
      </c>
      <c r="AW117">
        <v>116</v>
      </c>
      <c r="BB117" t="s">
        <v>340</v>
      </c>
    </row>
    <row r="118" spans="3:55" x14ac:dyDescent="0.45">
      <c r="C118">
        <v>91.9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f t="shared" si="5"/>
        <v>8.1</v>
      </c>
      <c r="AU118">
        <f t="shared" si="3"/>
        <v>0</v>
      </c>
      <c r="AV118">
        <f t="shared" si="4"/>
        <v>805.05</v>
      </c>
      <c r="AW118">
        <v>78</v>
      </c>
      <c r="BB118" t="s">
        <v>340</v>
      </c>
    </row>
    <row r="119" spans="3:55" x14ac:dyDescent="0.45">
      <c r="C119">
        <v>77.8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22.2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f t="shared" si="5"/>
        <v>22.2</v>
      </c>
      <c r="AU119">
        <f t="shared" si="3"/>
        <v>0</v>
      </c>
      <c r="AV119">
        <f t="shared" si="4"/>
        <v>671.1</v>
      </c>
      <c r="AW119">
        <v>99</v>
      </c>
      <c r="BB119" t="s">
        <v>340</v>
      </c>
    </row>
    <row r="120" spans="3:55" x14ac:dyDescent="0.45">
      <c r="C120">
        <v>88.2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11.8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f t="shared" si="5"/>
        <v>11.8</v>
      </c>
      <c r="AU120">
        <f t="shared" si="3"/>
        <v>0</v>
      </c>
      <c r="AV120">
        <f t="shared" si="4"/>
        <v>769.9</v>
      </c>
      <c r="AW120">
        <v>116</v>
      </c>
      <c r="BB120" t="s">
        <v>232</v>
      </c>
    </row>
    <row r="121" spans="3:55" x14ac:dyDescent="0.45">
      <c r="C121">
        <v>96.11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f t="shared" si="5"/>
        <v>3.89</v>
      </c>
      <c r="AU121">
        <f t="shared" si="3"/>
        <v>0</v>
      </c>
      <c r="AV121">
        <f t="shared" si="4"/>
        <v>845.04499999999996</v>
      </c>
      <c r="AW121">
        <v>70</v>
      </c>
      <c r="BB121" t="s">
        <v>232</v>
      </c>
    </row>
    <row r="122" spans="3:55" x14ac:dyDescent="0.45">
      <c r="C122">
        <v>91.91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8.09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f t="shared" si="5"/>
        <v>8.09</v>
      </c>
      <c r="AU122">
        <f t="shared" si="3"/>
        <v>0</v>
      </c>
      <c r="AV122">
        <f t="shared" si="4"/>
        <v>805.14499999999998</v>
      </c>
      <c r="AW122">
        <v>84</v>
      </c>
      <c r="BB122" t="s">
        <v>232</v>
      </c>
    </row>
    <row r="123" spans="3:55" x14ac:dyDescent="0.45">
      <c r="C123">
        <v>96.8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3.2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f t="shared" si="5"/>
        <v>3.2</v>
      </c>
      <c r="AU123">
        <f t="shared" si="3"/>
        <v>0</v>
      </c>
      <c r="AV123">
        <f t="shared" si="4"/>
        <v>851.6</v>
      </c>
      <c r="AW123">
        <v>83.73</v>
      </c>
      <c r="BB123" t="s">
        <v>232</v>
      </c>
    </row>
    <row r="124" spans="3:55" x14ac:dyDescent="0.45">
      <c r="C124">
        <v>95.5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4.5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f t="shared" si="5"/>
        <v>4.5</v>
      </c>
      <c r="AU124">
        <f t="shared" si="3"/>
        <v>0</v>
      </c>
      <c r="AV124">
        <f t="shared" si="4"/>
        <v>839.25</v>
      </c>
      <c r="AW124">
        <v>88.36</v>
      </c>
      <c r="BB124" t="s">
        <v>225</v>
      </c>
    </row>
    <row r="125" spans="3:55" x14ac:dyDescent="0.45">
      <c r="C125">
        <v>94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f t="shared" si="5"/>
        <v>6</v>
      </c>
      <c r="AU125">
        <f t="shared" si="3"/>
        <v>0</v>
      </c>
      <c r="AV125">
        <f t="shared" si="4"/>
        <v>825</v>
      </c>
      <c r="AW125">
        <v>111.7</v>
      </c>
      <c r="BB125" t="s">
        <v>226</v>
      </c>
    </row>
    <row r="126" spans="3:55" x14ac:dyDescent="0.45">
      <c r="C126">
        <v>93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f t="shared" si="5"/>
        <v>7</v>
      </c>
      <c r="AU126">
        <f t="shared" si="3"/>
        <v>0</v>
      </c>
      <c r="AV126">
        <f t="shared" si="4"/>
        <v>815.5</v>
      </c>
      <c r="AW126">
        <v>99.55</v>
      </c>
      <c r="BB126" t="s">
        <v>227</v>
      </c>
    </row>
    <row r="127" spans="3:55" x14ac:dyDescent="0.45">
      <c r="C127">
        <v>92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f t="shared" si="5"/>
        <v>8</v>
      </c>
      <c r="AU127">
        <f t="shared" si="3"/>
        <v>0</v>
      </c>
      <c r="AV127">
        <f t="shared" si="4"/>
        <v>806</v>
      </c>
      <c r="AW127">
        <v>82.84</v>
      </c>
      <c r="BB127" t="s">
        <v>228</v>
      </c>
    </row>
    <row r="128" spans="3:55" x14ac:dyDescent="0.45">
      <c r="C128">
        <v>88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f t="shared" si="5"/>
        <v>12</v>
      </c>
      <c r="AU128">
        <f t="shared" si="3"/>
        <v>0</v>
      </c>
      <c r="AV128">
        <f t="shared" si="4"/>
        <v>768</v>
      </c>
      <c r="AW128">
        <v>89.7</v>
      </c>
      <c r="BB128" t="s">
        <v>229</v>
      </c>
    </row>
    <row r="129" spans="3:55" x14ac:dyDescent="0.45">
      <c r="C129">
        <v>94.74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5.26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f t="shared" si="5"/>
        <v>5.26</v>
      </c>
      <c r="AU129">
        <f t="shared" si="3"/>
        <v>0</v>
      </c>
      <c r="AV129">
        <f t="shared" si="4"/>
        <v>832.03</v>
      </c>
      <c r="AW129">
        <v>113</v>
      </c>
      <c r="BB129" t="s">
        <v>230</v>
      </c>
    </row>
    <row r="130" spans="3:55" x14ac:dyDescent="0.45">
      <c r="C130">
        <v>94.29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5.71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f t="shared" si="5"/>
        <v>5.71</v>
      </c>
      <c r="AU130">
        <f t="shared" ref="AU130:AU193" si="6">D130+J130/6+M130/3+(T130+S130)/10</f>
        <v>0</v>
      </c>
      <c r="AV130">
        <f t="shared" ref="AV130:AV193" si="7">882+2.1*D130-9.5*L130+4.2*M130-6.9*J130-11.8*E130-12.1*F130-15.4*H130+23.3*Q130+123*T130</f>
        <v>827.755</v>
      </c>
      <c r="AW130">
        <v>105.17</v>
      </c>
      <c r="BB130" t="s">
        <v>231</v>
      </c>
    </row>
    <row r="131" spans="3:55" x14ac:dyDescent="0.45">
      <c r="C131">
        <v>93.13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6.87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f t="shared" ref="AT131:AT194" si="8">L131+0.67*E131+0.44*P131+0.28*K131+0.22*O131+2.9*H131+1.6*F131+1.7*G131-D131</f>
        <v>6.87</v>
      </c>
      <c r="AU131">
        <f t="shared" si="6"/>
        <v>0</v>
      </c>
      <c r="AV131">
        <f t="shared" si="7"/>
        <v>816.73500000000001</v>
      </c>
      <c r="AW131">
        <v>104.47</v>
      </c>
      <c r="BB131" t="s">
        <v>232</v>
      </c>
    </row>
    <row r="132" spans="3:55" x14ac:dyDescent="0.45">
      <c r="C132">
        <v>91.88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8.1199999999999992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f t="shared" si="8"/>
        <v>8.1199999999999992</v>
      </c>
      <c r="AU132">
        <f t="shared" si="6"/>
        <v>0</v>
      </c>
      <c r="AV132">
        <f t="shared" si="7"/>
        <v>804.86</v>
      </c>
      <c r="AW132">
        <v>70.48</v>
      </c>
      <c r="BB132" t="s">
        <v>233</v>
      </c>
    </row>
    <row r="133" spans="3:55" x14ac:dyDescent="0.45">
      <c r="C133">
        <v>90</v>
      </c>
      <c r="D133">
        <v>0</v>
      </c>
      <c r="E133">
        <v>0</v>
      </c>
      <c r="F133">
        <v>10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1000</v>
      </c>
      <c r="X133">
        <v>70</v>
      </c>
      <c r="Y133">
        <v>0</v>
      </c>
      <c r="Z133">
        <v>1</v>
      </c>
      <c r="AA133">
        <v>0</v>
      </c>
      <c r="AB133">
        <v>0</v>
      </c>
      <c r="AC133">
        <v>850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f t="shared" si="8"/>
        <v>16</v>
      </c>
      <c r="AU133">
        <f t="shared" si="6"/>
        <v>0</v>
      </c>
      <c r="AV133">
        <f t="shared" si="7"/>
        <v>761</v>
      </c>
      <c r="AY133">
        <v>863</v>
      </c>
      <c r="AZ133">
        <v>18.97</v>
      </c>
      <c r="BB133" t="s">
        <v>234</v>
      </c>
      <c r="BC133" t="s">
        <v>71</v>
      </c>
    </row>
    <row r="134" spans="3:55" x14ac:dyDescent="0.45">
      <c r="C134">
        <v>89</v>
      </c>
      <c r="D134">
        <v>0</v>
      </c>
      <c r="E134">
        <v>0</v>
      </c>
      <c r="F134">
        <v>11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1000</v>
      </c>
      <c r="X134">
        <v>70</v>
      </c>
      <c r="Y134">
        <v>0</v>
      </c>
      <c r="Z134">
        <v>1</v>
      </c>
      <c r="AA134">
        <v>0</v>
      </c>
      <c r="AB134">
        <v>0</v>
      </c>
      <c r="AC134">
        <v>850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f t="shared" si="8"/>
        <v>17.600000000000001</v>
      </c>
      <c r="AU134">
        <f t="shared" si="6"/>
        <v>0</v>
      </c>
      <c r="AV134">
        <f t="shared" si="7"/>
        <v>748.9</v>
      </c>
      <c r="AY134">
        <v>833</v>
      </c>
      <c r="AZ134">
        <v>16.829999999999998</v>
      </c>
      <c r="BB134" t="s">
        <v>235</v>
      </c>
      <c r="BC134" t="s">
        <v>71</v>
      </c>
    </row>
    <row r="135" spans="3:55" x14ac:dyDescent="0.45">
      <c r="C135">
        <v>88</v>
      </c>
      <c r="D135">
        <v>0</v>
      </c>
      <c r="E135">
        <v>0</v>
      </c>
      <c r="F135">
        <v>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1000</v>
      </c>
      <c r="X135">
        <v>70</v>
      </c>
      <c r="Y135">
        <v>0</v>
      </c>
      <c r="Z135">
        <v>1</v>
      </c>
      <c r="AA135">
        <v>0</v>
      </c>
      <c r="AB135">
        <v>0</v>
      </c>
      <c r="AC135">
        <v>850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f t="shared" si="8"/>
        <v>19.200000000000003</v>
      </c>
      <c r="AU135">
        <f t="shared" si="6"/>
        <v>0</v>
      </c>
      <c r="AV135">
        <f t="shared" si="7"/>
        <v>736.8</v>
      </c>
      <c r="AY135">
        <v>753</v>
      </c>
      <c r="AZ135">
        <v>13.27</v>
      </c>
      <c r="BC135" t="s">
        <v>71</v>
      </c>
    </row>
    <row r="136" spans="3:55" x14ac:dyDescent="0.45">
      <c r="C136">
        <v>87</v>
      </c>
      <c r="D136">
        <v>0</v>
      </c>
      <c r="E136">
        <v>0</v>
      </c>
      <c r="F136">
        <v>13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1000</v>
      </c>
      <c r="X136">
        <v>70</v>
      </c>
      <c r="Y136">
        <v>0</v>
      </c>
      <c r="Z136">
        <v>1</v>
      </c>
      <c r="AA136">
        <v>0</v>
      </c>
      <c r="AB136">
        <v>0</v>
      </c>
      <c r="AC136">
        <v>850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f t="shared" si="8"/>
        <v>20.8</v>
      </c>
      <c r="AU136">
        <f t="shared" si="6"/>
        <v>0</v>
      </c>
      <c r="AV136">
        <f t="shared" si="7"/>
        <v>724.7</v>
      </c>
      <c r="AY136">
        <v>785</v>
      </c>
      <c r="AZ136">
        <v>12.6</v>
      </c>
      <c r="BC136" t="s">
        <v>71</v>
      </c>
    </row>
    <row r="137" spans="3:55" x14ac:dyDescent="0.45">
      <c r="C137">
        <v>86</v>
      </c>
      <c r="D137">
        <v>0</v>
      </c>
      <c r="E137">
        <v>0</v>
      </c>
      <c r="F137">
        <v>14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1000</v>
      </c>
      <c r="X137">
        <v>70</v>
      </c>
      <c r="Y137">
        <v>0</v>
      </c>
      <c r="Z137">
        <v>1</v>
      </c>
      <c r="AA137">
        <v>0</v>
      </c>
      <c r="AB137">
        <v>0</v>
      </c>
      <c r="AC137">
        <v>850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f t="shared" si="8"/>
        <v>22.400000000000002</v>
      </c>
      <c r="AU137">
        <f t="shared" si="6"/>
        <v>0</v>
      </c>
      <c r="AV137">
        <f t="shared" si="7"/>
        <v>712.6</v>
      </c>
      <c r="AY137">
        <v>789</v>
      </c>
      <c r="AZ137">
        <v>13.52</v>
      </c>
      <c r="BC137" t="s">
        <v>71</v>
      </c>
    </row>
    <row r="138" spans="3:55" x14ac:dyDescent="0.45">
      <c r="C138">
        <v>88</v>
      </c>
      <c r="D138">
        <v>0</v>
      </c>
      <c r="E138">
        <v>0</v>
      </c>
      <c r="F138">
        <v>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1000</v>
      </c>
      <c r="X138">
        <v>70</v>
      </c>
      <c r="Y138">
        <v>0</v>
      </c>
      <c r="Z138">
        <v>1</v>
      </c>
      <c r="AA138">
        <v>0</v>
      </c>
      <c r="AB138">
        <v>0</v>
      </c>
      <c r="AC138">
        <v>850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f t="shared" si="8"/>
        <v>19.200000000000003</v>
      </c>
      <c r="AU138">
        <f t="shared" si="6"/>
        <v>0</v>
      </c>
      <c r="AV138">
        <f t="shared" si="7"/>
        <v>736.8</v>
      </c>
      <c r="AY138">
        <v>754</v>
      </c>
      <c r="AZ138">
        <v>13.31</v>
      </c>
      <c r="BC138" t="s">
        <v>72</v>
      </c>
    </row>
    <row r="139" spans="3:55" x14ac:dyDescent="0.45">
      <c r="C139">
        <v>90</v>
      </c>
      <c r="D139">
        <v>0</v>
      </c>
      <c r="E139">
        <v>0</v>
      </c>
      <c r="F139">
        <v>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1000</v>
      </c>
      <c r="X139">
        <v>70</v>
      </c>
      <c r="Y139">
        <v>0</v>
      </c>
      <c r="Z139">
        <v>1</v>
      </c>
      <c r="AA139">
        <v>0</v>
      </c>
      <c r="AB139">
        <v>0</v>
      </c>
      <c r="AC139">
        <v>850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f t="shared" si="8"/>
        <v>16</v>
      </c>
      <c r="AU139">
        <f t="shared" si="6"/>
        <v>0</v>
      </c>
      <c r="AV139">
        <f t="shared" si="7"/>
        <v>761</v>
      </c>
      <c r="AY139">
        <v>863</v>
      </c>
      <c r="AZ139">
        <v>18.989999999999998</v>
      </c>
      <c r="BC139" t="s">
        <v>73</v>
      </c>
    </row>
    <row r="140" spans="3:55" x14ac:dyDescent="0.45">
      <c r="C140">
        <v>89</v>
      </c>
      <c r="D140">
        <v>0</v>
      </c>
      <c r="E140">
        <v>0</v>
      </c>
      <c r="F140">
        <v>11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1000</v>
      </c>
      <c r="X140">
        <v>70</v>
      </c>
      <c r="Y140">
        <v>0</v>
      </c>
      <c r="Z140">
        <v>1</v>
      </c>
      <c r="AA140">
        <v>0</v>
      </c>
      <c r="AB140">
        <v>0</v>
      </c>
      <c r="AC140">
        <v>850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f t="shared" si="8"/>
        <v>17.600000000000001</v>
      </c>
      <c r="AU140">
        <f t="shared" si="6"/>
        <v>0</v>
      </c>
      <c r="AV140">
        <f t="shared" si="7"/>
        <v>748.9</v>
      </c>
      <c r="AY140">
        <v>833</v>
      </c>
      <c r="AZ140">
        <v>16.84</v>
      </c>
      <c r="BC140" t="s">
        <v>74</v>
      </c>
    </row>
    <row r="141" spans="3:55" x14ac:dyDescent="0.45">
      <c r="C141">
        <v>88</v>
      </c>
      <c r="D141">
        <v>0</v>
      </c>
      <c r="E141">
        <v>0</v>
      </c>
      <c r="F141">
        <v>12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1000</v>
      </c>
      <c r="X141">
        <v>70</v>
      </c>
      <c r="Y141">
        <v>0</v>
      </c>
      <c r="Z141">
        <v>1</v>
      </c>
      <c r="AA141">
        <v>0</v>
      </c>
      <c r="AB141">
        <v>0</v>
      </c>
      <c r="AC141">
        <v>850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f t="shared" si="8"/>
        <v>19.200000000000003</v>
      </c>
      <c r="AU141">
        <f t="shared" si="6"/>
        <v>0</v>
      </c>
      <c r="AV141">
        <f t="shared" si="7"/>
        <v>736.8</v>
      </c>
      <c r="AY141">
        <v>753</v>
      </c>
      <c r="AZ141">
        <v>13.29</v>
      </c>
      <c r="BC141" t="s">
        <v>75</v>
      </c>
    </row>
    <row r="142" spans="3:55" x14ac:dyDescent="0.45">
      <c r="C142">
        <v>87</v>
      </c>
      <c r="D142">
        <v>0</v>
      </c>
      <c r="E142">
        <v>0</v>
      </c>
      <c r="F142">
        <v>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1000</v>
      </c>
      <c r="X142">
        <v>70</v>
      </c>
      <c r="Y142">
        <v>0</v>
      </c>
      <c r="Z142">
        <v>1</v>
      </c>
      <c r="AA142">
        <v>0</v>
      </c>
      <c r="AB142">
        <v>0</v>
      </c>
      <c r="AC142">
        <v>850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f t="shared" si="8"/>
        <v>20.8</v>
      </c>
      <c r="AU142">
        <f t="shared" si="6"/>
        <v>0</v>
      </c>
      <c r="AV142">
        <f t="shared" si="7"/>
        <v>724.7</v>
      </c>
      <c r="AY142">
        <v>785</v>
      </c>
      <c r="AZ142">
        <v>12.58</v>
      </c>
      <c r="BC142" t="s">
        <v>76</v>
      </c>
    </row>
    <row r="143" spans="3:55" x14ac:dyDescent="0.45">
      <c r="C143">
        <v>86</v>
      </c>
      <c r="D143">
        <v>0</v>
      </c>
      <c r="E143">
        <v>0</v>
      </c>
      <c r="F143">
        <v>14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1000</v>
      </c>
      <c r="X143">
        <v>70</v>
      </c>
      <c r="Y143">
        <v>0</v>
      </c>
      <c r="Z143">
        <v>1</v>
      </c>
      <c r="AA143">
        <v>0</v>
      </c>
      <c r="AB143">
        <v>0</v>
      </c>
      <c r="AC143">
        <v>850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f t="shared" si="8"/>
        <v>22.400000000000002</v>
      </c>
      <c r="AU143">
        <f t="shared" si="6"/>
        <v>0</v>
      </c>
      <c r="AV143">
        <f t="shared" si="7"/>
        <v>712.6</v>
      </c>
      <c r="AY143">
        <v>789</v>
      </c>
      <c r="AZ143">
        <v>13.49</v>
      </c>
      <c r="BC143" t="s">
        <v>77</v>
      </c>
    </row>
    <row r="144" spans="3:55" x14ac:dyDescent="0.45">
      <c r="C144">
        <v>94.129000000000005</v>
      </c>
      <c r="D144">
        <v>5.73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1000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f t="shared" si="8"/>
        <v>-5.73</v>
      </c>
      <c r="AU144">
        <f t="shared" si="6"/>
        <v>5.73</v>
      </c>
      <c r="AV144">
        <f t="shared" si="7"/>
        <v>894.03300000000002</v>
      </c>
      <c r="AY144">
        <v>932</v>
      </c>
      <c r="BC144" t="s">
        <v>49</v>
      </c>
    </row>
    <row r="145" spans="3:55" x14ac:dyDescent="0.45">
      <c r="C145">
        <v>94.207999999999998</v>
      </c>
      <c r="D145">
        <v>5.73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1000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f t="shared" si="8"/>
        <v>-5.73</v>
      </c>
      <c r="AU145">
        <f t="shared" si="6"/>
        <v>5.73</v>
      </c>
      <c r="AV145">
        <f t="shared" si="7"/>
        <v>894.03300000000002</v>
      </c>
      <c r="AY145">
        <v>695</v>
      </c>
      <c r="BC145" t="s">
        <v>49</v>
      </c>
    </row>
    <row r="146" spans="3:55" x14ac:dyDescent="0.45">
      <c r="C146">
        <v>93.06</v>
      </c>
      <c r="D146">
        <v>0</v>
      </c>
      <c r="E146">
        <v>0</v>
      </c>
      <c r="F146">
        <v>0</v>
      </c>
      <c r="G146">
        <v>0</v>
      </c>
      <c r="H146">
        <v>6.94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f t="shared" si="8"/>
        <v>20.126000000000001</v>
      </c>
      <c r="AU146">
        <f t="shared" si="6"/>
        <v>0</v>
      </c>
      <c r="AV146">
        <f t="shared" si="7"/>
        <v>775.12400000000002</v>
      </c>
      <c r="AW146">
        <v>129</v>
      </c>
      <c r="AX146">
        <v>1560</v>
      </c>
      <c r="BC146" t="s">
        <v>60</v>
      </c>
    </row>
    <row r="147" spans="3:55" x14ac:dyDescent="0.45">
      <c r="C147">
        <v>93.94</v>
      </c>
      <c r="D147">
        <v>0</v>
      </c>
      <c r="E147">
        <v>0</v>
      </c>
      <c r="F147">
        <v>0</v>
      </c>
      <c r="G147">
        <v>0</v>
      </c>
      <c r="H147">
        <v>6.0600000000000005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f t="shared" si="8"/>
        <v>17.574000000000002</v>
      </c>
      <c r="AU147">
        <f t="shared" si="6"/>
        <v>0</v>
      </c>
      <c r="AV147">
        <f t="shared" si="7"/>
        <v>788.67599999999993</v>
      </c>
      <c r="AW147">
        <v>130</v>
      </c>
      <c r="AX147">
        <v>1847</v>
      </c>
      <c r="BC147" t="s">
        <v>60</v>
      </c>
    </row>
    <row r="148" spans="3:55" x14ac:dyDescent="0.45">
      <c r="C148">
        <v>30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f t="shared" si="8"/>
        <v>0</v>
      </c>
      <c r="AU148">
        <f t="shared" si="6"/>
        <v>11.666666666666666</v>
      </c>
      <c r="AV148">
        <f t="shared" si="7"/>
        <v>399</v>
      </c>
      <c r="AW148">
        <v>74.7</v>
      </c>
    </row>
    <row r="149" spans="3:55" x14ac:dyDescent="0.45">
      <c r="C149">
        <v>91.53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8.4700000000000006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f t="shared" si="8"/>
        <v>0</v>
      </c>
      <c r="AU149">
        <f t="shared" si="6"/>
        <v>1.4116666666666668</v>
      </c>
      <c r="AV149">
        <f t="shared" si="7"/>
        <v>823.55700000000002</v>
      </c>
      <c r="AW149">
        <v>110.5</v>
      </c>
    </row>
    <row r="150" spans="3:55" x14ac:dyDescent="0.45">
      <c r="C150">
        <v>72.5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27.5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f t="shared" si="8"/>
        <v>0</v>
      </c>
      <c r="AU150">
        <f t="shared" si="6"/>
        <v>4.583333333333333</v>
      </c>
      <c r="AV150">
        <f t="shared" si="7"/>
        <v>692.25</v>
      </c>
      <c r="AW150">
        <v>94.61</v>
      </c>
    </row>
    <row r="151" spans="3:55" x14ac:dyDescent="0.45">
      <c r="C151">
        <v>59.47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1.53</v>
      </c>
      <c r="K151">
        <v>39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850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f t="shared" si="8"/>
        <v>10.920000000000002</v>
      </c>
      <c r="AU151">
        <f t="shared" si="6"/>
        <v>0.255</v>
      </c>
      <c r="AV151">
        <f t="shared" si="7"/>
        <v>871.44299999999998</v>
      </c>
      <c r="AY151">
        <v>598.70000000000005</v>
      </c>
      <c r="AZ151">
        <v>21.88</v>
      </c>
      <c r="BC151" t="s">
        <v>51</v>
      </c>
    </row>
    <row r="152" spans="3:55" x14ac:dyDescent="0.45">
      <c r="C152">
        <v>58.24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3.04</v>
      </c>
      <c r="K152">
        <v>38.72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850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f t="shared" si="8"/>
        <v>10.841600000000001</v>
      </c>
      <c r="AU152">
        <f t="shared" si="6"/>
        <v>0.50666666666666671</v>
      </c>
      <c r="AV152">
        <f t="shared" si="7"/>
        <v>861.024</v>
      </c>
      <c r="AY152">
        <v>667.1</v>
      </c>
      <c r="AZ152">
        <v>11.03</v>
      </c>
      <c r="BC152" t="s">
        <v>51</v>
      </c>
    </row>
    <row r="153" spans="3:55" x14ac:dyDescent="0.45">
      <c r="C153">
        <v>57.03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4.53</v>
      </c>
      <c r="K153">
        <v>38.44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850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f t="shared" si="8"/>
        <v>10.763200000000001</v>
      </c>
      <c r="AU153">
        <f t="shared" si="6"/>
        <v>0.755</v>
      </c>
      <c r="AV153">
        <f t="shared" si="7"/>
        <v>850.74299999999994</v>
      </c>
      <c r="AY153">
        <v>768.2</v>
      </c>
      <c r="AZ153">
        <v>5.26</v>
      </c>
      <c r="BC153" t="s">
        <v>51</v>
      </c>
    </row>
    <row r="154" spans="3:55" x14ac:dyDescent="0.45">
      <c r="C154">
        <v>55.84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</v>
      </c>
      <c r="K154">
        <v>38.159999999999997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850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f t="shared" si="8"/>
        <v>10.684799999999999</v>
      </c>
      <c r="AU154">
        <f t="shared" si="6"/>
        <v>1</v>
      </c>
      <c r="AV154">
        <f t="shared" si="7"/>
        <v>840.6</v>
      </c>
      <c r="AY154">
        <v>746.6</v>
      </c>
      <c r="AZ154">
        <v>3.88</v>
      </c>
      <c r="BC154" t="s">
        <v>51</v>
      </c>
    </row>
    <row r="155" spans="3:55" x14ac:dyDescent="0.45">
      <c r="C155">
        <v>53.5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8.8699999999999992</v>
      </c>
      <c r="K155">
        <v>37.630000000000003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850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f t="shared" si="8"/>
        <v>10.536400000000002</v>
      </c>
      <c r="AU155">
        <f t="shared" si="6"/>
        <v>1.4783333333333333</v>
      </c>
      <c r="AV155">
        <f t="shared" si="7"/>
        <v>820.79700000000003</v>
      </c>
      <c r="AY155">
        <v>655.29999999999995</v>
      </c>
      <c r="AZ155">
        <v>8.0500000000000007</v>
      </c>
      <c r="BB155" t="s">
        <v>237</v>
      </c>
      <c r="BC155" t="s">
        <v>51</v>
      </c>
    </row>
    <row r="156" spans="3:55" x14ac:dyDescent="0.45">
      <c r="C156">
        <v>62.04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3.11</v>
      </c>
      <c r="K156">
        <v>34.85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20</v>
      </c>
      <c r="X156">
        <v>95</v>
      </c>
      <c r="Y156">
        <v>0</v>
      </c>
      <c r="Z156">
        <v>1</v>
      </c>
      <c r="AA156">
        <v>0</v>
      </c>
      <c r="AB156">
        <v>0</v>
      </c>
      <c r="AC156">
        <v>900</v>
      </c>
      <c r="AD156">
        <v>0.5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f t="shared" si="8"/>
        <v>9.7580000000000009</v>
      </c>
      <c r="AU156">
        <f t="shared" si="6"/>
        <v>0.51833333333333331</v>
      </c>
      <c r="AV156">
        <f t="shared" si="7"/>
        <v>860.54100000000005</v>
      </c>
      <c r="AY156">
        <v>459</v>
      </c>
      <c r="AZ156">
        <v>38.22</v>
      </c>
      <c r="BB156" t="s">
        <v>237</v>
      </c>
      <c r="BC156" t="s">
        <v>111</v>
      </c>
    </row>
    <row r="157" spans="3:55" x14ac:dyDescent="0.45">
      <c r="C157">
        <v>59.52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6.13</v>
      </c>
      <c r="K157">
        <v>34.35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20</v>
      </c>
      <c r="X157">
        <v>95</v>
      </c>
      <c r="Y157">
        <v>0</v>
      </c>
      <c r="Z157">
        <v>1</v>
      </c>
      <c r="AA157">
        <v>0</v>
      </c>
      <c r="AB157">
        <v>0</v>
      </c>
      <c r="AC157">
        <v>900</v>
      </c>
      <c r="AD157">
        <v>0.5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f t="shared" si="8"/>
        <v>9.6180000000000021</v>
      </c>
      <c r="AU157">
        <f t="shared" si="6"/>
        <v>1.0216666666666667</v>
      </c>
      <c r="AV157">
        <f t="shared" si="7"/>
        <v>839.70299999999997</v>
      </c>
      <c r="AY157">
        <v>468</v>
      </c>
      <c r="AZ157">
        <v>40.65</v>
      </c>
      <c r="BB157" t="s">
        <v>237</v>
      </c>
      <c r="BC157" t="s">
        <v>79</v>
      </c>
    </row>
    <row r="158" spans="3:55" x14ac:dyDescent="0.45">
      <c r="C158">
        <v>57.08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9.07</v>
      </c>
      <c r="K158">
        <v>33.85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20</v>
      </c>
      <c r="X158">
        <v>95</v>
      </c>
      <c r="Y158">
        <v>0</v>
      </c>
      <c r="Z158">
        <v>1</v>
      </c>
      <c r="AA158">
        <v>0</v>
      </c>
      <c r="AB158">
        <v>0</v>
      </c>
      <c r="AC158">
        <v>900</v>
      </c>
      <c r="AD158">
        <v>0.5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f t="shared" si="8"/>
        <v>9.4780000000000015</v>
      </c>
      <c r="AU158">
        <f t="shared" si="6"/>
        <v>1.5116666666666667</v>
      </c>
      <c r="AV158">
        <f t="shared" si="7"/>
        <v>819.41700000000003</v>
      </c>
      <c r="AY158">
        <v>456</v>
      </c>
      <c r="AZ158">
        <v>28.57</v>
      </c>
      <c r="BB158" t="s">
        <v>237</v>
      </c>
      <c r="BC158" t="s">
        <v>80</v>
      </c>
    </row>
    <row r="159" spans="3:55" x14ac:dyDescent="0.45">
      <c r="C159">
        <v>54.71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11.92</v>
      </c>
      <c r="K159">
        <v>33.369999999999997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20</v>
      </c>
      <c r="X159">
        <v>95</v>
      </c>
      <c r="Y159">
        <v>0</v>
      </c>
      <c r="Z159">
        <v>1</v>
      </c>
      <c r="AA159">
        <v>0</v>
      </c>
      <c r="AB159">
        <v>0</v>
      </c>
      <c r="AC159">
        <v>900</v>
      </c>
      <c r="AD159">
        <v>0.5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f t="shared" si="8"/>
        <v>9.3436000000000003</v>
      </c>
      <c r="AU159">
        <f t="shared" si="6"/>
        <v>1.9866666666666666</v>
      </c>
      <c r="AV159">
        <f t="shared" si="7"/>
        <v>799.75199999999995</v>
      </c>
      <c r="AY159">
        <v>480</v>
      </c>
      <c r="AZ159">
        <v>27.6</v>
      </c>
      <c r="BB159" t="s">
        <v>237</v>
      </c>
      <c r="BC159" t="s">
        <v>81</v>
      </c>
    </row>
    <row r="160" spans="3:55" x14ac:dyDescent="0.45">
      <c r="C160">
        <v>74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13</v>
      </c>
      <c r="K160">
        <v>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800</v>
      </c>
      <c r="X160">
        <v>35</v>
      </c>
      <c r="Y160">
        <v>0</v>
      </c>
      <c r="Z160">
        <v>1</v>
      </c>
      <c r="AA160">
        <v>0</v>
      </c>
      <c r="AB160">
        <v>0</v>
      </c>
      <c r="AC160">
        <v>800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f t="shared" si="8"/>
        <v>3.6400000000000006</v>
      </c>
      <c r="AU160">
        <f t="shared" si="6"/>
        <v>2.1666666666666665</v>
      </c>
      <c r="AV160">
        <f t="shared" si="7"/>
        <v>792.3</v>
      </c>
      <c r="AY160">
        <v>732</v>
      </c>
      <c r="AZ160">
        <v>16.25</v>
      </c>
      <c r="BB160" t="s">
        <v>236</v>
      </c>
      <c r="BC160" t="s">
        <v>82</v>
      </c>
    </row>
    <row r="161" spans="3:55" x14ac:dyDescent="0.45">
      <c r="C161">
        <v>74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13</v>
      </c>
      <c r="K161">
        <v>13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800</v>
      </c>
      <c r="X161">
        <v>35</v>
      </c>
      <c r="Y161">
        <v>0</v>
      </c>
      <c r="Z161">
        <v>1</v>
      </c>
      <c r="AA161">
        <v>0</v>
      </c>
      <c r="AB161">
        <v>0</v>
      </c>
      <c r="AC161">
        <v>800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f t="shared" si="8"/>
        <v>3.6400000000000006</v>
      </c>
      <c r="AU161">
        <f t="shared" si="6"/>
        <v>2.1666666666666665</v>
      </c>
      <c r="AV161">
        <f t="shared" si="7"/>
        <v>792.3</v>
      </c>
      <c r="AY161">
        <v>773</v>
      </c>
      <c r="AZ161">
        <v>12.24</v>
      </c>
      <c r="BB161" t="s">
        <v>237</v>
      </c>
      <c r="BC161" t="s">
        <v>82</v>
      </c>
    </row>
    <row r="162" spans="3:55" x14ac:dyDescent="0.45">
      <c r="C162">
        <v>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13</v>
      </c>
      <c r="K162">
        <v>13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800</v>
      </c>
      <c r="X162">
        <v>35</v>
      </c>
      <c r="Y162">
        <v>0</v>
      </c>
      <c r="Z162">
        <v>1</v>
      </c>
      <c r="AA162">
        <v>0</v>
      </c>
      <c r="AB162">
        <v>0</v>
      </c>
      <c r="AC162">
        <v>800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f t="shared" si="8"/>
        <v>3.6400000000000006</v>
      </c>
      <c r="AU162">
        <f t="shared" si="6"/>
        <v>2.1666666666666665</v>
      </c>
      <c r="AV162">
        <f t="shared" si="7"/>
        <v>792.3</v>
      </c>
      <c r="AY162">
        <v>743</v>
      </c>
      <c r="AZ162">
        <v>20.23</v>
      </c>
      <c r="BB162" t="s">
        <v>238</v>
      </c>
      <c r="BC162" t="s">
        <v>82</v>
      </c>
    </row>
    <row r="163" spans="3:55" x14ac:dyDescent="0.45">
      <c r="C163">
        <v>74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13</v>
      </c>
      <c r="K163">
        <v>13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800</v>
      </c>
      <c r="X163">
        <v>35</v>
      </c>
      <c r="Y163">
        <v>0</v>
      </c>
      <c r="Z163">
        <v>1</v>
      </c>
      <c r="AA163">
        <v>0</v>
      </c>
      <c r="AB163">
        <v>0</v>
      </c>
      <c r="AC163">
        <v>800</v>
      </c>
      <c r="AD163">
        <v>1</v>
      </c>
      <c r="AE163">
        <v>1</v>
      </c>
      <c r="AF163">
        <v>0</v>
      </c>
      <c r="AG163">
        <v>0</v>
      </c>
      <c r="AH163">
        <v>500</v>
      </c>
      <c r="AI163">
        <v>5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f t="shared" si="8"/>
        <v>3.6400000000000006</v>
      </c>
      <c r="AU163">
        <f t="shared" si="6"/>
        <v>2.1666666666666665</v>
      </c>
      <c r="AV163">
        <f t="shared" si="7"/>
        <v>792.3</v>
      </c>
      <c r="AY163">
        <v>1047</v>
      </c>
      <c r="AZ163">
        <v>4.26</v>
      </c>
      <c r="BB163" t="s">
        <v>239</v>
      </c>
      <c r="BC163" t="s">
        <v>82</v>
      </c>
    </row>
    <row r="164" spans="3:55" x14ac:dyDescent="0.45">
      <c r="C164">
        <v>74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13</v>
      </c>
      <c r="K164">
        <v>13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800</v>
      </c>
      <c r="X164">
        <v>35</v>
      </c>
      <c r="Y164">
        <v>0</v>
      </c>
      <c r="Z164">
        <v>1</v>
      </c>
      <c r="AA164">
        <v>0</v>
      </c>
      <c r="AB164">
        <v>0</v>
      </c>
      <c r="AC164">
        <v>650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f t="shared" si="8"/>
        <v>3.6400000000000006</v>
      </c>
      <c r="AU164">
        <f t="shared" si="6"/>
        <v>2.1666666666666665</v>
      </c>
      <c r="AV164">
        <f t="shared" si="7"/>
        <v>792.3</v>
      </c>
      <c r="AY164">
        <v>791</v>
      </c>
      <c r="AZ164">
        <v>11.11</v>
      </c>
      <c r="BB164" t="s">
        <v>240</v>
      </c>
      <c r="BC164" t="s">
        <v>82</v>
      </c>
    </row>
    <row r="165" spans="3:55" x14ac:dyDescent="0.45">
      <c r="C165">
        <v>74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13</v>
      </c>
      <c r="K165">
        <v>13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800</v>
      </c>
      <c r="X165">
        <v>35</v>
      </c>
      <c r="Y165">
        <v>0</v>
      </c>
      <c r="Z165">
        <v>1</v>
      </c>
      <c r="AA165">
        <v>0</v>
      </c>
      <c r="AB165">
        <v>0</v>
      </c>
      <c r="AC165">
        <v>650</v>
      </c>
      <c r="AD165">
        <v>1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f t="shared" si="8"/>
        <v>3.6400000000000006</v>
      </c>
      <c r="AU165">
        <f t="shared" si="6"/>
        <v>2.1666666666666665</v>
      </c>
      <c r="AV165">
        <f t="shared" si="7"/>
        <v>792.3</v>
      </c>
      <c r="AY165">
        <v>871</v>
      </c>
      <c r="AZ165">
        <v>11.15</v>
      </c>
      <c r="BB165" t="s">
        <v>241</v>
      </c>
      <c r="BC165" t="s">
        <v>82</v>
      </c>
    </row>
    <row r="166" spans="3:55" x14ac:dyDescent="0.45">
      <c r="C166">
        <v>74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13</v>
      </c>
      <c r="K166">
        <v>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800</v>
      </c>
      <c r="X166">
        <v>35</v>
      </c>
      <c r="Y166">
        <v>0</v>
      </c>
      <c r="Z166">
        <v>1</v>
      </c>
      <c r="AA166">
        <v>0</v>
      </c>
      <c r="AB166">
        <v>0</v>
      </c>
      <c r="AC166">
        <v>650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f t="shared" si="8"/>
        <v>3.6400000000000006</v>
      </c>
      <c r="AU166">
        <f t="shared" si="6"/>
        <v>2.1666666666666665</v>
      </c>
      <c r="AV166">
        <f t="shared" si="7"/>
        <v>792.3</v>
      </c>
      <c r="AY166">
        <v>807</v>
      </c>
      <c r="AZ166">
        <v>16.989999999999998</v>
      </c>
      <c r="BC166" t="s">
        <v>82</v>
      </c>
    </row>
    <row r="167" spans="3:55" x14ac:dyDescent="0.45">
      <c r="C167">
        <v>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13</v>
      </c>
      <c r="K167">
        <v>13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800</v>
      </c>
      <c r="X167">
        <v>35</v>
      </c>
      <c r="Y167">
        <v>0</v>
      </c>
      <c r="Z167">
        <v>1</v>
      </c>
      <c r="AA167">
        <v>0</v>
      </c>
      <c r="AB167">
        <v>0</v>
      </c>
      <c r="AC167">
        <v>650</v>
      </c>
      <c r="AD167">
        <v>1</v>
      </c>
      <c r="AE167">
        <v>1</v>
      </c>
      <c r="AF167">
        <v>0</v>
      </c>
      <c r="AG167">
        <v>0</v>
      </c>
      <c r="AH167">
        <v>500</v>
      </c>
      <c r="AI167">
        <v>5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f t="shared" si="8"/>
        <v>3.6400000000000006</v>
      </c>
      <c r="AU167">
        <f t="shared" si="6"/>
        <v>2.1666666666666665</v>
      </c>
      <c r="AV167">
        <f t="shared" si="7"/>
        <v>792.3</v>
      </c>
      <c r="AY167">
        <v>881</v>
      </c>
      <c r="AZ167">
        <v>8.34</v>
      </c>
      <c r="BC167" t="s">
        <v>82</v>
      </c>
    </row>
    <row r="168" spans="3:55" x14ac:dyDescent="0.45">
      <c r="C168">
        <v>74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13</v>
      </c>
      <c r="K168">
        <v>13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650</v>
      </c>
      <c r="X168">
        <v>35</v>
      </c>
      <c r="Y168">
        <v>0</v>
      </c>
      <c r="Z168">
        <v>1</v>
      </c>
      <c r="AA168">
        <v>0</v>
      </c>
      <c r="AB168">
        <v>0</v>
      </c>
      <c r="AC168">
        <v>700</v>
      </c>
      <c r="AD168">
        <v>1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f t="shared" si="8"/>
        <v>3.6400000000000006</v>
      </c>
      <c r="AU168">
        <f t="shared" si="6"/>
        <v>2.1666666666666665</v>
      </c>
      <c r="AV168">
        <f t="shared" si="7"/>
        <v>792.3</v>
      </c>
      <c r="AY168">
        <v>814</v>
      </c>
      <c r="AZ168">
        <v>19.489999999999998</v>
      </c>
      <c r="BC168" t="s">
        <v>82</v>
      </c>
    </row>
    <row r="169" spans="3:55" x14ac:dyDescent="0.45">
      <c r="C169">
        <v>74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13</v>
      </c>
      <c r="K169">
        <v>13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650</v>
      </c>
      <c r="X169">
        <v>35</v>
      </c>
      <c r="Y169">
        <v>0</v>
      </c>
      <c r="Z169">
        <v>1</v>
      </c>
      <c r="AA169">
        <v>0</v>
      </c>
      <c r="AB169">
        <v>0</v>
      </c>
      <c r="AC169">
        <v>700</v>
      </c>
      <c r="AD169">
        <v>1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f t="shared" si="8"/>
        <v>3.6400000000000006</v>
      </c>
      <c r="AU169">
        <f t="shared" si="6"/>
        <v>2.1666666666666665</v>
      </c>
      <c r="AV169">
        <f t="shared" si="7"/>
        <v>792.3</v>
      </c>
      <c r="AY169">
        <v>876</v>
      </c>
      <c r="AZ169">
        <v>15.45</v>
      </c>
      <c r="BC169" t="s">
        <v>82</v>
      </c>
    </row>
    <row r="170" spans="3:55" x14ac:dyDescent="0.45">
      <c r="C170">
        <v>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13</v>
      </c>
      <c r="K170">
        <v>13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650</v>
      </c>
      <c r="X170">
        <v>35</v>
      </c>
      <c r="Y170">
        <v>0</v>
      </c>
      <c r="Z170">
        <v>1</v>
      </c>
      <c r="AA170">
        <v>0</v>
      </c>
      <c r="AB170">
        <v>0</v>
      </c>
      <c r="AC170">
        <v>700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f t="shared" si="8"/>
        <v>3.6400000000000006</v>
      </c>
      <c r="AU170">
        <f t="shared" si="6"/>
        <v>2.1666666666666665</v>
      </c>
      <c r="AV170">
        <f t="shared" si="7"/>
        <v>792.3</v>
      </c>
      <c r="AY170">
        <v>804</v>
      </c>
      <c r="AZ170">
        <v>20.2</v>
      </c>
      <c r="BC170" t="s">
        <v>82</v>
      </c>
    </row>
    <row r="171" spans="3:55" x14ac:dyDescent="0.45">
      <c r="C171">
        <v>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13</v>
      </c>
      <c r="K171">
        <v>13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650</v>
      </c>
      <c r="X171">
        <v>35</v>
      </c>
      <c r="Y171">
        <v>0</v>
      </c>
      <c r="Z171">
        <v>1</v>
      </c>
      <c r="AA171">
        <v>0</v>
      </c>
      <c r="AB171">
        <v>0</v>
      </c>
      <c r="AC171">
        <v>700</v>
      </c>
      <c r="AD171">
        <v>1</v>
      </c>
      <c r="AE171">
        <v>1</v>
      </c>
      <c r="AF171">
        <v>0</v>
      </c>
      <c r="AG171">
        <v>0</v>
      </c>
      <c r="AH171">
        <v>500</v>
      </c>
      <c r="AI171">
        <v>5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f t="shared" si="8"/>
        <v>3.6400000000000006</v>
      </c>
      <c r="AU171">
        <f t="shared" si="6"/>
        <v>2.1666666666666665</v>
      </c>
      <c r="AV171">
        <f t="shared" si="7"/>
        <v>792.3</v>
      </c>
      <c r="AY171">
        <v>1000</v>
      </c>
      <c r="AZ171">
        <v>11.83</v>
      </c>
      <c r="BC171" t="s">
        <v>82</v>
      </c>
    </row>
    <row r="172" spans="3:55" x14ac:dyDescent="0.45">
      <c r="C172">
        <v>74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13</v>
      </c>
      <c r="K172">
        <v>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650</v>
      </c>
      <c r="X172">
        <v>35</v>
      </c>
      <c r="Y172">
        <v>0</v>
      </c>
      <c r="Z172">
        <v>1</v>
      </c>
      <c r="AA172">
        <v>0</v>
      </c>
      <c r="AB172">
        <v>0</v>
      </c>
      <c r="AC172">
        <v>700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f t="shared" si="8"/>
        <v>3.6400000000000006</v>
      </c>
      <c r="AU172">
        <f t="shared" si="6"/>
        <v>2.1666666666666665</v>
      </c>
      <c r="AV172">
        <f t="shared" si="7"/>
        <v>792.3</v>
      </c>
      <c r="AY172">
        <v>687</v>
      </c>
      <c r="AZ172">
        <v>16.059999999999999</v>
      </c>
      <c r="BC172" t="s">
        <v>82</v>
      </c>
    </row>
    <row r="173" spans="3:55" x14ac:dyDescent="0.45">
      <c r="C173">
        <v>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13</v>
      </c>
      <c r="K173">
        <v>13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650</v>
      </c>
      <c r="X173">
        <v>35</v>
      </c>
      <c r="Y173">
        <v>0</v>
      </c>
      <c r="Z173">
        <v>1</v>
      </c>
      <c r="AA173">
        <v>0</v>
      </c>
      <c r="AB173">
        <v>0</v>
      </c>
      <c r="AC173">
        <v>700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f t="shared" si="8"/>
        <v>3.6400000000000006</v>
      </c>
      <c r="AU173">
        <f t="shared" si="6"/>
        <v>2.1666666666666665</v>
      </c>
      <c r="AV173">
        <f t="shared" si="7"/>
        <v>792.3</v>
      </c>
      <c r="AY173">
        <v>850</v>
      </c>
      <c r="AZ173">
        <v>19.93</v>
      </c>
      <c r="BC173" t="s">
        <v>82</v>
      </c>
    </row>
    <row r="174" spans="3:55" x14ac:dyDescent="0.45">
      <c r="C174">
        <v>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13</v>
      </c>
      <c r="K174">
        <v>13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650</v>
      </c>
      <c r="X174">
        <v>35</v>
      </c>
      <c r="Y174">
        <v>0</v>
      </c>
      <c r="Z174">
        <v>1</v>
      </c>
      <c r="AA174">
        <v>0</v>
      </c>
      <c r="AB174">
        <v>0</v>
      </c>
      <c r="AC174">
        <v>650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f t="shared" si="8"/>
        <v>3.6400000000000006</v>
      </c>
      <c r="AU174">
        <f t="shared" si="6"/>
        <v>2.1666666666666665</v>
      </c>
      <c r="AV174">
        <f t="shared" si="7"/>
        <v>792.3</v>
      </c>
      <c r="AY174">
        <v>761</v>
      </c>
      <c r="AZ174">
        <v>13.08</v>
      </c>
      <c r="BC174" t="s">
        <v>82</v>
      </c>
    </row>
    <row r="175" spans="3:55" x14ac:dyDescent="0.45">
      <c r="C175">
        <v>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13</v>
      </c>
      <c r="K175">
        <v>13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650</v>
      </c>
      <c r="X175">
        <v>35</v>
      </c>
      <c r="Y175">
        <v>0</v>
      </c>
      <c r="Z175">
        <v>1</v>
      </c>
      <c r="AA175">
        <v>0</v>
      </c>
      <c r="AB175">
        <v>0</v>
      </c>
      <c r="AC175">
        <v>650</v>
      </c>
      <c r="AD175">
        <v>1</v>
      </c>
      <c r="AE175">
        <v>1</v>
      </c>
      <c r="AF175">
        <v>0</v>
      </c>
      <c r="AG175">
        <v>0</v>
      </c>
      <c r="AH175">
        <v>500</v>
      </c>
      <c r="AI175">
        <v>5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f t="shared" si="8"/>
        <v>3.6400000000000006</v>
      </c>
      <c r="AU175">
        <f t="shared" si="6"/>
        <v>2.1666666666666665</v>
      </c>
      <c r="AV175">
        <f t="shared" si="7"/>
        <v>792.3</v>
      </c>
      <c r="AY175">
        <v>853</v>
      </c>
      <c r="AZ175">
        <v>14.65</v>
      </c>
      <c r="BB175" t="s">
        <v>335</v>
      </c>
      <c r="BC175" t="s">
        <v>82</v>
      </c>
    </row>
    <row r="176" spans="3:55" x14ac:dyDescent="0.45">
      <c r="C176">
        <v>74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</v>
      </c>
      <c r="K176">
        <v>13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20</v>
      </c>
      <c r="X176">
        <v>75</v>
      </c>
      <c r="Y176">
        <v>0</v>
      </c>
      <c r="Z176">
        <v>1</v>
      </c>
      <c r="AA176">
        <v>0</v>
      </c>
      <c r="AB176">
        <v>0</v>
      </c>
      <c r="AC176">
        <v>844</v>
      </c>
      <c r="AD176">
        <v>0.5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f t="shared" si="8"/>
        <v>3.6400000000000006</v>
      </c>
      <c r="AU176">
        <f t="shared" si="6"/>
        <v>2.1666666666666665</v>
      </c>
      <c r="AV176">
        <f t="shared" si="7"/>
        <v>792.3</v>
      </c>
      <c r="AY176">
        <v>847</v>
      </c>
      <c r="AZ176">
        <v>19.600000000000001</v>
      </c>
      <c r="BB176" t="s">
        <v>335</v>
      </c>
      <c r="BC176" t="s">
        <v>83</v>
      </c>
    </row>
    <row r="177" spans="3:55" x14ac:dyDescent="0.45">
      <c r="C177">
        <v>74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13</v>
      </c>
      <c r="K177">
        <v>13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20</v>
      </c>
      <c r="X177">
        <v>75</v>
      </c>
      <c r="Y177">
        <v>0</v>
      </c>
      <c r="Z177">
        <v>1</v>
      </c>
      <c r="AA177">
        <v>0</v>
      </c>
      <c r="AB177">
        <v>0</v>
      </c>
      <c r="AC177">
        <v>844</v>
      </c>
      <c r="AD177">
        <v>0.5</v>
      </c>
      <c r="AE177">
        <v>0</v>
      </c>
      <c r="AF177">
        <v>0</v>
      </c>
      <c r="AG177">
        <v>1</v>
      </c>
      <c r="AH177">
        <v>400</v>
      </c>
      <c r="AI177">
        <v>3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f t="shared" si="8"/>
        <v>3.6400000000000006</v>
      </c>
      <c r="AU177">
        <f t="shared" si="6"/>
        <v>2.1666666666666665</v>
      </c>
      <c r="AV177">
        <f t="shared" si="7"/>
        <v>792.3</v>
      </c>
      <c r="AY177">
        <v>1003</v>
      </c>
      <c r="AZ177">
        <v>14.69</v>
      </c>
      <c r="BB177" t="s">
        <v>335</v>
      </c>
      <c r="BC177" t="s">
        <v>83</v>
      </c>
    </row>
    <row r="178" spans="3:55" x14ac:dyDescent="0.45">
      <c r="C178">
        <v>41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25</v>
      </c>
      <c r="K178">
        <v>34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20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f t="shared" si="8"/>
        <v>9.5200000000000014</v>
      </c>
      <c r="AU178">
        <f t="shared" si="6"/>
        <v>4.166666666666667</v>
      </c>
      <c r="AV178">
        <f t="shared" si="7"/>
        <v>709.5</v>
      </c>
      <c r="AY178">
        <v>839</v>
      </c>
      <c r="AZ178">
        <v>15</v>
      </c>
      <c r="BB178" t="s">
        <v>335</v>
      </c>
      <c r="BC178" t="s">
        <v>85</v>
      </c>
    </row>
    <row r="179" spans="3:55" x14ac:dyDescent="0.45">
      <c r="C179">
        <v>41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25</v>
      </c>
      <c r="K179">
        <v>34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20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890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f t="shared" si="8"/>
        <v>9.5200000000000014</v>
      </c>
      <c r="AU179">
        <f t="shared" si="6"/>
        <v>4.166666666666667</v>
      </c>
      <c r="AV179">
        <f t="shared" si="7"/>
        <v>709.5</v>
      </c>
      <c r="AY179">
        <v>747</v>
      </c>
      <c r="AZ179">
        <v>12</v>
      </c>
      <c r="BB179" t="s">
        <v>341</v>
      </c>
      <c r="BC179" t="s">
        <v>86</v>
      </c>
    </row>
    <row r="180" spans="3:55" x14ac:dyDescent="0.45">
      <c r="C180">
        <v>41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25</v>
      </c>
      <c r="K180">
        <v>34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20</v>
      </c>
      <c r="X180">
        <v>20</v>
      </c>
      <c r="Y180">
        <v>0</v>
      </c>
      <c r="Z180">
        <v>1</v>
      </c>
      <c r="AA180">
        <v>0</v>
      </c>
      <c r="AB180">
        <v>0</v>
      </c>
      <c r="AC180">
        <v>890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f t="shared" si="8"/>
        <v>9.5200000000000014</v>
      </c>
      <c r="AU180">
        <f t="shared" si="6"/>
        <v>4.166666666666667</v>
      </c>
      <c r="AV180">
        <f t="shared" si="7"/>
        <v>709.5</v>
      </c>
      <c r="AY180">
        <v>788</v>
      </c>
      <c r="AZ180">
        <v>8</v>
      </c>
      <c r="BB180" t="s">
        <v>341</v>
      </c>
      <c r="BC180" t="s">
        <v>87</v>
      </c>
    </row>
    <row r="181" spans="3:55" x14ac:dyDescent="0.45">
      <c r="C181">
        <v>41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25</v>
      </c>
      <c r="K181">
        <v>34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20</v>
      </c>
      <c r="X181">
        <v>56</v>
      </c>
      <c r="Y181">
        <v>0</v>
      </c>
      <c r="Z181">
        <v>1</v>
      </c>
      <c r="AA181">
        <v>0</v>
      </c>
      <c r="AB181">
        <v>0</v>
      </c>
      <c r="AC181">
        <v>890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f t="shared" si="8"/>
        <v>9.5200000000000014</v>
      </c>
      <c r="AU181">
        <f t="shared" si="6"/>
        <v>4.166666666666667</v>
      </c>
      <c r="AV181">
        <f t="shared" si="7"/>
        <v>709.5</v>
      </c>
      <c r="AY181">
        <v>895</v>
      </c>
      <c r="AZ181">
        <v>7</v>
      </c>
      <c r="BB181" t="s">
        <v>341</v>
      </c>
      <c r="BC181" t="s">
        <v>88</v>
      </c>
    </row>
    <row r="182" spans="3:55" x14ac:dyDescent="0.45">
      <c r="C182">
        <v>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25</v>
      </c>
      <c r="K182">
        <v>34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20</v>
      </c>
      <c r="X182">
        <v>76</v>
      </c>
      <c r="Y182">
        <v>0</v>
      </c>
      <c r="Z182">
        <v>1</v>
      </c>
      <c r="AA182">
        <v>0</v>
      </c>
      <c r="AB182">
        <v>0</v>
      </c>
      <c r="AC182">
        <v>890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f t="shared" si="8"/>
        <v>9.5200000000000014</v>
      </c>
      <c r="AU182">
        <f t="shared" si="6"/>
        <v>4.166666666666667</v>
      </c>
      <c r="AV182">
        <f t="shared" si="7"/>
        <v>709.5</v>
      </c>
      <c r="AY182">
        <v>1015</v>
      </c>
      <c r="AZ182">
        <v>10</v>
      </c>
      <c r="BB182" t="s">
        <v>341</v>
      </c>
      <c r="BC182" t="s">
        <v>89</v>
      </c>
    </row>
    <row r="183" spans="3:55" x14ac:dyDescent="0.45">
      <c r="C183">
        <v>41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25</v>
      </c>
      <c r="K183">
        <v>34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20</v>
      </c>
      <c r="X183">
        <v>86</v>
      </c>
      <c r="Y183">
        <v>0</v>
      </c>
      <c r="Z183">
        <v>1</v>
      </c>
      <c r="AA183">
        <v>0</v>
      </c>
      <c r="AB183">
        <v>0</v>
      </c>
      <c r="AC183">
        <v>890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f t="shared" si="8"/>
        <v>9.5200000000000014</v>
      </c>
      <c r="AU183">
        <f t="shared" si="6"/>
        <v>4.166666666666667</v>
      </c>
      <c r="AV183">
        <f t="shared" si="7"/>
        <v>709.5</v>
      </c>
      <c r="AY183">
        <v>1071</v>
      </c>
      <c r="AZ183">
        <v>8</v>
      </c>
      <c r="BB183" t="s">
        <v>342</v>
      </c>
      <c r="BC183" t="s">
        <v>90</v>
      </c>
    </row>
    <row r="184" spans="3:55" x14ac:dyDescent="0.45">
      <c r="C184">
        <v>57.230000000000004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18.310000000000002</v>
      </c>
      <c r="K184">
        <v>24.45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f t="shared" si="8"/>
        <v>6.8460000000000001</v>
      </c>
      <c r="AU184">
        <f t="shared" si="6"/>
        <v>3.0516666666666672</v>
      </c>
      <c r="AV184">
        <f t="shared" si="7"/>
        <v>755.66099999999994</v>
      </c>
      <c r="AW184">
        <v>62</v>
      </c>
      <c r="AX184">
        <v>810</v>
      </c>
      <c r="BB184" t="s">
        <v>342</v>
      </c>
      <c r="BC184" t="s">
        <v>60</v>
      </c>
    </row>
    <row r="185" spans="3:55" x14ac:dyDescent="0.45">
      <c r="C185">
        <v>54.09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23.9</v>
      </c>
      <c r="K185">
        <v>22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f t="shared" si="8"/>
        <v>6.16</v>
      </c>
      <c r="AU185">
        <f t="shared" si="6"/>
        <v>3.9833333333333329</v>
      </c>
      <c r="AV185">
        <f t="shared" si="7"/>
        <v>717.09</v>
      </c>
      <c r="AW185">
        <v>65</v>
      </c>
      <c r="AX185">
        <v>782</v>
      </c>
      <c r="BB185" t="s">
        <v>342</v>
      </c>
      <c r="BC185" t="s">
        <v>60</v>
      </c>
    </row>
    <row r="186" spans="3:55" x14ac:dyDescent="0.45">
      <c r="C186">
        <v>52.59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26.69</v>
      </c>
      <c r="K186">
        <v>20.73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f t="shared" si="8"/>
        <v>5.8044000000000011</v>
      </c>
      <c r="AU186">
        <f t="shared" si="6"/>
        <v>4.4483333333333333</v>
      </c>
      <c r="AV186">
        <f t="shared" si="7"/>
        <v>697.83899999999994</v>
      </c>
      <c r="AW186">
        <v>64</v>
      </c>
      <c r="AX186">
        <v>729</v>
      </c>
      <c r="BB186" t="s">
        <v>342</v>
      </c>
      <c r="BC186" t="s">
        <v>60</v>
      </c>
    </row>
    <row r="187" spans="3:55" x14ac:dyDescent="0.45">
      <c r="C187">
        <v>50.27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31.119999999999997</v>
      </c>
      <c r="K187">
        <v>18.62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f t="shared" si="8"/>
        <v>5.2136000000000005</v>
      </c>
      <c r="AU187">
        <f t="shared" si="6"/>
        <v>5.1866666666666665</v>
      </c>
      <c r="AV187">
        <f t="shared" si="7"/>
        <v>667.27200000000005</v>
      </c>
      <c r="AW187">
        <v>63</v>
      </c>
      <c r="AX187">
        <v>682</v>
      </c>
      <c r="BB187" t="s">
        <v>342</v>
      </c>
      <c r="BC187" t="s">
        <v>60</v>
      </c>
    </row>
    <row r="188" spans="3:55" x14ac:dyDescent="0.45">
      <c r="C188">
        <v>84.16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7.9200000000000008</v>
      </c>
      <c r="K188">
        <v>7.9200000000000008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f t="shared" si="8"/>
        <v>2.2176000000000005</v>
      </c>
      <c r="AU188">
        <f t="shared" si="6"/>
        <v>1.32</v>
      </c>
      <c r="AV188">
        <f t="shared" si="7"/>
        <v>827.35199999999998</v>
      </c>
      <c r="AW188">
        <v>66</v>
      </c>
      <c r="AX188">
        <v>501</v>
      </c>
      <c r="BB188" t="s">
        <v>342</v>
      </c>
      <c r="BC188" t="s">
        <v>60</v>
      </c>
    </row>
    <row r="189" spans="3:55" x14ac:dyDescent="0.45">
      <c r="C189">
        <v>77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f t="shared" si="8"/>
        <v>6.16</v>
      </c>
      <c r="AU189">
        <f t="shared" si="6"/>
        <v>0.16666666666666666</v>
      </c>
      <c r="AV189">
        <f t="shared" si="7"/>
        <v>875.1</v>
      </c>
      <c r="AW189">
        <v>68</v>
      </c>
      <c r="AX189">
        <v>370</v>
      </c>
      <c r="BB189" t="s">
        <v>342</v>
      </c>
      <c r="BC189" t="s">
        <v>60</v>
      </c>
    </row>
    <row r="190" spans="3:55" x14ac:dyDescent="0.45">
      <c r="C190">
        <v>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24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f t="shared" si="8"/>
        <v>6.7200000000000006</v>
      </c>
      <c r="AU190">
        <f t="shared" si="6"/>
        <v>0.33333333333333331</v>
      </c>
      <c r="AV190">
        <f t="shared" si="7"/>
        <v>868.2</v>
      </c>
      <c r="AW190">
        <v>59</v>
      </c>
      <c r="AX190">
        <v>249</v>
      </c>
      <c r="BB190" t="s">
        <v>342</v>
      </c>
      <c r="BC190" t="s">
        <v>60</v>
      </c>
    </row>
    <row r="191" spans="3:55" x14ac:dyDescent="0.45">
      <c r="C191">
        <v>72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24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f t="shared" si="8"/>
        <v>6.7200000000000006</v>
      </c>
      <c r="AU191">
        <f t="shared" si="6"/>
        <v>0.66666666666666663</v>
      </c>
      <c r="AV191">
        <f t="shared" si="7"/>
        <v>854.4</v>
      </c>
      <c r="AW191">
        <v>60</v>
      </c>
      <c r="AX191">
        <v>417</v>
      </c>
      <c r="BB191" t="s">
        <v>342</v>
      </c>
      <c r="BC191" t="s">
        <v>60</v>
      </c>
    </row>
    <row r="192" spans="3:55" x14ac:dyDescent="0.45">
      <c r="C192">
        <v>76.319999999999993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4.8099999999999996</v>
      </c>
      <c r="K192">
        <v>18.87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f t="shared" si="8"/>
        <v>5.2836000000000007</v>
      </c>
      <c r="AU192">
        <f t="shared" si="6"/>
        <v>0.80166666666666664</v>
      </c>
      <c r="AV192">
        <f t="shared" si="7"/>
        <v>848.81100000000004</v>
      </c>
      <c r="AW192">
        <v>65</v>
      </c>
      <c r="BB192" t="s">
        <v>342</v>
      </c>
    </row>
    <row r="193" spans="3:54" x14ac:dyDescent="0.45">
      <c r="C193">
        <v>68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12</v>
      </c>
      <c r="K193">
        <v>20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f t="shared" si="8"/>
        <v>5.6000000000000005</v>
      </c>
      <c r="AU193">
        <f t="shared" si="6"/>
        <v>2</v>
      </c>
      <c r="AV193">
        <f t="shared" si="7"/>
        <v>799.2</v>
      </c>
      <c r="AW193">
        <v>54.8</v>
      </c>
      <c r="BB193" t="s">
        <v>342</v>
      </c>
    </row>
    <row r="194" spans="3:54" x14ac:dyDescent="0.45">
      <c r="C194">
        <v>62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21</v>
      </c>
      <c r="K194">
        <v>17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f t="shared" si="8"/>
        <v>4.7600000000000007</v>
      </c>
      <c r="AU194">
        <f t="shared" ref="AU194:AU257" si="9">D194+J194/6+M194/3+(T194+S194)/10</f>
        <v>3.5</v>
      </c>
      <c r="AV194">
        <f t="shared" ref="AV194:AV257" si="10">882+2.1*D194-9.5*L194+4.2*M194-6.9*J194-11.8*E194-12.1*F194-15.4*H194+23.3*Q194+123*T194</f>
        <v>737.1</v>
      </c>
      <c r="AW194">
        <v>52.4</v>
      </c>
      <c r="BB194" t="s">
        <v>342</v>
      </c>
    </row>
    <row r="195" spans="3:54" x14ac:dyDescent="0.45">
      <c r="C195">
        <v>51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38</v>
      </c>
      <c r="K195">
        <v>11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f t="shared" ref="AT195:AT258" si="11">L195+0.67*E195+0.44*P195+0.28*K195+0.22*O195+2.9*H195+1.6*F195+1.7*G195-D195</f>
        <v>3.08</v>
      </c>
      <c r="AU195">
        <f t="shared" si="9"/>
        <v>6.333333333333333</v>
      </c>
      <c r="AV195">
        <f t="shared" si="10"/>
        <v>619.79999999999995</v>
      </c>
      <c r="AW195">
        <v>48.8</v>
      </c>
      <c r="BB195" t="s">
        <v>342</v>
      </c>
    </row>
    <row r="196" spans="3:54" x14ac:dyDescent="0.45">
      <c r="C196">
        <v>41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53</v>
      </c>
      <c r="K196">
        <v>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f t="shared" si="11"/>
        <v>1.6800000000000002</v>
      </c>
      <c r="AU196">
        <f t="shared" si="9"/>
        <v>8.8333333333333339</v>
      </c>
      <c r="AV196">
        <f t="shared" si="10"/>
        <v>516.29999999999995</v>
      </c>
      <c r="AW196">
        <v>48</v>
      </c>
      <c r="BB196" t="s">
        <v>342</v>
      </c>
    </row>
    <row r="197" spans="3:54" x14ac:dyDescent="0.45">
      <c r="C197">
        <v>84.55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7.79</v>
      </c>
      <c r="K197">
        <v>7.66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f t="shared" si="11"/>
        <v>2.1448</v>
      </c>
      <c r="AU197">
        <f t="shared" si="9"/>
        <v>1.2983333333333333</v>
      </c>
      <c r="AV197">
        <f t="shared" si="10"/>
        <v>828.24900000000002</v>
      </c>
      <c r="AW197">
        <v>91.2</v>
      </c>
      <c r="BB197" t="s">
        <v>342</v>
      </c>
    </row>
    <row r="198" spans="3:54" x14ac:dyDescent="0.45">
      <c r="C198">
        <v>52.8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29.5</v>
      </c>
      <c r="K198">
        <v>17.7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f t="shared" si="11"/>
        <v>4.9560000000000004</v>
      </c>
      <c r="AU198">
        <f t="shared" si="9"/>
        <v>4.916666666666667</v>
      </c>
      <c r="AV198">
        <f t="shared" si="10"/>
        <v>678.45</v>
      </c>
      <c r="AW198">
        <v>68.2</v>
      </c>
      <c r="BB198" t="s">
        <v>342</v>
      </c>
    </row>
    <row r="199" spans="3:54" x14ac:dyDescent="0.45">
      <c r="C199">
        <v>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20</v>
      </c>
      <c r="K199">
        <v>26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f t="shared" si="11"/>
        <v>7.2800000000000011</v>
      </c>
      <c r="AU199">
        <f t="shared" si="9"/>
        <v>3.3333333333333335</v>
      </c>
      <c r="AV199">
        <f t="shared" si="10"/>
        <v>744</v>
      </c>
      <c r="AW199">
        <v>59.07</v>
      </c>
      <c r="BB199" t="s">
        <v>242</v>
      </c>
    </row>
    <row r="200" spans="3:54" x14ac:dyDescent="0.45">
      <c r="C200">
        <v>53.1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10.4</v>
      </c>
      <c r="K200">
        <v>36.5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f t="shared" si="11"/>
        <v>10.220000000000001</v>
      </c>
      <c r="AU200">
        <f t="shared" si="9"/>
        <v>1.7333333333333334</v>
      </c>
      <c r="AV200">
        <f t="shared" si="10"/>
        <v>810.24</v>
      </c>
      <c r="AW200">
        <v>92.18</v>
      </c>
      <c r="BB200" t="s">
        <v>242</v>
      </c>
    </row>
    <row r="201" spans="3:54" x14ac:dyDescent="0.45">
      <c r="C201">
        <v>84.09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8.1199999999999992</v>
      </c>
      <c r="K201">
        <v>7.79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f t="shared" si="11"/>
        <v>2.1812</v>
      </c>
      <c r="AU201">
        <f t="shared" si="9"/>
        <v>1.3533333333333333</v>
      </c>
      <c r="AV201">
        <f t="shared" si="10"/>
        <v>825.97199999999998</v>
      </c>
      <c r="AW201">
        <v>80</v>
      </c>
      <c r="BB201" t="s">
        <v>243</v>
      </c>
    </row>
    <row r="202" spans="3:54" x14ac:dyDescent="0.45">
      <c r="C202">
        <v>67.53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4.8600000000000003</v>
      </c>
      <c r="K202">
        <v>27.61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f t="shared" si="11"/>
        <v>7.7308000000000003</v>
      </c>
      <c r="AU202">
        <f t="shared" si="9"/>
        <v>0.81</v>
      </c>
      <c r="AV202">
        <f t="shared" si="10"/>
        <v>848.46600000000001</v>
      </c>
      <c r="AW202">
        <v>65</v>
      </c>
      <c r="BB202" t="s">
        <v>244</v>
      </c>
    </row>
    <row r="203" spans="3:54" x14ac:dyDescent="0.45">
      <c r="C203">
        <v>72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</v>
      </c>
      <c r="K203">
        <v>25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f t="shared" si="11"/>
        <v>7.0000000000000009</v>
      </c>
      <c r="AU203">
        <f t="shared" si="9"/>
        <v>0.5</v>
      </c>
      <c r="AV203">
        <f t="shared" si="10"/>
        <v>861.3</v>
      </c>
      <c r="AW203">
        <v>66</v>
      </c>
      <c r="BB203" t="s">
        <v>245</v>
      </c>
    </row>
    <row r="204" spans="3:54" x14ac:dyDescent="0.45">
      <c r="C204">
        <v>71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</v>
      </c>
      <c r="K204">
        <v>25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f t="shared" si="11"/>
        <v>7.0000000000000009</v>
      </c>
      <c r="AU204">
        <f t="shared" si="9"/>
        <v>0.66666666666666663</v>
      </c>
      <c r="AV204">
        <f t="shared" si="10"/>
        <v>854.4</v>
      </c>
      <c r="AW204">
        <v>69</v>
      </c>
      <c r="BB204" t="s">
        <v>246</v>
      </c>
    </row>
    <row r="205" spans="3:54" x14ac:dyDescent="0.45">
      <c r="C205">
        <v>69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6</v>
      </c>
      <c r="K205">
        <v>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f t="shared" si="11"/>
        <v>7.0000000000000009</v>
      </c>
      <c r="AU205">
        <f t="shared" si="9"/>
        <v>1</v>
      </c>
      <c r="AV205">
        <f t="shared" si="10"/>
        <v>840.6</v>
      </c>
      <c r="AW205">
        <v>68</v>
      </c>
      <c r="BB205" t="s">
        <v>247</v>
      </c>
    </row>
    <row r="206" spans="3:54" x14ac:dyDescent="0.45">
      <c r="C206">
        <v>57.23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18.32</v>
      </c>
      <c r="K206">
        <v>24.45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f t="shared" si="11"/>
        <v>6.8460000000000001</v>
      </c>
      <c r="AU206">
        <f t="shared" si="9"/>
        <v>3.0533333333333332</v>
      </c>
      <c r="AV206">
        <f t="shared" si="10"/>
        <v>755.59199999999998</v>
      </c>
      <c r="AW206">
        <v>62</v>
      </c>
      <c r="BB206" t="s">
        <v>248</v>
      </c>
    </row>
    <row r="207" spans="3:54" x14ac:dyDescent="0.45">
      <c r="C207">
        <v>75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</v>
      </c>
      <c r="K207">
        <v>20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f t="shared" si="11"/>
        <v>5.6000000000000005</v>
      </c>
      <c r="AU207">
        <f t="shared" si="9"/>
        <v>0.83333333333333337</v>
      </c>
      <c r="AV207">
        <f t="shared" si="10"/>
        <v>847.5</v>
      </c>
      <c r="AW207">
        <v>51.3</v>
      </c>
      <c r="BB207" t="s">
        <v>249</v>
      </c>
    </row>
    <row r="208" spans="3:54" x14ac:dyDescent="0.45">
      <c r="C208">
        <v>60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20</v>
      </c>
      <c r="K208">
        <v>20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f t="shared" si="11"/>
        <v>5.6000000000000005</v>
      </c>
      <c r="AU208">
        <f t="shared" si="9"/>
        <v>3.3333333333333335</v>
      </c>
      <c r="AV208">
        <f t="shared" si="10"/>
        <v>744</v>
      </c>
      <c r="AW208">
        <v>47.3</v>
      </c>
    </row>
    <row r="209" spans="3:49" x14ac:dyDescent="0.45">
      <c r="C209">
        <v>50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30</v>
      </c>
      <c r="K209">
        <v>20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f t="shared" si="11"/>
        <v>5.6000000000000005</v>
      </c>
      <c r="AU209">
        <f t="shared" si="9"/>
        <v>5</v>
      </c>
      <c r="AV209">
        <f t="shared" si="10"/>
        <v>675</v>
      </c>
      <c r="AW209">
        <v>52.7</v>
      </c>
    </row>
    <row r="210" spans="3:49" x14ac:dyDescent="0.45">
      <c r="C210">
        <v>40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40</v>
      </c>
      <c r="K210">
        <v>20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f t="shared" si="11"/>
        <v>5.6000000000000005</v>
      </c>
      <c r="AU210">
        <f t="shared" si="9"/>
        <v>6.666666666666667</v>
      </c>
      <c r="AV210">
        <f t="shared" si="10"/>
        <v>606</v>
      </c>
      <c r="AW210">
        <v>50.5</v>
      </c>
    </row>
    <row r="211" spans="3:49" x14ac:dyDescent="0.45">
      <c r="C211">
        <v>21.12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39.08</v>
      </c>
      <c r="K211">
        <v>39.799999999999997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f t="shared" si="11"/>
        <v>11.144</v>
      </c>
      <c r="AU211">
        <f t="shared" si="9"/>
        <v>6.5133333333333328</v>
      </c>
      <c r="AV211">
        <f t="shared" si="10"/>
        <v>612.34799999999996</v>
      </c>
      <c r="AW211">
        <v>78</v>
      </c>
    </row>
    <row r="212" spans="3:49" x14ac:dyDescent="0.45">
      <c r="C212">
        <v>11.5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43.85</v>
      </c>
      <c r="K212">
        <v>44.65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f t="shared" si="11"/>
        <v>12.502000000000001</v>
      </c>
      <c r="AU212">
        <f t="shared" si="9"/>
        <v>7.3083333333333336</v>
      </c>
      <c r="AV212">
        <f t="shared" si="10"/>
        <v>579.43499999999995</v>
      </c>
      <c r="AW212">
        <v>75</v>
      </c>
    </row>
    <row r="213" spans="3:49" x14ac:dyDescent="0.45">
      <c r="C213">
        <v>57.24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18.309999999999999</v>
      </c>
      <c r="K213">
        <v>24.45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f t="shared" si="11"/>
        <v>6.8460000000000001</v>
      </c>
      <c r="AU213">
        <f t="shared" si="9"/>
        <v>3.0516666666666663</v>
      </c>
      <c r="AV213">
        <f t="shared" si="10"/>
        <v>755.66100000000006</v>
      </c>
      <c r="AW213">
        <v>62</v>
      </c>
    </row>
    <row r="214" spans="3:49" x14ac:dyDescent="0.45">
      <c r="C214">
        <v>54.1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23.9</v>
      </c>
      <c r="K214">
        <v>22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f t="shared" si="11"/>
        <v>6.16</v>
      </c>
      <c r="AU214">
        <f t="shared" si="9"/>
        <v>3.9833333333333329</v>
      </c>
      <c r="AV214">
        <f t="shared" si="10"/>
        <v>717.09</v>
      </c>
      <c r="AW214">
        <v>65</v>
      </c>
    </row>
    <row r="215" spans="3:49" x14ac:dyDescent="0.45">
      <c r="C215">
        <v>52.58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26.69</v>
      </c>
      <c r="K215">
        <v>20.73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f t="shared" si="11"/>
        <v>5.8044000000000011</v>
      </c>
      <c r="AU215">
        <f t="shared" si="9"/>
        <v>4.4483333333333333</v>
      </c>
      <c r="AV215">
        <f t="shared" si="10"/>
        <v>697.83899999999994</v>
      </c>
      <c r="AW215">
        <v>64</v>
      </c>
    </row>
    <row r="216" spans="3:49" x14ac:dyDescent="0.45">
      <c r="C216">
        <v>50.26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31.12</v>
      </c>
      <c r="K216">
        <v>18.62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f t="shared" si="11"/>
        <v>5.2136000000000005</v>
      </c>
      <c r="AU216">
        <f t="shared" si="9"/>
        <v>5.1866666666666665</v>
      </c>
      <c r="AV216">
        <f t="shared" si="10"/>
        <v>667.27199999999993</v>
      </c>
      <c r="AW216">
        <v>63</v>
      </c>
    </row>
    <row r="217" spans="3:49" x14ac:dyDescent="0.45">
      <c r="C217">
        <v>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32</v>
      </c>
      <c r="K217">
        <v>30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f t="shared" si="11"/>
        <v>8.4</v>
      </c>
      <c r="AU217">
        <f t="shared" si="9"/>
        <v>5.333333333333333</v>
      </c>
      <c r="AV217">
        <f t="shared" si="10"/>
        <v>661.2</v>
      </c>
      <c r="AW217">
        <v>65</v>
      </c>
    </row>
    <row r="218" spans="3:49" x14ac:dyDescent="0.45">
      <c r="C218">
        <v>41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25</v>
      </c>
      <c r="K218">
        <v>34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f t="shared" si="11"/>
        <v>9.5200000000000014</v>
      </c>
      <c r="AU218">
        <f t="shared" si="9"/>
        <v>4.166666666666667</v>
      </c>
      <c r="AV218">
        <f t="shared" si="10"/>
        <v>709.5</v>
      </c>
      <c r="AW218">
        <v>62</v>
      </c>
    </row>
    <row r="219" spans="3:49" x14ac:dyDescent="0.45">
      <c r="C219">
        <v>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10</v>
      </c>
      <c r="K219">
        <v>35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f t="shared" si="11"/>
        <v>9.8000000000000007</v>
      </c>
      <c r="AU219">
        <f t="shared" si="9"/>
        <v>1.6666666666666667</v>
      </c>
      <c r="AV219">
        <f t="shared" si="10"/>
        <v>813</v>
      </c>
      <c r="AW219">
        <v>58.8</v>
      </c>
    </row>
    <row r="220" spans="3:49" x14ac:dyDescent="0.45">
      <c r="C220">
        <v>60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35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f t="shared" si="11"/>
        <v>9.8000000000000007</v>
      </c>
      <c r="AU220">
        <f t="shared" si="9"/>
        <v>0.83333333333333337</v>
      </c>
      <c r="AV220">
        <f t="shared" si="10"/>
        <v>847.5</v>
      </c>
      <c r="AW220">
        <v>59.8</v>
      </c>
    </row>
    <row r="221" spans="3:49" x14ac:dyDescent="0.45">
      <c r="C221">
        <v>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</v>
      </c>
      <c r="K221">
        <v>37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f t="shared" si="11"/>
        <v>10.360000000000001</v>
      </c>
      <c r="AU221">
        <f t="shared" si="9"/>
        <v>1</v>
      </c>
      <c r="AV221">
        <f t="shared" si="10"/>
        <v>840.6</v>
      </c>
      <c r="AW221">
        <v>60</v>
      </c>
    </row>
    <row r="222" spans="3:49" x14ac:dyDescent="0.45">
      <c r="C222">
        <v>60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37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f t="shared" si="11"/>
        <v>10.360000000000001</v>
      </c>
      <c r="AU222">
        <f t="shared" si="9"/>
        <v>0.5</v>
      </c>
      <c r="AV222">
        <f t="shared" si="10"/>
        <v>861.3</v>
      </c>
      <c r="AW222">
        <v>58</v>
      </c>
    </row>
    <row r="223" spans="3:49" x14ac:dyDescent="0.45">
      <c r="C223">
        <v>67.53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4.8600000000000003</v>
      </c>
      <c r="K223">
        <v>27.61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f t="shared" si="11"/>
        <v>7.7308000000000003</v>
      </c>
      <c r="AU223">
        <f t="shared" si="9"/>
        <v>0.81</v>
      </c>
      <c r="AV223">
        <f t="shared" si="10"/>
        <v>848.46600000000001</v>
      </c>
      <c r="AW223">
        <v>64.900000000000006</v>
      </c>
    </row>
    <row r="224" spans="3:49" x14ac:dyDescent="0.45">
      <c r="C224">
        <v>80.38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7.44</v>
      </c>
      <c r="K224">
        <v>12.18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f t="shared" si="11"/>
        <v>3.4104000000000001</v>
      </c>
      <c r="AU224">
        <f t="shared" si="9"/>
        <v>1.24</v>
      </c>
      <c r="AV224">
        <f t="shared" si="10"/>
        <v>830.66399999999999</v>
      </c>
      <c r="AW224">
        <v>55</v>
      </c>
    </row>
    <row r="225" spans="3:55" x14ac:dyDescent="0.45">
      <c r="C225">
        <v>73.59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3.27</v>
      </c>
      <c r="K225">
        <v>23.14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f t="shared" si="11"/>
        <v>6.4792000000000005</v>
      </c>
      <c r="AU225">
        <f t="shared" si="9"/>
        <v>0.54500000000000004</v>
      </c>
      <c r="AV225">
        <f t="shared" si="10"/>
        <v>859.43700000000001</v>
      </c>
      <c r="AW225">
        <v>76</v>
      </c>
    </row>
    <row r="226" spans="3:55" x14ac:dyDescent="0.45">
      <c r="C226">
        <v>74.3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9.75</v>
      </c>
      <c r="K226">
        <v>15.95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f t="shared" si="11"/>
        <v>4.4660000000000002</v>
      </c>
      <c r="AU226">
        <f t="shared" si="9"/>
        <v>1.625</v>
      </c>
      <c r="AV226">
        <f t="shared" si="10"/>
        <v>814.72500000000002</v>
      </c>
      <c r="AW226">
        <v>75</v>
      </c>
    </row>
    <row r="227" spans="3:55" x14ac:dyDescent="0.45">
      <c r="C227">
        <v>90</v>
      </c>
      <c r="D227">
        <v>0</v>
      </c>
      <c r="E227">
        <v>0</v>
      </c>
      <c r="F227">
        <v>8.5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20</v>
      </c>
      <c r="X227">
        <v>95</v>
      </c>
      <c r="Y227">
        <v>0</v>
      </c>
      <c r="Z227">
        <v>1</v>
      </c>
      <c r="AA227">
        <v>0</v>
      </c>
      <c r="AB227">
        <v>0</v>
      </c>
      <c r="AC227">
        <v>900</v>
      </c>
      <c r="AD227">
        <v>0.5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f t="shared" si="11"/>
        <v>13.600000000000001</v>
      </c>
      <c r="AU227">
        <f t="shared" si="9"/>
        <v>0.5</v>
      </c>
      <c r="AV227">
        <f t="shared" si="10"/>
        <v>785.44999999999993</v>
      </c>
      <c r="AY227">
        <v>1264</v>
      </c>
      <c r="AZ227">
        <v>36.049999999999997</v>
      </c>
      <c r="BC227" t="s">
        <v>112</v>
      </c>
    </row>
    <row r="228" spans="3:55" x14ac:dyDescent="0.45">
      <c r="C228">
        <v>90</v>
      </c>
      <c r="D228">
        <v>0</v>
      </c>
      <c r="E228">
        <v>0</v>
      </c>
      <c r="F228">
        <v>8.52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1.48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890</v>
      </c>
      <c r="AD228">
        <v>0.5</v>
      </c>
      <c r="AE228">
        <v>1</v>
      </c>
      <c r="AF228">
        <v>0</v>
      </c>
      <c r="AG228">
        <v>0</v>
      </c>
      <c r="AH228">
        <v>760</v>
      </c>
      <c r="AI228">
        <v>0.5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f t="shared" si="11"/>
        <v>13.632</v>
      </c>
      <c r="AU228">
        <f t="shared" si="9"/>
        <v>0.49333333333333335</v>
      </c>
      <c r="AV228">
        <f t="shared" si="10"/>
        <v>785.12400000000002</v>
      </c>
      <c r="AX228">
        <v>428.2</v>
      </c>
      <c r="AY228">
        <v>806.3</v>
      </c>
      <c r="AZ228">
        <v>44.8</v>
      </c>
      <c r="BC228" t="s">
        <v>91</v>
      </c>
    </row>
    <row r="229" spans="3:55" x14ac:dyDescent="0.45">
      <c r="C229">
        <v>90</v>
      </c>
      <c r="D229">
        <v>0</v>
      </c>
      <c r="E229">
        <v>0</v>
      </c>
      <c r="F229">
        <v>8.5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780</v>
      </c>
      <c r="AD229">
        <v>0.16666666666666699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f t="shared" si="11"/>
        <v>13.600000000000001</v>
      </c>
      <c r="AU229">
        <f t="shared" si="9"/>
        <v>0.5</v>
      </c>
      <c r="AV229">
        <f t="shared" si="10"/>
        <v>785.44999999999993</v>
      </c>
      <c r="AX229">
        <v>356.5</v>
      </c>
      <c r="AY229">
        <v>835.9</v>
      </c>
      <c r="AZ229">
        <v>56</v>
      </c>
      <c r="BC229" t="s">
        <v>92</v>
      </c>
    </row>
    <row r="230" spans="3:55" x14ac:dyDescent="0.45">
      <c r="C230">
        <v>90</v>
      </c>
      <c r="D230">
        <v>0</v>
      </c>
      <c r="E230">
        <v>0</v>
      </c>
      <c r="F230">
        <v>8.5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780</v>
      </c>
      <c r="AD230">
        <v>0.16666666666666699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f t="shared" si="11"/>
        <v>13.600000000000001</v>
      </c>
      <c r="AU230">
        <f t="shared" si="9"/>
        <v>0.5</v>
      </c>
      <c r="AV230">
        <f t="shared" si="10"/>
        <v>785.44999999999993</v>
      </c>
      <c r="AX230">
        <v>1019.2</v>
      </c>
      <c r="AY230">
        <v>1577.8</v>
      </c>
      <c r="AZ230">
        <v>38.6</v>
      </c>
      <c r="BC230" t="s">
        <v>92</v>
      </c>
    </row>
    <row r="231" spans="3:55" x14ac:dyDescent="0.45">
      <c r="C231">
        <v>91.44</v>
      </c>
      <c r="D231">
        <v>0</v>
      </c>
      <c r="E231">
        <v>0</v>
      </c>
      <c r="F231">
        <v>7.95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0.61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f t="shared" si="11"/>
        <v>12.72</v>
      </c>
      <c r="AU231">
        <f t="shared" si="9"/>
        <v>0.20333333333333334</v>
      </c>
      <c r="AV231">
        <f t="shared" si="10"/>
        <v>788.36699999999996</v>
      </c>
      <c r="AW231">
        <v>83</v>
      </c>
      <c r="AX231">
        <v>554</v>
      </c>
      <c r="BC231" t="s">
        <v>60</v>
      </c>
    </row>
    <row r="232" spans="3:55" x14ac:dyDescent="0.45">
      <c r="C232">
        <v>90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20</v>
      </c>
      <c r="X232">
        <v>60</v>
      </c>
      <c r="Y232">
        <v>0</v>
      </c>
      <c r="Z232">
        <v>1</v>
      </c>
      <c r="AA232">
        <v>0</v>
      </c>
      <c r="AB232">
        <v>0</v>
      </c>
      <c r="AC232">
        <v>850</v>
      </c>
      <c r="AD232">
        <v>0.33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f t="shared" si="11"/>
        <v>11.8</v>
      </c>
      <c r="AU232">
        <f t="shared" si="9"/>
        <v>0</v>
      </c>
      <c r="AV232">
        <f t="shared" si="10"/>
        <v>779.2</v>
      </c>
      <c r="AY232">
        <v>958.4</v>
      </c>
      <c r="AZ232">
        <v>1.1000000000000001</v>
      </c>
      <c r="BC232" t="s">
        <v>93</v>
      </c>
    </row>
    <row r="233" spans="3:55" x14ac:dyDescent="0.45">
      <c r="C233">
        <v>90</v>
      </c>
      <c r="D233">
        <v>0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20</v>
      </c>
      <c r="X233">
        <v>60</v>
      </c>
      <c r="Y233">
        <v>0</v>
      </c>
      <c r="Z233">
        <v>1</v>
      </c>
      <c r="AA233">
        <v>0</v>
      </c>
      <c r="AB233">
        <v>0</v>
      </c>
      <c r="AC233">
        <v>850</v>
      </c>
      <c r="AD233">
        <v>0.33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f t="shared" si="11"/>
        <v>11.8</v>
      </c>
      <c r="AU233">
        <f t="shared" si="9"/>
        <v>0</v>
      </c>
      <c r="AV233">
        <f t="shared" si="10"/>
        <v>779.2</v>
      </c>
      <c r="AY233">
        <v>886.4</v>
      </c>
      <c r="AZ233">
        <v>46.37</v>
      </c>
      <c r="BC233" t="s">
        <v>93</v>
      </c>
    </row>
    <row r="234" spans="3:55" x14ac:dyDescent="0.45">
      <c r="C234">
        <v>77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22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f t="shared" si="11"/>
        <v>7.16</v>
      </c>
      <c r="AU234">
        <f t="shared" si="9"/>
        <v>0</v>
      </c>
      <c r="AV234">
        <f t="shared" si="10"/>
        <v>872.5</v>
      </c>
      <c r="AW234">
        <v>87</v>
      </c>
      <c r="AX234">
        <v>452</v>
      </c>
      <c r="BC234" t="s">
        <v>60</v>
      </c>
    </row>
    <row r="235" spans="3:55" x14ac:dyDescent="0.45">
      <c r="C235">
        <v>91.86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1.67</v>
      </c>
      <c r="L235">
        <v>6.47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f t="shared" si="11"/>
        <v>6.9375999999999998</v>
      </c>
      <c r="AU235">
        <f t="shared" si="9"/>
        <v>0</v>
      </c>
      <c r="AV235">
        <f t="shared" si="10"/>
        <v>820.53499999999997</v>
      </c>
      <c r="AW235">
        <v>105</v>
      </c>
      <c r="AX235">
        <v>449</v>
      </c>
      <c r="BC235" t="s">
        <v>60</v>
      </c>
    </row>
    <row r="236" spans="3:55" x14ac:dyDescent="0.45">
      <c r="C236">
        <v>72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26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f t="shared" si="11"/>
        <v>9.2800000000000011</v>
      </c>
      <c r="AU236">
        <f t="shared" si="9"/>
        <v>0</v>
      </c>
      <c r="AV236">
        <f t="shared" si="10"/>
        <v>863</v>
      </c>
      <c r="AW236">
        <v>67</v>
      </c>
      <c r="AX236">
        <v>535</v>
      </c>
      <c r="BC236" t="s">
        <v>60</v>
      </c>
    </row>
    <row r="237" spans="3:55" x14ac:dyDescent="0.45">
      <c r="C237">
        <v>70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26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f t="shared" si="11"/>
        <v>11.280000000000001</v>
      </c>
      <c r="AU237">
        <f t="shared" si="9"/>
        <v>0</v>
      </c>
      <c r="AV237">
        <f t="shared" si="10"/>
        <v>844</v>
      </c>
      <c r="AW237">
        <v>64</v>
      </c>
      <c r="AX237">
        <v>621</v>
      </c>
      <c r="BC237" t="s">
        <v>60</v>
      </c>
    </row>
    <row r="238" spans="3:55" x14ac:dyDescent="0.45">
      <c r="C238">
        <v>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26</v>
      </c>
      <c r="L238">
        <v>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f t="shared" si="11"/>
        <v>13.280000000000001</v>
      </c>
      <c r="AU238">
        <f t="shared" si="9"/>
        <v>0</v>
      </c>
      <c r="AV238">
        <f t="shared" si="10"/>
        <v>825</v>
      </c>
      <c r="AW238">
        <v>56</v>
      </c>
      <c r="AX238">
        <v>634</v>
      </c>
      <c r="BC238" t="s">
        <v>60</v>
      </c>
    </row>
    <row r="239" spans="3:55" x14ac:dyDescent="0.45">
      <c r="C239">
        <v>66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26</v>
      </c>
      <c r="L239">
        <v>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f t="shared" si="11"/>
        <v>15.280000000000001</v>
      </c>
      <c r="AU239">
        <f t="shared" si="9"/>
        <v>0</v>
      </c>
      <c r="AV239">
        <f t="shared" si="10"/>
        <v>806</v>
      </c>
      <c r="AW239">
        <v>55</v>
      </c>
      <c r="AX239">
        <v>663</v>
      </c>
      <c r="BC239" t="s">
        <v>60</v>
      </c>
    </row>
    <row r="240" spans="3:55" x14ac:dyDescent="0.45">
      <c r="C240">
        <v>87.5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6.25</v>
      </c>
      <c r="L240">
        <v>6.25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f t="shared" si="11"/>
        <v>8</v>
      </c>
      <c r="AU240">
        <f t="shared" si="9"/>
        <v>0</v>
      </c>
      <c r="AV240">
        <f t="shared" si="10"/>
        <v>822.625</v>
      </c>
      <c r="AW240">
        <v>92</v>
      </c>
    </row>
    <row r="241" spans="3:55" x14ac:dyDescent="0.45">
      <c r="C241">
        <v>90.1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1.7</v>
      </c>
      <c r="L241">
        <v>8.1999999999999993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f t="shared" si="11"/>
        <v>8.6760000000000002</v>
      </c>
      <c r="AU241">
        <f t="shared" si="9"/>
        <v>0</v>
      </c>
      <c r="AV241">
        <f t="shared" si="10"/>
        <v>804.1</v>
      </c>
      <c r="AW241">
        <v>82</v>
      </c>
    </row>
    <row r="242" spans="3:55" x14ac:dyDescent="0.45">
      <c r="C242">
        <v>78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10.8</v>
      </c>
      <c r="L242">
        <v>11.2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f t="shared" si="11"/>
        <v>14.224</v>
      </c>
      <c r="AU242">
        <f t="shared" si="9"/>
        <v>0</v>
      </c>
      <c r="AV242">
        <f t="shared" si="10"/>
        <v>775.6</v>
      </c>
      <c r="AW242">
        <v>92</v>
      </c>
    </row>
    <row r="243" spans="3:55" x14ac:dyDescent="0.45">
      <c r="C243">
        <v>70.400000000000006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19.5</v>
      </c>
      <c r="L243">
        <v>10.1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f t="shared" si="11"/>
        <v>15.56</v>
      </c>
      <c r="AU243">
        <f t="shared" si="9"/>
        <v>0</v>
      </c>
      <c r="AV243">
        <f t="shared" si="10"/>
        <v>786.05</v>
      </c>
      <c r="AW243">
        <v>83</v>
      </c>
    </row>
    <row r="244" spans="3:55" x14ac:dyDescent="0.45">
      <c r="C244">
        <v>64.099999999999994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26.7</v>
      </c>
      <c r="L244">
        <v>9.1999999999999993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f t="shared" si="11"/>
        <v>16.676000000000002</v>
      </c>
      <c r="AU244">
        <f t="shared" si="9"/>
        <v>0</v>
      </c>
      <c r="AV244">
        <f t="shared" si="10"/>
        <v>794.6</v>
      </c>
      <c r="AW244">
        <v>73</v>
      </c>
    </row>
    <row r="245" spans="3:55" x14ac:dyDescent="0.45">
      <c r="C245">
        <v>82.35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11.77</v>
      </c>
      <c r="L245">
        <v>5.88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f t="shared" si="11"/>
        <v>9.1755999999999993</v>
      </c>
      <c r="AU245">
        <f t="shared" si="9"/>
        <v>0</v>
      </c>
      <c r="AV245">
        <f t="shared" si="10"/>
        <v>826.14</v>
      </c>
      <c r="AW245">
        <v>83</v>
      </c>
    </row>
    <row r="246" spans="3:55" x14ac:dyDescent="0.45">
      <c r="C246">
        <v>88.83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2.86</v>
      </c>
      <c r="L246">
        <v>8.31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f t="shared" si="11"/>
        <v>9.1108000000000011</v>
      </c>
      <c r="AU246">
        <f t="shared" si="9"/>
        <v>0</v>
      </c>
      <c r="AV246">
        <f t="shared" si="10"/>
        <v>803.05499999999995</v>
      </c>
      <c r="AW246">
        <v>78</v>
      </c>
    </row>
    <row r="247" spans="3:55" x14ac:dyDescent="0.45">
      <c r="C247">
        <v>90.35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2.82</v>
      </c>
      <c r="L247">
        <v>6.83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f t="shared" si="11"/>
        <v>7.6196000000000002</v>
      </c>
      <c r="AU247">
        <f t="shared" si="9"/>
        <v>0</v>
      </c>
      <c r="AV247">
        <f t="shared" si="10"/>
        <v>817.11500000000001</v>
      </c>
      <c r="AW247">
        <v>89</v>
      </c>
    </row>
    <row r="248" spans="3:55" x14ac:dyDescent="0.45">
      <c r="C248">
        <v>63.75</v>
      </c>
      <c r="D248">
        <v>0</v>
      </c>
      <c r="E248">
        <v>0</v>
      </c>
      <c r="F248">
        <v>0.9</v>
      </c>
      <c r="G248">
        <v>0</v>
      </c>
      <c r="H248">
        <v>0</v>
      </c>
      <c r="I248">
        <v>0</v>
      </c>
      <c r="J248">
        <v>0</v>
      </c>
      <c r="K248">
        <v>35.35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20</v>
      </c>
      <c r="X248">
        <v>85</v>
      </c>
      <c r="Y248">
        <v>0</v>
      </c>
      <c r="Z248">
        <v>1</v>
      </c>
      <c r="AA248">
        <v>0</v>
      </c>
      <c r="AB248">
        <v>0</v>
      </c>
      <c r="AC248">
        <v>800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f t="shared" si="11"/>
        <v>11.338000000000001</v>
      </c>
      <c r="AU248">
        <f t="shared" si="9"/>
        <v>0</v>
      </c>
      <c r="AV248">
        <f t="shared" si="10"/>
        <v>871.11</v>
      </c>
      <c r="AY248">
        <v>503</v>
      </c>
      <c r="AZ248">
        <v>35.799999999999997</v>
      </c>
      <c r="BC248" t="s">
        <v>53</v>
      </c>
    </row>
    <row r="249" spans="3:55" x14ac:dyDescent="0.45">
      <c r="C249">
        <v>65.55</v>
      </c>
      <c r="D249">
        <v>0</v>
      </c>
      <c r="E249">
        <v>0</v>
      </c>
      <c r="F249">
        <v>1.83</v>
      </c>
      <c r="G249">
        <v>0</v>
      </c>
      <c r="H249">
        <v>0</v>
      </c>
      <c r="I249">
        <v>0</v>
      </c>
      <c r="J249">
        <v>0</v>
      </c>
      <c r="K249">
        <v>32.619999999999997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20</v>
      </c>
      <c r="X249">
        <v>85</v>
      </c>
      <c r="Y249">
        <v>0</v>
      </c>
      <c r="Z249">
        <v>1</v>
      </c>
      <c r="AA249">
        <v>0</v>
      </c>
      <c r="AB249">
        <v>0</v>
      </c>
      <c r="AC249">
        <v>800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f t="shared" si="11"/>
        <v>12.0616</v>
      </c>
      <c r="AU249">
        <f t="shared" si="9"/>
        <v>0</v>
      </c>
      <c r="AV249">
        <f t="shared" si="10"/>
        <v>859.85699999999997</v>
      </c>
      <c r="AY249">
        <v>474</v>
      </c>
      <c r="AZ249">
        <v>28.5</v>
      </c>
      <c r="BB249" t="s">
        <v>343</v>
      </c>
      <c r="BC249" t="s">
        <v>53</v>
      </c>
    </row>
    <row r="250" spans="3:55" x14ac:dyDescent="0.45">
      <c r="C250">
        <v>67.41</v>
      </c>
      <c r="D250">
        <v>0</v>
      </c>
      <c r="E250">
        <v>0</v>
      </c>
      <c r="F250">
        <v>2.78</v>
      </c>
      <c r="G250">
        <v>0</v>
      </c>
      <c r="H250">
        <v>0</v>
      </c>
      <c r="I250">
        <v>0</v>
      </c>
      <c r="J250">
        <v>0</v>
      </c>
      <c r="K250">
        <v>29.81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20</v>
      </c>
      <c r="X250">
        <v>85</v>
      </c>
      <c r="Y250">
        <v>0</v>
      </c>
      <c r="Z250">
        <v>1</v>
      </c>
      <c r="AA250">
        <v>0</v>
      </c>
      <c r="AB250">
        <v>0</v>
      </c>
      <c r="AC250">
        <v>800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f t="shared" si="11"/>
        <v>12.794799999999999</v>
      </c>
      <c r="AU250">
        <f t="shared" si="9"/>
        <v>0</v>
      </c>
      <c r="AV250">
        <f t="shared" si="10"/>
        <v>848.36199999999997</v>
      </c>
      <c r="AY250">
        <v>523</v>
      </c>
      <c r="AZ250">
        <v>18.899999999999999</v>
      </c>
      <c r="BC250" t="s">
        <v>53</v>
      </c>
    </row>
    <row r="251" spans="3:55" x14ac:dyDescent="0.45">
      <c r="C251">
        <v>69.319999999999993</v>
      </c>
      <c r="D251">
        <v>0</v>
      </c>
      <c r="E251">
        <v>0</v>
      </c>
      <c r="F251">
        <v>3.77</v>
      </c>
      <c r="G251">
        <v>0</v>
      </c>
      <c r="H251">
        <v>0</v>
      </c>
      <c r="I251">
        <v>0</v>
      </c>
      <c r="J251">
        <v>0</v>
      </c>
      <c r="K251">
        <v>26.91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20</v>
      </c>
      <c r="X251">
        <v>85</v>
      </c>
      <c r="Y251">
        <v>0</v>
      </c>
      <c r="Z251">
        <v>1</v>
      </c>
      <c r="AA251">
        <v>0</v>
      </c>
      <c r="AB251">
        <v>0</v>
      </c>
      <c r="AC251">
        <v>800</v>
      </c>
      <c r="AD251">
        <v>1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f t="shared" si="11"/>
        <v>13.566800000000001</v>
      </c>
      <c r="AU251">
        <f t="shared" si="9"/>
        <v>0</v>
      </c>
      <c r="AV251">
        <f t="shared" si="10"/>
        <v>836.38300000000004</v>
      </c>
      <c r="AY251">
        <v>557</v>
      </c>
      <c r="AZ251">
        <v>22.5</v>
      </c>
      <c r="BC251" t="s">
        <v>53</v>
      </c>
    </row>
    <row r="252" spans="3:55" x14ac:dyDescent="0.45">
      <c r="C252">
        <v>71.3</v>
      </c>
      <c r="D252">
        <v>0</v>
      </c>
      <c r="E252">
        <v>0</v>
      </c>
      <c r="F252">
        <v>4.78</v>
      </c>
      <c r="G252">
        <v>0</v>
      </c>
      <c r="H252">
        <v>0</v>
      </c>
      <c r="I252">
        <v>0</v>
      </c>
      <c r="J252">
        <v>0</v>
      </c>
      <c r="K252">
        <v>23.92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20</v>
      </c>
      <c r="X252">
        <v>85</v>
      </c>
      <c r="Y252">
        <v>0</v>
      </c>
      <c r="Z252">
        <v>1</v>
      </c>
      <c r="AA252">
        <v>0</v>
      </c>
      <c r="AB252">
        <v>0</v>
      </c>
      <c r="AC252">
        <v>800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f t="shared" si="11"/>
        <v>14.345600000000001</v>
      </c>
      <c r="AU252">
        <f t="shared" si="9"/>
        <v>0</v>
      </c>
      <c r="AV252">
        <f t="shared" si="10"/>
        <v>824.16200000000003</v>
      </c>
      <c r="AY252">
        <v>603</v>
      </c>
      <c r="AZ252">
        <v>22.7</v>
      </c>
      <c r="BC252" t="s">
        <v>53</v>
      </c>
    </row>
    <row r="253" spans="3:55" x14ac:dyDescent="0.45">
      <c r="C253">
        <v>65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30</v>
      </c>
      <c r="K253">
        <v>0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1000</v>
      </c>
      <c r="X253">
        <v>70</v>
      </c>
      <c r="Y253">
        <v>0</v>
      </c>
      <c r="Z253">
        <v>1</v>
      </c>
      <c r="AA253">
        <v>0</v>
      </c>
      <c r="AB253">
        <v>0</v>
      </c>
      <c r="AC253">
        <v>850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f t="shared" si="11"/>
        <v>5</v>
      </c>
      <c r="AU253">
        <f t="shared" si="9"/>
        <v>5</v>
      </c>
      <c r="AV253">
        <f t="shared" si="10"/>
        <v>627.5</v>
      </c>
      <c r="AY253">
        <v>762</v>
      </c>
      <c r="AZ253">
        <v>18.52</v>
      </c>
      <c r="BC253" t="s">
        <v>95</v>
      </c>
    </row>
    <row r="254" spans="3:55" x14ac:dyDescent="0.45">
      <c r="C254">
        <v>64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30</v>
      </c>
      <c r="K254">
        <v>0</v>
      </c>
      <c r="L254">
        <v>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1000</v>
      </c>
      <c r="X254">
        <v>70</v>
      </c>
      <c r="Y254">
        <v>0</v>
      </c>
      <c r="Z254">
        <v>1</v>
      </c>
      <c r="AA254">
        <v>0</v>
      </c>
      <c r="AB254">
        <v>0</v>
      </c>
      <c r="AC254">
        <v>850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f t="shared" si="11"/>
        <v>6</v>
      </c>
      <c r="AU254">
        <f t="shared" si="9"/>
        <v>5</v>
      </c>
      <c r="AV254">
        <f t="shared" si="10"/>
        <v>618</v>
      </c>
      <c r="AY254">
        <v>723</v>
      </c>
      <c r="AZ254">
        <v>33.4</v>
      </c>
      <c r="BB254" t="s">
        <v>250</v>
      </c>
      <c r="BC254" t="s">
        <v>95</v>
      </c>
    </row>
    <row r="255" spans="3:55" x14ac:dyDescent="0.45">
      <c r="C255">
        <v>63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30</v>
      </c>
      <c r="K255">
        <v>0</v>
      </c>
      <c r="L255">
        <v>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1000</v>
      </c>
      <c r="X255">
        <v>70</v>
      </c>
      <c r="Y255">
        <v>0</v>
      </c>
      <c r="Z255">
        <v>1</v>
      </c>
      <c r="AA255">
        <v>0</v>
      </c>
      <c r="AB255">
        <v>0</v>
      </c>
      <c r="AC255">
        <v>850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f t="shared" si="11"/>
        <v>7</v>
      </c>
      <c r="AU255">
        <f t="shared" si="9"/>
        <v>5</v>
      </c>
      <c r="AV255">
        <f t="shared" si="10"/>
        <v>608.5</v>
      </c>
      <c r="AY255">
        <v>782</v>
      </c>
      <c r="AZ255">
        <v>18.920000000000002</v>
      </c>
      <c r="BB255" t="s">
        <v>250</v>
      </c>
      <c r="BC255" t="s">
        <v>95</v>
      </c>
    </row>
    <row r="256" spans="3:55" x14ac:dyDescent="0.45">
      <c r="C256">
        <v>90.600000000000009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2.86</v>
      </c>
      <c r="K256">
        <v>0</v>
      </c>
      <c r="L256">
        <v>6.54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f t="shared" si="11"/>
        <v>6.54</v>
      </c>
      <c r="AU256">
        <f t="shared" si="9"/>
        <v>0.47666666666666663</v>
      </c>
      <c r="AV256">
        <f t="shared" si="10"/>
        <v>800.13599999999997</v>
      </c>
      <c r="AW256">
        <v>64.5</v>
      </c>
      <c r="AX256">
        <v>509</v>
      </c>
      <c r="BB256" t="s">
        <v>344</v>
      </c>
      <c r="BC256" t="s">
        <v>60</v>
      </c>
    </row>
    <row r="257" spans="3:55" x14ac:dyDescent="0.45">
      <c r="C257">
        <v>77.86999999999999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18.98</v>
      </c>
      <c r="K257">
        <v>0</v>
      </c>
      <c r="L257">
        <v>3.2300000000000004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f t="shared" si="11"/>
        <v>3.2300000000000004</v>
      </c>
      <c r="AU257">
        <f t="shared" si="9"/>
        <v>3.1633333333333336</v>
      </c>
      <c r="AV257">
        <f t="shared" si="10"/>
        <v>720.35300000000007</v>
      </c>
      <c r="AW257">
        <v>75</v>
      </c>
      <c r="AX257">
        <v>383</v>
      </c>
      <c r="BB257" t="s">
        <v>345</v>
      </c>
      <c r="BC257" t="s">
        <v>60</v>
      </c>
    </row>
    <row r="258" spans="3:55" x14ac:dyDescent="0.45">
      <c r="C258">
        <v>77.149999999999991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18.98</v>
      </c>
      <c r="K258">
        <v>0</v>
      </c>
      <c r="L258">
        <v>3.8699999999999997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f t="shared" si="11"/>
        <v>3.8699999999999997</v>
      </c>
      <c r="AU258">
        <f t="shared" ref="AU258:AU321" si="12">D258+J258/6+M258/3+(T258+S258)/10</f>
        <v>3.1633333333333336</v>
      </c>
      <c r="AV258">
        <f t="shared" ref="AV258:AV321" si="13">882+2.1*D258-9.5*L258+4.2*M258-6.9*J258-11.8*E258-12.1*F258-15.4*H258+23.3*Q258+123*T258</f>
        <v>714.27300000000002</v>
      </c>
      <c r="AW258">
        <v>63</v>
      </c>
      <c r="AX258">
        <v>459</v>
      </c>
      <c r="BC258" t="s">
        <v>60</v>
      </c>
    </row>
    <row r="259" spans="3:55" x14ac:dyDescent="0.45">
      <c r="C259">
        <v>76.429999999999993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19.29</v>
      </c>
      <c r="K259">
        <v>0</v>
      </c>
      <c r="L259">
        <v>4.2799999999999994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f t="shared" ref="AT259:AT322" si="14">L259+0.67*E259+0.44*P259+0.28*K259+0.22*O259+2.9*H259+1.6*F259+1.7*G259-D259</f>
        <v>4.2799999999999994</v>
      </c>
      <c r="AU259">
        <f t="shared" si="12"/>
        <v>3.2149999999999999</v>
      </c>
      <c r="AV259">
        <f t="shared" si="13"/>
        <v>708.23900000000003</v>
      </c>
      <c r="AW259">
        <v>66</v>
      </c>
      <c r="AX259">
        <v>674</v>
      </c>
      <c r="BC259" t="s">
        <v>60</v>
      </c>
    </row>
    <row r="260" spans="3:55" x14ac:dyDescent="0.45">
      <c r="C260">
        <v>87.5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6.25</v>
      </c>
      <c r="K260">
        <v>0</v>
      </c>
      <c r="L260">
        <v>6.25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f t="shared" si="14"/>
        <v>6.25</v>
      </c>
      <c r="AU260">
        <f t="shared" si="12"/>
        <v>1.0416666666666667</v>
      </c>
      <c r="AV260">
        <f t="shared" si="13"/>
        <v>779.5</v>
      </c>
      <c r="AW260">
        <v>80</v>
      </c>
    </row>
    <row r="261" spans="3:55" x14ac:dyDescent="0.45">
      <c r="C261">
        <v>86.7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7.7</v>
      </c>
      <c r="K261">
        <v>0</v>
      </c>
      <c r="L261">
        <v>5.6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f t="shared" si="14"/>
        <v>5.6</v>
      </c>
      <c r="AU261">
        <f t="shared" si="12"/>
        <v>1.2833333333333334</v>
      </c>
      <c r="AV261">
        <f t="shared" si="13"/>
        <v>775.67</v>
      </c>
      <c r="AW261">
        <v>74</v>
      </c>
    </row>
    <row r="262" spans="3:55" x14ac:dyDescent="0.45">
      <c r="C262">
        <v>78.2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10.6</v>
      </c>
      <c r="K262">
        <v>0</v>
      </c>
      <c r="L262">
        <v>11.2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f t="shared" si="14"/>
        <v>11.2</v>
      </c>
      <c r="AU262">
        <f t="shared" si="12"/>
        <v>1.7666666666666666</v>
      </c>
      <c r="AV262">
        <f t="shared" si="13"/>
        <v>702.46</v>
      </c>
      <c r="AW262">
        <v>80</v>
      </c>
    </row>
    <row r="263" spans="3:55" x14ac:dyDescent="0.45">
      <c r="C263">
        <v>85.36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8.9600000000000009</v>
      </c>
      <c r="K263">
        <v>0</v>
      </c>
      <c r="L263">
        <v>5.68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f t="shared" si="14"/>
        <v>5.68</v>
      </c>
      <c r="AU263">
        <f t="shared" si="12"/>
        <v>1.4933333333333334</v>
      </c>
      <c r="AV263">
        <f t="shared" si="13"/>
        <v>766.21599999999989</v>
      </c>
      <c r="AW263">
        <v>82</v>
      </c>
    </row>
    <row r="264" spans="3:55" x14ac:dyDescent="0.45">
      <c r="C264">
        <v>72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26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20</v>
      </c>
      <c r="X264">
        <v>84</v>
      </c>
      <c r="Y264">
        <v>0</v>
      </c>
      <c r="Z264">
        <v>1</v>
      </c>
      <c r="AA264">
        <v>0</v>
      </c>
      <c r="AB264">
        <v>0</v>
      </c>
      <c r="AC264">
        <v>800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f t="shared" si="14"/>
        <v>13.080000000000002</v>
      </c>
      <c r="AU264">
        <f t="shared" si="12"/>
        <v>0</v>
      </c>
      <c r="AV264">
        <f t="shared" si="13"/>
        <v>851.2</v>
      </c>
      <c r="AY264">
        <v>739</v>
      </c>
      <c r="AZ264">
        <v>23.38</v>
      </c>
      <c r="BC264" t="s">
        <v>96</v>
      </c>
    </row>
    <row r="265" spans="3:55" x14ac:dyDescent="0.45">
      <c r="C265">
        <v>72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0</v>
      </c>
      <c r="K265">
        <v>26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20</v>
      </c>
      <c r="X265">
        <v>84</v>
      </c>
      <c r="Y265">
        <v>0</v>
      </c>
      <c r="Z265">
        <v>1</v>
      </c>
      <c r="AA265">
        <v>0</v>
      </c>
      <c r="AB265">
        <v>0</v>
      </c>
      <c r="AC265">
        <v>800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f t="shared" si="14"/>
        <v>13.080000000000002</v>
      </c>
      <c r="AU265">
        <f t="shared" si="12"/>
        <v>0</v>
      </c>
      <c r="AV265">
        <f t="shared" si="13"/>
        <v>851.2</v>
      </c>
      <c r="AY265">
        <v>739</v>
      </c>
      <c r="AZ265">
        <v>24</v>
      </c>
      <c r="BC265" t="s">
        <v>97</v>
      </c>
    </row>
    <row r="266" spans="3:55" x14ac:dyDescent="0.45">
      <c r="C266">
        <v>80.849999999999994</v>
      </c>
      <c r="D266">
        <v>0</v>
      </c>
      <c r="E266">
        <v>0</v>
      </c>
      <c r="F266">
        <v>0</v>
      </c>
      <c r="G266">
        <v>0</v>
      </c>
      <c r="H266">
        <v>1.0999999999999999</v>
      </c>
      <c r="I266">
        <v>0</v>
      </c>
      <c r="J266">
        <v>0</v>
      </c>
      <c r="K266">
        <v>18.05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f t="shared" si="14"/>
        <v>8.2439999999999998</v>
      </c>
      <c r="AU266">
        <f t="shared" si="12"/>
        <v>0</v>
      </c>
      <c r="AV266">
        <f t="shared" si="13"/>
        <v>865.06</v>
      </c>
      <c r="AW266">
        <v>81</v>
      </c>
      <c r="AX266">
        <v>477</v>
      </c>
      <c r="BC266" t="s">
        <v>60</v>
      </c>
    </row>
    <row r="267" spans="3:55" x14ac:dyDescent="0.45">
      <c r="C267">
        <v>82.54</v>
      </c>
      <c r="D267">
        <v>0</v>
      </c>
      <c r="E267">
        <v>0</v>
      </c>
      <c r="F267">
        <v>0</v>
      </c>
      <c r="G267">
        <v>0</v>
      </c>
      <c r="H267">
        <v>1.6199999999999999</v>
      </c>
      <c r="I267">
        <v>0</v>
      </c>
      <c r="J267">
        <v>0</v>
      </c>
      <c r="K267">
        <v>15.840000000000002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f t="shared" si="14"/>
        <v>9.1332000000000004</v>
      </c>
      <c r="AU267">
        <f t="shared" si="12"/>
        <v>0</v>
      </c>
      <c r="AV267">
        <f t="shared" si="13"/>
        <v>857.05200000000002</v>
      </c>
      <c r="AW267">
        <v>94</v>
      </c>
      <c r="AX267">
        <v>496</v>
      </c>
      <c r="BC267" t="s">
        <v>60</v>
      </c>
    </row>
    <row r="268" spans="3:55" x14ac:dyDescent="0.45">
      <c r="C268">
        <v>84.58</v>
      </c>
      <c r="D268">
        <v>0</v>
      </c>
      <c r="E268">
        <v>0</v>
      </c>
      <c r="F268">
        <v>0</v>
      </c>
      <c r="G268">
        <v>0</v>
      </c>
      <c r="H268">
        <v>2.17</v>
      </c>
      <c r="I268">
        <v>0</v>
      </c>
      <c r="J268">
        <v>0</v>
      </c>
      <c r="K268">
        <v>13.25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f t="shared" si="14"/>
        <v>10.003</v>
      </c>
      <c r="AU268">
        <f t="shared" si="12"/>
        <v>0</v>
      </c>
      <c r="AV268">
        <f t="shared" si="13"/>
        <v>848.58199999999999</v>
      </c>
      <c r="AW268">
        <v>95</v>
      </c>
      <c r="AX268">
        <v>604</v>
      </c>
      <c r="BC268" t="s">
        <v>60</v>
      </c>
    </row>
    <row r="269" spans="3:55" x14ac:dyDescent="0.45">
      <c r="C269">
        <v>87.070000000000007</v>
      </c>
      <c r="D269">
        <v>0</v>
      </c>
      <c r="E269">
        <v>0</v>
      </c>
      <c r="F269">
        <v>0</v>
      </c>
      <c r="G269">
        <v>0</v>
      </c>
      <c r="H269">
        <v>2.54</v>
      </c>
      <c r="I269">
        <v>0</v>
      </c>
      <c r="J269">
        <v>0</v>
      </c>
      <c r="K269">
        <v>10.39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f t="shared" si="14"/>
        <v>10.2752</v>
      </c>
      <c r="AU269">
        <f t="shared" si="12"/>
        <v>0</v>
      </c>
      <c r="AV269">
        <f t="shared" si="13"/>
        <v>842.88400000000001</v>
      </c>
      <c r="AW269">
        <v>90</v>
      </c>
      <c r="AX269">
        <v>672</v>
      </c>
      <c r="BC269" t="s">
        <v>60</v>
      </c>
    </row>
    <row r="270" spans="3:55" x14ac:dyDescent="0.45">
      <c r="C270">
        <v>88.949999999999989</v>
      </c>
      <c r="D270">
        <v>0</v>
      </c>
      <c r="E270">
        <v>0</v>
      </c>
      <c r="F270">
        <v>0</v>
      </c>
      <c r="G270">
        <v>0</v>
      </c>
      <c r="H270">
        <v>2.8000000000000003</v>
      </c>
      <c r="I270">
        <v>0</v>
      </c>
      <c r="J270">
        <v>0</v>
      </c>
      <c r="K270">
        <v>8.25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f t="shared" si="14"/>
        <v>10.430000000000001</v>
      </c>
      <c r="AU270">
        <f t="shared" si="12"/>
        <v>0</v>
      </c>
      <c r="AV270">
        <f t="shared" si="13"/>
        <v>838.88</v>
      </c>
      <c r="AW270">
        <v>94</v>
      </c>
      <c r="AX270">
        <v>695</v>
      </c>
      <c r="BC270" t="s">
        <v>60</v>
      </c>
    </row>
    <row r="271" spans="3:55" x14ac:dyDescent="0.45">
      <c r="C271">
        <v>90.63</v>
      </c>
      <c r="D271">
        <v>0</v>
      </c>
      <c r="E271">
        <v>0</v>
      </c>
      <c r="F271">
        <v>0</v>
      </c>
      <c r="G271">
        <v>0</v>
      </c>
      <c r="H271">
        <v>3.35</v>
      </c>
      <c r="I271">
        <v>0</v>
      </c>
      <c r="J271">
        <v>0</v>
      </c>
      <c r="K271">
        <v>6.02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f t="shared" si="14"/>
        <v>11.400600000000001</v>
      </c>
      <c r="AU271">
        <f t="shared" si="12"/>
        <v>0</v>
      </c>
      <c r="AV271">
        <f t="shared" si="13"/>
        <v>830.41</v>
      </c>
      <c r="AW271">
        <v>97</v>
      </c>
      <c r="AX271">
        <v>715</v>
      </c>
      <c r="BC271" t="s">
        <v>60</v>
      </c>
    </row>
    <row r="272" spans="3:55" x14ac:dyDescent="0.45">
      <c r="C272">
        <v>80.63</v>
      </c>
      <c r="D272">
        <v>0</v>
      </c>
      <c r="E272">
        <v>0</v>
      </c>
      <c r="F272">
        <v>0</v>
      </c>
      <c r="G272">
        <v>0</v>
      </c>
      <c r="H272">
        <v>1.1100000000000001</v>
      </c>
      <c r="I272">
        <v>0</v>
      </c>
      <c r="J272">
        <v>0</v>
      </c>
      <c r="K272">
        <v>18.260000000000002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f t="shared" si="14"/>
        <v>8.3318000000000012</v>
      </c>
      <c r="AU272">
        <f t="shared" si="12"/>
        <v>0</v>
      </c>
      <c r="AV272">
        <f t="shared" si="13"/>
        <v>864.90599999999995</v>
      </c>
      <c r="AW272">
        <v>79</v>
      </c>
      <c r="AX272">
        <v>606</v>
      </c>
      <c r="BB272" t="s">
        <v>337</v>
      </c>
      <c r="BC272" t="s">
        <v>60</v>
      </c>
    </row>
    <row r="273" spans="3:55" x14ac:dyDescent="0.45">
      <c r="C273">
        <v>79.12</v>
      </c>
      <c r="D273">
        <v>0</v>
      </c>
      <c r="E273">
        <v>0</v>
      </c>
      <c r="F273">
        <v>0</v>
      </c>
      <c r="G273">
        <v>0</v>
      </c>
      <c r="H273">
        <v>2.92</v>
      </c>
      <c r="I273">
        <v>0</v>
      </c>
      <c r="J273">
        <v>0</v>
      </c>
      <c r="K273">
        <v>17.96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f t="shared" si="14"/>
        <v>13.4968</v>
      </c>
      <c r="AU273">
        <f t="shared" si="12"/>
        <v>0</v>
      </c>
      <c r="AV273">
        <f t="shared" si="13"/>
        <v>837.03200000000004</v>
      </c>
      <c r="AW273">
        <v>78</v>
      </c>
      <c r="AX273">
        <v>625</v>
      </c>
      <c r="BB273" t="s">
        <v>337</v>
      </c>
      <c r="BC273" t="s">
        <v>60</v>
      </c>
    </row>
    <row r="274" spans="3:55" x14ac:dyDescent="0.45">
      <c r="C274">
        <v>77.19</v>
      </c>
      <c r="D274">
        <v>0</v>
      </c>
      <c r="E274">
        <v>0</v>
      </c>
      <c r="F274">
        <v>0</v>
      </c>
      <c r="G274">
        <v>0</v>
      </c>
      <c r="H274">
        <v>5.1400000000000006</v>
      </c>
      <c r="I274">
        <v>0</v>
      </c>
      <c r="J274">
        <v>0</v>
      </c>
      <c r="K274">
        <v>17.68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f t="shared" si="14"/>
        <v>19.856400000000001</v>
      </c>
      <c r="AU274">
        <f t="shared" si="12"/>
        <v>0</v>
      </c>
      <c r="AV274">
        <f t="shared" si="13"/>
        <v>802.84400000000005</v>
      </c>
      <c r="AW274">
        <v>79</v>
      </c>
      <c r="AX274">
        <v>629</v>
      </c>
      <c r="BB274" t="s">
        <v>337</v>
      </c>
      <c r="BC274" t="s">
        <v>60</v>
      </c>
    </row>
    <row r="275" spans="3:55" x14ac:dyDescent="0.45">
      <c r="C275">
        <v>88.9</v>
      </c>
      <c r="D275">
        <v>0</v>
      </c>
      <c r="E275">
        <v>0</v>
      </c>
      <c r="F275">
        <v>0</v>
      </c>
      <c r="G275">
        <v>0</v>
      </c>
      <c r="H275">
        <v>4.1399999999999997</v>
      </c>
      <c r="I275">
        <v>0</v>
      </c>
      <c r="J275">
        <v>0</v>
      </c>
      <c r="K275">
        <v>6.9599999999999991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f t="shared" si="14"/>
        <v>13.954799999999999</v>
      </c>
      <c r="AU275">
        <f t="shared" si="12"/>
        <v>0</v>
      </c>
      <c r="AV275">
        <f t="shared" si="13"/>
        <v>818.24400000000003</v>
      </c>
      <c r="AW275">
        <v>90</v>
      </c>
      <c r="AX275">
        <v>740</v>
      </c>
      <c r="BB275" t="s">
        <v>337</v>
      </c>
      <c r="BC275" t="s">
        <v>60</v>
      </c>
    </row>
    <row r="276" spans="3:55" x14ac:dyDescent="0.45">
      <c r="C276">
        <v>88.48</v>
      </c>
      <c r="D276">
        <v>0</v>
      </c>
      <c r="E276">
        <v>0</v>
      </c>
      <c r="F276">
        <v>0</v>
      </c>
      <c r="G276">
        <v>0</v>
      </c>
      <c r="H276">
        <v>5.48</v>
      </c>
      <c r="I276">
        <v>0</v>
      </c>
      <c r="J276">
        <v>0</v>
      </c>
      <c r="K276">
        <v>6.04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f t="shared" si="14"/>
        <v>17.583200000000001</v>
      </c>
      <c r="AU276">
        <f t="shared" si="12"/>
        <v>0</v>
      </c>
      <c r="AV276">
        <f t="shared" si="13"/>
        <v>797.60799999999995</v>
      </c>
      <c r="AW276">
        <v>89</v>
      </c>
      <c r="AX276">
        <v>1137</v>
      </c>
      <c r="BB276" t="s">
        <v>337</v>
      </c>
      <c r="BC276" t="s">
        <v>60</v>
      </c>
    </row>
    <row r="277" spans="3:55" x14ac:dyDescent="0.45">
      <c r="C277">
        <v>85.67</v>
      </c>
      <c r="D277">
        <v>0</v>
      </c>
      <c r="E277">
        <v>0</v>
      </c>
      <c r="F277">
        <v>0</v>
      </c>
      <c r="G277">
        <v>0</v>
      </c>
      <c r="H277">
        <v>8.2600000000000016</v>
      </c>
      <c r="I277">
        <v>0</v>
      </c>
      <c r="J277">
        <v>0</v>
      </c>
      <c r="K277">
        <v>6.0699999999999994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f t="shared" si="14"/>
        <v>25.653600000000004</v>
      </c>
      <c r="AU277">
        <f t="shared" si="12"/>
        <v>0</v>
      </c>
      <c r="AV277">
        <f t="shared" si="13"/>
        <v>754.79599999999994</v>
      </c>
      <c r="AW277">
        <v>82</v>
      </c>
      <c r="AX277">
        <v>1078</v>
      </c>
      <c r="BB277" t="s">
        <v>301</v>
      </c>
      <c r="BC277" t="s">
        <v>60</v>
      </c>
    </row>
    <row r="278" spans="3:55" x14ac:dyDescent="0.45">
      <c r="C278">
        <v>93.39</v>
      </c>
      <c r="D278">
        <v>0</v>
      </c>
      <c r="E278">
        <v>0</v>
      </c>
      <c r="F278">
        <v>0</v>
      </c>
      <c r="G278">
        <v>0</v>
      </c>
      <c r="H278">
        <v>6.09</v>
      </c>
      <c r="I278">
        <v>0</v>
      </c>
      <c r="J278">
        <v>0</v>
      </c>
      <c r="K278">
        <v>0.52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f t="shared" si="14"/>
        <v>17.8066</v>
      </c>
      <c r="AU278">
        <f t="shared" si="12"/>
        <v>0</v>
      </c>
      <c r="AV278">
        <f t="shared" si="13"/>
        <v>788.21399999999994</v>
      </c>
      <c r="AW278">
        <v>124</v>
      </c>
      <c r="AX278">
        <v>1785</v>
      </c>
      <c r="BB278" t="s">
        <v>301</v>
      </c>
      <c r="BC278" t="s">
        <v>60</v>
      </c>
    </row>
    <row r="279" spans="3:55" x14ac:dyDescent="0.45">
      <c r="C279">
        <v>91.7</v>
      </c>
      <c r="D279">
        <v>0</v>
      </c>
      <c r="E279">
        <v>0</v>
      </c>
      <c r="F279">
        <v>0</v>
      </c>
      <c r="G279">
        <v>0</v>
      </c>
      <c r="H279">
        <v>6.18</v>
      </c>
      <c r="I279">
        <v>0</v>
      </c>
      <c r="J279">
        <v>0</v>
      </c>
      <c r="K279">
        <v>2.12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f t="shared" si="14"/>
        <v>18.515599999999996</v>
      </c>
      <c r="AU279">
        <f t="shared" si="12"/>
        <v>0</v>
      </c>
      <c r="AV279">
        <f t="shared" si="13"/>
        <v>786.82799999999997</v>
      </c>
      <c r="AW279">
        <v>115</v>
      </c>
      <c r="AX279">
        <v>1539</v>
      </c>
      <c r="BB279" t="s">
        <v>301</v>
      </c>
      <c r="BC279" t="s">
        <v>60</v>
      </c>
    </row>
    <row r="280" spans="3:55" x14ac:dyDescent="0.45">
      <c r="C280">
        <v>90.539999999999992</v>
      </c>
      <c r="D280">
        <v>0</v>
      </c>
      <c r="E280">
        <v>0</v>
      </c>
      <c r="F280">
        <v>0</v>
      </c>
      <c r="G280">
        <v>0</v>
      </c>
      <c r="H280">
        <v>6.2399999999999993</v>
      </c>
      <c r="I280">
        <v>0</v>
      </c>
      <c r="J280">
        <v>0</v>
      </c>
      <c r="K280">
        <v>3.2199999999999998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f t="shared" si="14"/>
        <v>18.997599999999995</v>
      </c>
      <c r="AU280">
        <f t="shared" si="12"/>
        <v>0</v>
      </c>
      <c r="AV280">
        <f t="shared" si="13"/>
        <v>785.904</v>
      </c>
      <c r="AW280">
        <v>97</v>
      </c>
      <c r="AX280">
        <v>1144</v>
      </c>
      <c r="BC280" t="s">
        <v>60</v>
      </c>
    </row>
    <row r="281" spans="3:55" x14ac:dyDescent="0.45">
      <c r="C281">
        <v>88.759999999999991</v>
      </c>
      <c r="D281">
        <v>0</v>
      </c>
      <c r="E281">
        <v>0</v>
      </c>
      <c r="F281">
        <v>0</v>
      </c>
      <c r="G281">
        <v>0</v>
      </c>
      <c r="H281">
        <v>6.34</v>
      </c>
      <c r="I281">
        <v>0</v>
      </c>
      <c r="J281">
        <v>0</v>
      </c>
      <c r="K281">
        <v>4.9000000000000004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f t="shared" si="14"/>
        <v>19.757999999999999</v>
      </c>
      <c r="AU281">
        <f t="shared" si="12"/>
        <v>0</v>
      </c>
      <c r="AV281">
        <f t="shared" si="13"/>
        <v>784.36400000000003</v>
      </c>
      <c r="AW281">
        <v>89</v>
      </c>
      <c r="AX281">
        <v>1010</v>
      </c>
      <c r="BC281" t="s">
        <v>60</v>
      </c>
    </row>
    <row r="282" spans="3:55" x14ac:dyDescent="0.45">
      <c r="C282">
        <v>87.539999999999992</v>
      </c>
      <c r="D282">
        <v>0</v>
      </c>
      <c r="E282">
        <v>0</v>
      </c>
      <c r="F282">
        <v>0</v>
      </c>
      <c r="G282">
        <v>0</v>
      </c>
      <c r="H282">
        <v>6.41</v>
      </c>
      <c r="I282">
        <v>0</v>
      </c>
      <c r="J282">
        <v>0</v>
      </c>
      <c r="K282">
        <v>6.05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f t="shared" si="14"/>
        <v>20.282999999999998</v>
      </c>
      <c r="AU282">
        <f t="shared" si="12"/>
        <v>0</v>
      </c>
      <c r="AV282">
        <f t="shared" si="13"/>
        <v>783.28600000000006</v>
      </c>
      <c r="AW282">
        <v>86</v>
      </c>
      <c r="AX282">
        <v>985</v>
      </c>
      <c r="BC282" t="s">
        <v>60</v>
      </c>
    </row>
    <row r="283" spans="3:55" x14ac:dyDescent="0.45">
      <c r="C283">
        <v>76.819999999999993</v>
      </c>
      <c r="D283">
        <v>0</v>
      </c>
      <c r="E283">
        <v>0</v>
      </c>
      <c r="F283">
        <v>0</v>
      </c>
      <c r="G283">
        <v>0</v>
      </c>
      <c r="H283">
        <v>6.98</v>
      </c>
      <c r="I283">
        <v>0</v>
      </c>
      <c r="J283">
        <v>0</v>
      </c>
      <c r="K283">
        <v>16.189999999999998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f t="shared" si="14"/>
        <v>24.775200000000002</v>
      </c>
      <c r="AU283">
        <f t="shared" si="12"/>
        <v>0</v>
      </c>
      <c r="AV283">
        <f t="shared" si="13"/>
        <v>774.50800000000004</v>
      </c>
      <c r="AW283">
        <v>116</v>
      </c>
      <c r="AX283">
        <v>784</v>
      </c>
      <c r="BC283" t="s">
        <v>60</v>
      </c>
    </row>
    <row r="284" spans="3:55" x14ac:dyDescent="0.45">
      <c r="C284">
        <v>77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22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f t="shared" si="14"/>
        <v>9.06</v>
      </c>
      <c r="AU284">
        <f t="shared" si="12"/>
        <v>0</v>
      </c>
      <c r="AV284">
        <f t="shared" si="13"/>
        <v>866.6</v>
      </c>
      <c r="AW284">
        <v>79</v>
      </c>
      <c r="AX284">
        <v>600</v>
      </c>
      <c r="BC284" t="s">
        <v>60</v>
      </c>
    </row>
    <row r="285" spans="3:55" x14ac:dyDescent="0.45">
      <c r="C285">
        <v>92.5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1000</v>
      </c>
      <c r="AD285">
        <v>1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f t="shared" si="14"/>
        <v>-5</v>
      </c>
      <c r="AU285">
        <f t="shared" si="12"/>
        <v>5.833333333333333</v>
      </c>
      <c r="AV285">
        <f t="shared" si="13"/>
        <v>903</v>
      </c>
      <c r="AY285">
        <v>769</v>
      </c>
      <c r="AZ285">
        <v>10.6</v>
      </c>
      <c r="BC285" t="s">
        <v>114</v>
      </c>
    </row>
    <row r="286" spans="3:55" x14ac:dyDescent="0.45">
      <c r="C286">
        <v>92.5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f t="shared" si="14"/>
        <v>-5</v>
      </c>
      <c r="AU286">
        <f t="shared" si="12"/>
        <v>5.833333333333333</v>
      </c>
      <c r="AV286">
        <f t="shared" si="13"/>
        <v>903</v>
      </c>
      <c r="AX286">
        <v>746</v>
      </c>
      <c r="AY286">
        <v>769</v>
      </c>
      <c r="AZ286">
        <v>10.6</v>
      </c>
      <c r="BA286">
        <v>282</v>
      </c>
      <c r="BC286" t="s">
        <v>98</v>
      </c>
    </row>
    <row r="287" spans="3:55" x14ac:dyDescent="0.45">
      <c r="C287">
        <v>61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35</v>
      </c>
      <c r="L287">
        <v>0</v>
      </c>
      <c r="M287">
        <v>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20</v>
      </c>
      <c r="X287">
        <v>89</v>
      </c>
      <c r="Y287">
        <v>0</v>
      </c>
      <c r="Z287">
        <v>1</v>
      </c>
      <c r="AA287">
        <v>0</v>
      </c>
      <c r="AB287">
        <v>0</v>
      </c>
      <c r="AC287">
        <v>950</v>
      </c>
      <c r="AD287">
        <v>2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f t="shared" si="14"/>
        <v>9.8000000000000007</v>
      </c>
      <c r="AU287">
        <f t="shared" si="12"/>
        <v>1.3333333333333333</v>
      </c>
      <c r="AV287">
        <f t="shared" si="13"/>
        <v>898.8</v>
      </c>
      <c r="AY287">
        <v>680</v>
      </c>
      <c r="AZ287">
        <v>13.62</v>
      </c>
      <c r="BC287" t="s">
        <v>99</v>
      </c>
    </row>
    <row r="288" spans="3:55" x14ac:dyDescent="0.45">
      <c r="C288">
        <v>61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35</v>
      </c>
      <c r="L288">
        <v>0</v>
      </c>
      <c r="M288">
        <v>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20</v>
      </c>
      <c r="X288">
        <v>89</v>
      </c>
      <c r="Y288">
        <v>0</v>
      </c>
      <c r="Z288">
        <v>1</v>
      </c>
      <c r="AA288">
        <v>0</v>
      </c>
      <c r="AB288">
        <v>0</v>
      </c>
      <c r="AC288">
        <v>950</v>
      </c>
      <c r="AD288">
        <v>2</v>
      </c>
      <c r="AE288">
        <v>1</v>
      </c>
      <c r="AF288">
        <v>0</v>
      </c>
      <c r="AG288">
        <v>0</v>
      </c>
      <c r="AH288">
        <v>250</v>
      </c>
      <c r="AI288">
        <v>2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f t="shared" si="14"/>
        <v>9.8000000000000007</v>
      </c>
      <c r="AU288">
        <f t="shared" si="12"/>
        <v>1.3333333333333333</v>
      </c>
      <c r="AV288">
        <f t="shared" si="13"/>
        <v>898.8</v>
      </c>
      <c r="AY288">
        <v>830</v>
      </c>
      <c r="AZ288">
        <v>6.5</v>
      </c>
      <c r="BB288" t="s">
        <v>251</v>
      </c>
      <c r="BC288" t="s">
        <v>100</v>
      </c>
    </row>
    <row r="289" spans="3:55" x14ac:dyDescent="0.45">
      <c r="C289">
        <v>61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35</v>
      </c>
      <c r="L289">
        <v>0</v>
      </c>
      <c r="M289">
        <v>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20</v>
      </c>
      <c r="X289">
        <v>89</v>
      </c>
      <c r="Y289">
        <v>0</v>
      </c>
      <c r="Z289">
        <v>1</v>
      </c>
      <c r="AA289">
        <v>0</v>
      </c>
      <c r="AB289">
        <v>0</v>
      </c>
      <c r="AC289">
        <v>950</v>
      </c>
      <c r="AD289">
        <v>2</v>
      </c>
      <c r="AE289">
        <v>1</v>
      </c>
      <c r="AF289">
        <v>0</v>
      </c>
      <c r="AG289">
        <v>0</v>
      </c>
      <c r="AH289">
        <v>300</v>
      </c>
      <c r="AI289">
        <v>2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f t="shared" si="14"/>
        <v>9.8000000000000007</v>
      </c>
      <c r="AU289">
        <f t="shared" si="12"/>
        <v>1.3333333333333333</v>
      </c>
      <c r="AV289">
        <f t="shared" si="13"/>
        <v>898.8</v>
      </c>
      <c r="AY289">
        <v>1000</v>
      </c>
      <c r="AZ289">
        <v>8.9499999999999993</v>
      </c>
      <c r="BB289" t="s">
        <v>251</v>
      </c>
      <c r="BC289" t="s">
        <v>101</v>
      </c>
    </row>
    <row r="290" spans="3:55" x14ac:dyDescent="0.45">
      <c r="C290">
        <v>57.1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35</v>
      </c>
      <c r="L290">
        <v>0</v>
      </c>
      <c r="M290">
        <v>7.9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20</v>
      </c>
      <c r="X290">
        <v>89</v>
      </c>
      <c r="Y290">
        <v>0</v>
      </c>
      <c r="Z290">
        <v>1</v>
      </c>
      <c r="AA290">
        <v>0</v>
      </c>
      <c r="AB290">
        <v>0</v>
      </c>
      <c r="AC290">
        <v>950</v>
      </c>
      <c r="AD290">
        <v>2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f t="shared" si="14"/>
        <v>9.8000000000000007</v>
      </c>
      <c r="AU290">
        <f t="shared" si="12"/>
        <v>2.6333333333333333</v>
      </c>
      <c r="AV290">
        <f t="shared" si="13"/>
        <v>915.18</v>
      </c>
      <c r="AY290">
        <v>600</v>
      </c>
      <c r="AZ290">
        <v>13.59</v>
      </c>
      <c r="BC290" t="s">
        <v>102</v>
      </c>
    </row>
    <row r="291" spans="3:55" x14ac:dyDescent="0.45">
      <c r="C291">
        <v>57.1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35</v>
      </c>
      <c r="L291">
        <v>0</v>
      </c>
      <c r="M291">
        <v>7.9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20</v>
      </c>
      <c r="X291">
        <v>89</v>
      </c>
      <c r="Y291">
        <v>0</v>
      </c>
      <c r="Z291">
        <v>1</v>
      </c>
      <c r="AA291">
        <v>0</v>
      </c>
      <c r="AB291">
        <v>0</v>
      </c>
      <c r="AC291">
        <v>950</v>
      </c>
      <c r="AD291">
        <v>2</v>
      </c>
      <c r="AE291">
        <v>1</v>
      </c>
      <c r="AF291">
        <v>0</v>
      </c>
      <c r="AG291">
        <v>0</v>
      </c>
      <c r="AH291">
        <v>250</v>
      </c>
      <c r="AI291">
        <v>2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f t="shared" si="14"/>
        <v>9.8000000000000007</v>
      </c>
      <c r="AU291">
        <f t="shared" si="12"/>
        <v>2.6333333333333333</v>
      </c>
      <c r="AV291">
        <f t="shared" si="13"/>
        <v>915.18</v>
      </c>
      <c r="AY291">
        <v>670</v>
      </c>
      <c r="AZ291">
        <v>15.05</v>
      </c>
      <c r="BC291" t="s">
        <v>103</v>
      </c>
    </row>
    <row r="292" spans="3:55" x14ac:dyDescent="0.45">
      <c r="C292">
        <v>57.1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35</v>
      </c>
      <c r="L292">
        <v>0</v>
      </c>
      <c r="M292">
        <v>7.9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20</v>
      </c>
      <c r="X292">
        <v>89</v>
      </c>
      <c r="Y292">
        <v>0</v>
      </c>
      <c r="Z292">
        <v>1</v>
      </c>
      <c r="AA292">
        <v>0</v>
      </c>
      <c r="AB292">
        <v>0</v>
      </c>
      <c r="AC292">
        <v>950</v>
      </c>
      <c r="AD292">
        <v>2</v>
      </c>
      <c r="AE292">
        <v>1</v>
      </c>
      <c r="AF292">
        <v>0</v>
      </c>
      <c r="AG292">
        <v>0</v>
      </c>
      <c r="AH292">
        <v>300</v>
      </c>
      <c r="AI292">
        <v>2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f t="shared" si="14"/>
        <v>9.8000000000000007</v>
      </c>
      <c r="AU292">
        <f t="shared" si="12"/>
        <v>2.6333333333333333</v>
      </c>
      <c r="AV292">
        <f t="shared" si="13"/>
        <v>915.18</v>
      </c>
      <c r="AY292">
        <v>710</v>
      </c>
      <c r="AZ292">
        <v>12.26</v>
      </c>
      <c r="BC292" t="s">
        <v>104</v>
      </c>
    </row>
    <row r="293" spans="3:55" x14ac:dyDescent="0.45">
      <c r="C293">
        <v>66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32</v>
      </c>
      <c r="L293">
        <v>0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950</v>
      </c>
      <c r="AD293">
        <v>0.5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f t="shared" si="14"/>
        <v>8.9600000000000009</v>
      </c>
      <c r="AU293">
        <f t="shared" si="12"/>
        <v>0.66666666666666663</v>
      </c>
      <c r="AV293">
        <f t="shared" si="13"/>
        <v>890.4</v>
      </c>
      <c r="AX293">
        <v>665</v>
      </c>
      <c r="AY293">
        <v>780</v>
      </c>
      <c r="AZ293">
        <v>32</v>
      </c>
      <c r="BA293">
        <v>60</v>
      </c>
      <c r="BC293" t="s">
        <v>105</v>
      </c>
    </row>
    <row r="294" spans="3:55" x14ac:dyDescent="0.45">
      <c r="C294">
        <v>66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32</v>
      </c>
      <c r="L294">
        <v>0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950</v>
      </c>
      <c r="AD294">
        <v>0.5</v>
      </c>
      <c r="AE294">
        <v>1</v>
      </c>
      <c r="AF294">
        <v>0</v>
      </c>
      <c r="AG294">
        <v>0</v>
      </c>
      <c r="AH294">
        <v>500</v>
      </c>
      <c r="AI294">
        <v>6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f t="shared" si="14"/>
        <v>8.9600000000000009</v>
      </c>
      <c r="AU294">
        <f t="shared" si="12"/>
        <v>0.66666666666666663</v>
      </c>
      <c r="AV294">
        <f t="shared" si="13"/>
        <v>890.4</v>
      </c>
      <c r="AX294">
        <v>960</v>
      </c>
      <c r="AY294">
        <v>1070</v>
      </c>
      <c r="AZ294">
        <v>8</v>
      </c>
      <c r="BA294">
        <v>82</v>
      </c>
      <c r="BC294" t="s">
        <v>106</v>
      </c>
    </row>
    <row r="295" spans="3:55" x14ac:dyDescent="0.45">
      <c r="C295">
        <v>66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32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950</v>
      </c>
      <c r="AD295">
        <v>0.5</v>
      </c>
      <c r="AE295">
        <v>1</v>
      </c>
      <c r="AF295">
        <v>0</v>
      </c>
      <c r="AG295">
        <v>0</v>
      </c>
      <c r="AH295">
        <v>600</v>
      </c>
      <c r="AI295">
        <v>6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f t="shared" si="14"/>
        <v>8.9600000000000009</v>
      </c>
      <c r="AU295">
        <f t="shared" si="12"/>
        <v>0.66666666666666663</v>
      </c>
      <c r="AV295">
        <f t="shared" si="13"/>
        <v>890.4</v>
      </c>
      <c r="AX295">
        <v>560</v>
      </c>
      <c r="AY295">
        <v>685</v>
      </c>
      <c r="AZ295">
        <v>7</v>
      </c>
      <c r="BC295" t="s">
        <v>107</v>
      </c>
    </row>
    <row r="296" spans="3:55" x14ac:dyDescent="0.45">
      <c r="C296">
        <v>62.8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26.2</v>
      </c>
      <c r="L296">
        <v>0</v>
      </c>
      <c r="M296">
        <v>11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f t="shared" si="14"/>
        <v>7.3360000000000003</v>
      </c>
      <c r="AU296">
        <f t="shared" si="12"/>
        <v>3.6666666666666665</v>
      </c>
      <c r="AV296">
        <f t="shared" si="13"/>
        <v>928.2</v>
      </c>
      <c r="AX296">
        <v>397</v>
      </c>
      <c r="AY296">
        <v>447</v>
      </c>
      <c r="AZ296">
        <v>16.899999999999999</v>
      </c>
      <c r="BC296" t="s">
        <v>108</v>
      </c>
    </row>
    <row r="297" spans="3:55" x14ac:dyDescent="0.45">
      <c r="C297">
        <v>62.8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26.2</v>
      </c>
      <c r="L297">
        <v>0</v>
      </c>
      <c r="M297">
        <v>11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90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f t="shared" si="14"/>
        <v>7.3360000000000003</v>
      </c>
      <c r="AU297">
        <f t="shared" si="12"/>
        <v>3.6666666666666665</v>
      </c>
      <c r="AV297">
        <f t="shared" si="13"/>
        <v>928.2</v>
      </c>
      <c r="AX297">
        <v>641</v>
      </c>
      <c r="AY297">
        <v>855</v>
      </c>
      <c r="AZ297">
        <v>6.3</v>
      </c>
      <c r="BC297" t="s">
        <v>108</v>
      </c>
    </row>
    <row r="298" spans="3:55" x14ac:dyDescent="0.45">
      <c r="C298">
        <v>62.8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26.2</v>
      </c>
      <c r="L298">
        <v>0</v>
      </c>
      <c r="M298">
        <v>11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400</v>
      </c>
      <c r="AI298">
        <v>0.33333333300000001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f t="shared" si="14"/>
        <v>7.3360000000000003</v>
      </c>
      <c r="AU298">
        <f t="shared" si="12"/>
        <v>3.6666666666666665</v>
      </c>
      <c r="AV298">
        <f t="shared" si="13"/>
        <v>928.2</v>
      </c>
      <c r="AX298">
        <v>934</v>
      </c>
      <c r="AY298">
        <v>1049</v>
      </c>
      <c r="AZ298">
        <v>3.7</v>
      </c>
      <c r="BC298" t="s">
        <v>108</v>
      </c>
    </row>
    <row r="299" spans="3:55" x14ac:dyDescent="0.45">
      <c r="C299">
        <v>62.8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26.2</v>
      </c>
      <c r="L299">
        <v>0</v>
      </c>
      <c r="M299">
        <v>11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450</v>
      </c>
      <c r="AI299">
        <v>0.33333333300000001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f t="shared" si="14"/>
        <v>7.3360000000000003</v>
      </c>
      <c r="AU299">
        <f t="shared" si="12"/>
        <v>3.6666666666666665</v>
      </c>
      <c r="AV299">
        <f t="shared" si="13"/>
        <v>928.2</v>
      </c>
      <c r="AX299">
        <v>786</v>
      </c>
      <c r="AY299">
        <v>799</v>
      </c>
      <c r="AZ299">
        <v>4</v>
      </c>
      <c r="BC299" t="s">
        <v>108</v>
      </c>
    </row>
    <row r="300" spans="3:55" x14ac:dyDescent="0.45">
      <c r="C300">
        <v>62.8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26.2</v>
      </c>
      <c r="L300">
        <v>0</v>
      </c>
      <c r="M300">
        <v>11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950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f t="shared" si="14"/>
        <v>7.3360000000000003</v>
      </c>
      <c r="AU300">
        <f t="shared" si="12"/>
        <v>3.6666666666666665</v>
      </c>
      <c r="AV300">
        <f t="shared" si="13"/>
        <v>928.2</v>
      </c>
      <c r="AX300">
        <v>579</v>
      </c>
      <c r="AY300">
        <v>590</v>
      </c>
      <c r="AZ300">
        <v>27.8</v>
      </c>
      <c r="BC300" t="s">
        <v>108</v>
      </c>
    </row>
    <row r="301" spans="3:55" x14ac:dyDescent="0.45">
      <c r="C301">
        <v>62.8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26.2</v>
      </c>
      <c r="L301">
        <v>0</v>
      </c>
      <c r="M301">
        <v>11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950</v>
      </c>
      <c r="AD301">
        <v>1</v>
      </c>
      <c r="AE301">
        <v>1</v>
      </c>
      <c r="AF301">
        <v>0</v>
      </c>
      <c r="AG301">
        <v>0</v>
      </c>
      <c r="AH301">
        <v>400</v>
      </c>
      <c r="AI301">
        <v>0.33333333300000001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f t="shared" si="14"/>
        <v>7.3360000000000003</v>
      </c>
      <c r="AU301">
        <f t="shared" si="12"/>
        <v>3.6666666666666665</v>
      </c>
      <c r="AV301">
        <f t="shared" si="13"/>
        <v>928.2</v>
      </c>
      <c r="AX301">
        <v>543</v>
      </c>
      <c r="AY301">
        <v>576</v>
      </c>
      <c r="AZ301">
        <v>19.5</v>
      </c>
      <c r="BC301" t="s">
        <v>108</v>
      </c>
    </row>
    <row r="302" spans="3:55" x14ac:dyDescent="0.45">
      <c r="C302">
        <v>62.8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26.2</v>
      </c>
      <c r="L302">
        <v>0</v>
      </c>
      <c r="M302">
        <v>11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950</v>
      </c>
      <c r="AD302">
        <v>1</v>
      </c>
      <c r="AE302">
        <v>1</v>
      </c>
      <c r="AF302">
        <v>0</v>
      </c>
      <c r="AG302">
        <v>0</v>
      </c>
      <c r="AH302">
        <v>450</v>
      </c>
      <c r="AI302">
        <v>0.33333333300000001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f t="shared" si="14"/>
        <v>7.3360000000000003</v>
      </c>
      <c r="AU302">
        <f t="shared" si="12"/>
        <v>3.6666666666666665</v>
      </c>
      <c r="AV302">
        <f t="shared" si="13"/>
        <v>928.2</v>
      </c>
      <c r="AX302">
        <v>581</v>
      </c>
      <c r="AY302">
        <v>587</v>
      </c>
      <c r="AZ302">
        <v>14.1</v>
      </c>
      <c r="BC302" t="s">
        <v>108</v>
      </c>
    </row>
    <row r="303" spans="3:55" x14ac:dyDescent="0.45">
      <c r="C303">
        <v>79.239999999999995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19.79</v>
      </c>
      <c r="L303">
        <v>0</v>
      </c>
      <c r="M303">
        <v>0.97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f t="shared" si="14"/>
        <v>5.5411999999999999</v>
      </c>
      <c r="AU303">
        <f t="shared" si="12"/>
        <v>0.32333333333333331</v>
      </c>
      <c r="AV303">
        <f t="shared" si="13"/>
        <v>886.07399999999996</v>
      </c>
      <c r="AW303">
        <v>60</v>
      </c>
      <c r="AX303">
        <v>665</v>
      </c>
      <c r="BC303" t="s">
        <v>60</v>
      </c>
    </row>
    <row r="304" spans="3:55" x14ac:dyDescent="0.45">
      <c r="C304">
        <v>75.64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22.36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f t="shared" si="14"/>
        <v>6.2608000000000006</v>
      </c>
      <c r="AU304">
        <f t="shared" si="12"/>
        <v>0.66666666666666663</v>
      </c>
      <c r="AV304">
        <f t="shared" si="13"/>
        <v>890.4</v>
      </c>
      <c r="AW304">
        <v>55</v>
      </c>
      <c r="AX304">
        <v>376</v>
      </c>
      <c r="BC304" t="s">
        <v>60</v>
      </c>
    </row>
    <row r="305" spans="3:55" x14ac:dyDescent="0.45">
      <c r="C305">
        <v>72.91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23.02</v>
      </c>
      <c r="L305">
        <v>0</v>
      </c>
      <c r="M305">
        <v>4.07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f t="shared" si="14"/>
        <v>6.4456000000000007</v>
      </c>
      <c r="AU305">
        <f t="shared" si="12"/>
        <v>1.3566666666666667</v>
      </c>
      <c r="AV305">
        <f t="shared" si="13"/>
        <v>899.09400000000005</v>
      </c>
      <c r="AW305">
        <v>61</v>
      </c>
      <c r="AX305">
        <v>444</v>
      </c>
      <c r="BC305" t="s">
        <v>60</v>
      </c>
    </row>
    <row r="306" spans="3:55" x14ac:dyDescent="0.45">
      <c r="C306">
        <v>76.649999999999991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22.11</v>
      </c>
      <c r="L306">
        <v>0</v>
      </c>
      <c r="M306">
        <v>1.24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f t="shared" si="14"/>
        <v>6.1908000000000003</v>
      </c>
      <c r="AU306">
        <f t="shared" si="12"/>
        <v>0.41333333333333333</v>
      </c>
      <c r="AV306">
        <f t="shared" si="13"/>
        <v>887.20799999999997</v>
      </c>
      <c r="AW306">
        <v>65.8</v>
      </c>
      <c r="AX306">
        <v>237</v>
      </c>
      <c r="BC306" t="s">
        <v>60</v>
      </c>
    </row>
    <row r="307" spans="3:55" x14ac:dyDescent="0.45">
      <c r="C307">
        <v>74.95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22.53</v>
      </c>
      <c r="L307">
        <v>0</v>
      </c>
      <c r="M307">
        <v>2.52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f t="shared" si="14"/>
        <v>6.3084000000000007</v>
      </c>
      <c r="AU307">
        <f t="shared" si="12"/>
        <v>0.84</v>
      </c>
      <c r="AV307">
        <f t="shared" si="13"/>
        <v>892.58399999999995</v>
      </c>
      <c r="AW307">
        <v>68.2</v>
      </c>
      <c r="AX307">
        <v>216</v>
      </c>
      <c r="BC307" t="s">
        <v>60</v>
      </c>
    </row>
    <row r="308" spans="3:55" x14ac:dyDescent="0.45">
      <c r="C308">
        <v>73.2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22.95</v>
      </c>
      <c r="L308">
        <v>0</v>
      </c>
      <c r="M308">
        <v>3.85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f t="shared" si="14"/>
        <v>6.4260000000000002</v>
      </c>
      <c r="AU308">
        <f t="shared" si="12"/>
        <v>1.2833333333333334</v>
      </c>
      <c r="AV308">
        <f t="shared" si="13"/>
        <v>898.17</v>
      </c>
      <c r="AW308">
        <v>86.4</v>
      </c>
      <c r="AX308">
        <v>262</v>
      </c>
      <c r="BC308" t="s">
        <v>60</v>
      </c>
    </row>
    <row r="309" spans="3:55" x14ac:dyDescent="0.45">
      <c r="C309">
        <v>77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22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f t="shared" si="14"/>
        <v>6.16</v>
      </c>
      <c r="AU309">
        <f t="shared" si="12"/>
        <v>0.33333333333333331</v>
      </c>
      <c r="AV309">
        <f t="shared" si="13"/>
        <v>886.2</v>
      </c>
      <c r="AW309">
        <v>65</v>
      </c>
      <c r="AX309">
        <v>503</v>
      </c>
      <c r="BB309" t="s">
        <v>252</v>
      </c>
      <c r="BC309" t="s">
        <v>60</v>
      </c>
    </row>
    <row r="310" spans="3:55" x14ac:dyDescent="0.45">
      <c r="C310">
        <v>77.78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16.66</v>
      </c>
      <c r="L310">
        <v>0</v>
      </c>
      <c r="M310">
        <v>5.56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f t="shared" si="14"/>
        <v>4.6648000000000005</v>
      </c>
      <c r="AU310">
        <f t="shared" si="12"/>
        <v>1.8533333333333333</v>
      </c>
      <c r="AV310">
        <f t="shared" si="13"/>
        <v>905.35199999999998</v>
      </c>
      <c r="AW310">
        <v>56</v>
      </c>
      <c r="BB310" t="s">
        <v>252</v>
      </c>
    </row>
    <row r="311" spans="3:55" x14ac:dyDescent="0.45">
      <c r="C311">
        <v>62.8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26.2</v>
      </c>
      <c r="L311">
        <v>0</v>
      </c>
      <c r="M311">
        <v>11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f t="shared" si="14"/>
        <v>7.3360000000000003</v>
      </c>
      <c r="AU311">
        <f t="shared" si="12"/>
        <v>3.6666666666666665</v>
      </c>
      <c r="AV311">
        <f t="shared" si="13"/>
        <v>928.2</v>
      </c>
      <c r="AW311">
        <v>56</v>
      </c>
      <c r="BB311" t="s">
        <v>253</v>
      </c>
    </row>
    <row r="312" spans="3:55" x14ac:dyDescent="0.45">
      <c r="C312">
        <v>80.7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18.34</v>
      </c>
      <c r="L312">
        <v>0</v>
      </c>
      <c r="M312">
        <v>0.96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f t="shared" si="14"/>
        <v>5.1352000000000002</v>
      </c>
      <c r="AU312">
        <f t="shared" si="12"/>
        <v>0.32</v>
      </c>
      <c r="AV312">
        <f t="shared" si="13"/>
        <v>886.03200000000004</v>
      </c>
      <c r="AW312">
        <v>77.400000000000006</v>
      </c>
      <c r="BB312" t="s">
        <v>254</v>
      </c>
    </row>
    <row r="313" spans="3:55" x14ac:dyDescent="0.45">
      <c r="C313">
        <v>79.45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18.61</v>
      </c>
      <c r="L313">
        <v>0</v>
      </c>
      <c r="M313">
        <v>1.94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f t="shared" si="14"/>
        <v>5.2108000000000008</v>
      </c>
      <c r="AU313">
        <f t="shared" si="12"/>
        <v>0.64666666666666661</v>
      </c>
      <c r="AV313">
        <f t="shared" si="13"/>
        <v>890.14800000000002</v>
      </c>
      <c r="AW313">
        <v>72.2</v>
      </c>
      <c r="BB313" t="s">
        <v>255</v>
      </c>
    </row>
    <row r="314" spans="3:55" x14ac:dyDescent="0.45">
      <c r="C314">
        <v>78.17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18.88</v>
      </c>
      <c r="L314">
        <v>0</v>
      </c>
      <c r="M314">
        <v>2.95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f t="shared" si="14"/>
        <v>5.2864000000000004</v>
      </c>
      <c r="AU314">
        <f t="shared" si="12"/>
        <v>0.98333333333333339</v>
      </c>
      <c r="AV314">
        <f t="shared" si="13"/>
        <v>894.39</v>
      </c>
      <c r="AW314">
        <v>67</v>
      </c>
      <c r="BB314" t="s">
        <v>256</v>
      </c>
    </row>
    <row r="315" spans="3:55" x14ac:dyDescent="0.45">
      <c r="C315">
        <v>76.84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19.16</v>
      </c>
      <c r="L315">
        <v>0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f t="shared" si="14"/>
        <v>5.3648000000000007</v>
      </c>
      <c r="AU315">
        <f t="shared" si="12"/>
        <v>1.3333333333333333</v>
      </c>
      <c r="AV315">
        <f t="shared" si="13"/>
        <v>898.8</v>
      </c>
      <c r="AW315">
        <v>74</v>
      </c>
      <c r="BB315" t="s">
        <v>257</v>
      </c>
    </row>
    <row r="316" spans="3:55" x14ac:dyDescent="0.45">
      <c r="C316">
        <v>75.48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19.45</v>
      </c>
      <c r="L316">
        <v>0</v>
      </c>
      <c r="M316">
        <v>5.07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f t="shared" si="14"/>
        <v>5.4460000000000006</v>
      </c>
      <c r="AU316">
        <f t="shared" si="12"/>
        <v>1.6900000000000002</v>
      </c>
      <c r="AV316">
        <f t="shared" si="13"/>
        <v>903.29399999999998</v>
      </c>
      <c r="AW316">
        <v>92</v>
      </c>
      <c r="BB316" t="s">
        <v>258</v>
      </c>
    </row>
    <row r="317" spans="3:55" x14ac:dyDescent="0.45">
      <c r="C317">
        <v>75.64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22.36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f t="shared" si="14"/>
        <v>6.2608000000000006</v>
      </c>
      <c r="AU317">
        <f t="shared" si="12"/>
        <v>0.66666666666666663</v>
      </c>
      <c r="AV317">
        <f t="shared" si="13"/>
        <v>890.4</v>
      </c>
      <c r="AW317">
        <v>54.86</v>
      </c>
      <c r="BB317" t="s">
        <v>259</v>
      </c>
    </row>
    <row r="318" spans="3:55" x14ac:dyDescent="0.45">
      <c r="C318">
        <v>45.74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49.72</v>
      </c>
      <c r="L318">
        <v>0</v>
      </c>
      <c r="M318">
        <v>4.54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f t="shared" si="14"/>
        <v>13.921600000000002</v>
      </c>
      <c r="AU318">
        <f t="shared" si="12"/>
        <v>1.5133333333333334</v>
      </c>
      <c r="AV318">
        <f t="shared" si="13"/>
        <v>901.06799999999998</v>
      </c>
      <c r="AW318">
        <v>63.55</v>
      </c>
      <c r="BB318" t="s">
        <v>260</v>
      </c>
    </row>
    <row r="319" spans="3:55" x14ac:dyDescent="0.45">
      <c r="C319">
        <v>78.709999999999994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15.84</v>
      </c>
      <c r="L319">
        <v>0</v>
      </c>
      <c r="M319">
        <v>5.45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f t="shared" si="14"/>
        <v>4.4352</v>
      </c>
      <c r="AU319">
        <f t="shared" si="12"/>
        <v>1.8166666666666667</v>
      </c>
      <c r="AV319">
        <f t="shared" si="13"/>
        <v>904.89</v>
      </c>
      <c r="AW319">
        <v>55</v>
      </c>
      <c r="BB319" t="s">
        <v>261</v>
      </c>
    </row>
    <row r="320" spans="3:55" x14ac:dyDescent="0.45">
      <c r="C320">
        <v>79.349999999999994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15.73</v>
      </c>
      <c r="L320">
        <v>0</v>
      </c>
      <c r="M320">
        <v>4.92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f t="shared" si="14"/>
        <v>4.4044000000000008</v>
      </c>
      <c r="AU320">
        <f t="shared" si="12"/>
        <v>1.64</v>
      </c>
      <c r="AV320">
        <f t="shared" si="13"/>
        <v>902.66399999999999</v>
      </c>
      <c r="AW320">
        <v>72</v>
      </c>
    </row>
    <row r="321" spans="3:55" x14ac:dyDescent="0.45">
      <c r="C321">
        <v>80.62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15.5</v>
      </c>
      <c r="L321">
        <v>0</v>
      </c>
      <c r="M321">
        <v>3.88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f t="shared" si="14"/>
        <v>4.3400000000000007</v>
      </c>
      <c r="AU321">
        <f t="shared" si="12"/>
        <v>1.2933333333333332</v>
      </c>
      <c r="AV321">
        <f t="shared" si="13"/>
        <v>898.29600000000005</v>
      </c>
      <c r="AW321">
        <v>52</v>
      </c>
    </row>
    <row r="322" spans="3:55" x14ac:dyDescent="0.45">
      <c r="C322">
        <v>79.989999999999995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15.61</v>
      </c>
      <c r="L322">
        <v>0</v>
      </c>
      <c r="M322">
        <v>4.4000000000000004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f t="shared" si="14"/>
        <v>4.3708</v>
      </c>
      <c r="AU322">
        <f t="shared" ref="AU322:AU385" si="15">D322+J322/6+M322/3+(T322+S322)/10</f>
        <v>1.4666666666666668</v>
      </c>
      <c r="AV322">
        <f t="shared" ref="AV322:AV385" si="16">882+2.1*D322-9.5*L322+4.2*M322-6.9*J322-11.8*E322-12.1*F322-15.4*H322+23.3*Q322+123*T322</f>
        <v>900.48</v>
      </c>
      <c r="AW322">
        <v>53</v>
      </c>
    </row>
    <row r="323" spans="3:55" x14ac:dyDescent="0.45">
      <c r="C323">
        <v>72.91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23.03</v>
      </c>
      <c r="L323">
        <v>0</v>
      </c>
      <c r="M323">
        <v>4.0599999999999996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f t="shared" ref="AT323:AT386" si="17">L323+0.67*E323+0.44*P323+0.28*K323+0.22*O323+2.9*H323+1.6*F323+1.7*G323-D323</f>
        <v>6.4484000000000012</v>
      </c>
      <c r="AU323">
        <f t="shared" si="15"/>
        <v>1.3533333333333333</v>
      </c>
      <c r="AV323">
        <f t="shared" si="16"/>
        <v>899.05200000000002</v>
      </c>
      <c r="AW323">
        <v>61</v>
      </c>
    </row>
    <row r="324" spans="3:55" x14ac:dyDescent="0.45">
      <c r="C324">
        <v>76.98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22.03</v>
      </c>
      <c r="L324">
        <v>0</v>
      </c>
      <c r="M324">
        <v>0.99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f t="shared" si="17"/>
        <v>6.168400000000001</v>
      </c>
      <c r="AU324">
        <f t="shared" si="15"/>
        <v>0.33</v>
      </c>
      <c r="AV324">
        <f t="shared" si="16"/>
        <v>886.15800000000002</v>
      </c>
      <c r="AW324">
        <v>51</v>
      </c>
    </row>
    <row r="325" spans="3:55" x14ac:dyDescent="0.45">
      <c r="C325">
        <v>90</v>
      </c>
      <c r="D325">
        <v>6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f t="shared" si="17"/>
        <v>-3.32</v>
      </c>
      <c r="AU325">
        <f t="shared" si="15"/>
        <v>6</v>
      </c>
      <c r="AV325">
        <f t="shared" si="16"/>
        <v>847.4</v>
      </c>
      <c r="AW325">
        <v>113</v>
      </c>
      <c r="AX325">
        <v>999</v>
      </c>
      <c r="AY325">
        <v>1173</v>
      </c>
      <c r="AZ325">
        <v>6</v>
      </c>
      <c r="BC325" t="s">
        <v>115</v>
      </c>
    </row>
    <row r="326" spans="3:55" x14ac:dyDescent="0.45">
      <c r="C326">
        <v>90</v>
      </c>
      <c r="D326">
        <v>5.9</v>
      </c>
      <c r="E326">
        <v>4.0999999999999996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700</v>
      </c>
      <c r="AD326">
        <v>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f t="shared" si="17"/>
        <v>-3.1530000000000005</v>
      </c>
      <c r="AU326">
        <f t="shared" si="15"/>
        <v>5.9</v>
      </c>
      <c r="AV326">
        <f t="shared" si="16"/>
        <v>846.01</v>
      </c>
      <c r="BC326" t="s">
        <v>116</v>
      </c>
    </row>
    <row r="327" spans="3:55" x14ac:dyDescent="0.45">
      <c r="C327">
        <v>90</v>
      </c>
      <c r="D327">
        <v>5.9</v>
      </c>
      <c r="E327">
        <v>4.0999999999999996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700</v>
      </c>
      <c r="AD327">
        <v>4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f t="shared" si="17"/>
        <v>-3.1530000000000005</v>
      </c>
      <c r="AU327">
        <f t="shared" si="15"/>
        <v>5.9</v>
      </c>
      <c r="AV327">
        <f t="shared" si="16"/>
        <v>846.01</v>
      </c>
      <c r="BC327" t="s">
        <v>116</v>
      </c>
    </row>
    <row r="328" spans="3:55" x14ac:dyDescent="0.45">
      <c r="C328">
        <v>90</v>
      </c>
      <c r="D328">
        <v>5.9</v>
      </c>
      <c r="E328">
        <v>4.0999999999999996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700</v>
      </c>
      <c r="AD328">
        <v>4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f t="shared" si="17"/>
        <v>-3.1530000000000005</v>
      </c>
      <c r="AU328">
        <f t="shared" si="15"/>
        <v>5.9</v>
      </c>
      <c r="AV328">
        <f t="shared" si="16"/>
        <v>846.01</v>
      </c>
      <c r="BC328" t="s">
        <v>116</v>
      </c>
    </row>
    <row r="329" spans="3:55" x14ac:dyDescent="0.45">
      <c r="C329">
        <v>72.959999999999994</v>
      </c>
      <c r="D329">
        <v>5.2</v>
      </c>
      <c r="E329">
        <v>21.67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900</v>
      </c>
      <c r="AD329">
        <v>0.5</v>
      </c>
      <c r="AE329">
        <v>1</v>
      </c>
      <c r="AF329">
        <v>0</v>
      </c>
      <c r="AG329">
        <v>0</v>
      </c>
      <c r="AH329">
        <v>600</v>
      </c>
      <c r="AI329">
        <v>4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f t="shared" si="17"/>
        <v>9.3189000000000028</v>
      </c>
      <c r="AU329">
        <f t="shared" si="15"/>
        <v>5.2</v>
      </c>
      <c r="AV329">
        <f t="shared" si="16"/>
        <v>637.21399999999994</v>
      </c>
      <c r="AX329">
        <v>956.67</v>
      </c>
      <c r="AY329">
        <v>1076.67</v>
      </c>
      <c r="AZ329">
        <v>19.5</v>
      </c>
      <c r="BC329" t="s">
        <v>108</v>
      </c>
    </row>
    <row r="330" spans="3:55" x14ac:dyDescent="0.45">
      <c r="C330">
        <v>72.959999999999994</v>
      </c>
      <c r="D330">
        <v>5.2</v>
      </c>
      <c r="E330">
        <v>21.67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900</v>
      </c>
      <c r="AD330">
        <v>0.5</v>
      </c>
      <c r="AE330">
        <v>1</v>
      </c>
      <c r="AF330">
        <v>0</v>
      </c>
      <c r="AG330">
        <v>0</v>
      </c>
      <c r="AH330">
        <v>700</v>
      </c>
      <c r="AI330">
        <v>4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f t="shared" si="17"/>
        <v>9.3189000000000028</v>
      </c>
      <c r="AU330">
        <f t="shared" si="15"/>
        <v>5.2</v>
      </c>
      <c r="AV330">
        <f t="shared" si="16"/>
        <v>637.21399999999994</v>
      </c>
      <c r="AX330">
        <v>816.67</v>
      </c>
      <c r="AY330">
        <v>875</v>
      </c>
      <c r="AZ330">
        <v>15.83</v>
      </c>
      <c r="BC330" t="s">
        <v>108</v>
      </c>
    </row>
    <row r="331" spans="3:55" x14ac:dyDescent="0.45">
      <c r="C331">
        <v>86.2</v>
      </c>
      <c r="D331">
        <v>10.199999999999999</v>
      </c>
      <c r="E331">
        <v>3.5999999999999996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f t="shared" si="17"/>
        <v>-7.7879999999999994</v>
      </c>
      <c r="AU331">
        <f t="shared" si="15"/>
        <v>10.199999999999999</v>
      </c>
      <c r="AV331">
        <f t="shared" si="16"/>
        <v>860.93999999999994</v>
      </c>
      <c r="AW331">
        <v>110</v>
      </c>
      <c r="AX331">
        <v>760</v>
      </c>
      <c r="BC331" t="s">
        <v>60</v>
      </c>
    </row>
    <row r="332" spans="3:55" x14ac:dyDescent="0.45">
      <c r="C332">
        <v>89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8</v>
      </c>
      <c r="M332">
        <v>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20</v>
      </c>
      <c r="X332">
        <v>94</v>
      </c>
      <c r="Y332">
        <v>0</v>
      </c>
      <c r="Z332">
        <v>1</v>
      </c>
      <c r="AA332">
        <v>0</v>
      </c>
      <c r="AB332">
        <v>0</v>
      </c>
      <c r="AC332">
        <v>900</v>
      </c>
      <c r="AD332">
        <v>0.5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f t="shared" si="17"/>
        <v>8</v>
      </c>
      <c r="AU332">
        <f t="shared" si="15"/>
        <v>1</v>
      </c>
      <c r="AV332">
        <f t="shared" si="16"/>
        <v>818.6</v>
      </c>
      <c r="AW332">
        <v>66.900000000000006</v>
      </c>
      <c r="AX332">
        <v>365</v>
      </c>
      <c r="AY332">
        <v>768</v>
      </c>
      <c r="AZ332">
        <v>30.29</v>
      </c>
      <c r="BC332" t="s">
        <v>64</v>
      </c>
    </row>
    <row r="333" spans="3:55" x14ac:dyDescent="0.45">
      <c r="C333">
        <v>87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8</v>
      </c>
      <c r="M333">
        <v>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20</v>
      </c>
      <c r="X333">
        <v>94</v>
      </c>
      <c r="Y333">
        <v>0</v>
      </c>
      <c r="Z333">
        <v>1</v>
      </c>
      <c r="AA333">
        <v>0</v>
      </c>
      <c r="AB333">
        <v>0</v>
      </c>
      <c r="AC333">
        <v>900</v>
      </c>
      <c r="AD333">
        <v>0.5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f t="shared" si="17"/>
        <v>8</v>
      </c>
      <c r="AU333">
        <f t="shared" si="15"/>
        <v>1.6666666666666667</v>
      </c>
      <c r="AV333">
        <f t="shared" si="16"/>
        <v>827</v>
      </c>
      <c r="AW333">
        <v>74.8</v>
      </c>
      <c r="AX333">
        <v>361</v>
      </c>
      <c r="AY333">
        <v>743</v>
      </c>
      <c r="AZ333">
        <v>29.44</v>
      </c>
      <c r="BC333" t="s">
        <v>64</v>
      </c>
    </row>
    <row r="334" spans="3:55" x14ac:dyDescent="0.45">
      <c r="C334">
        <v>85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8</v>
      </c>
      <c r="M334">
        <v>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20</v>
      </c>
      <c r="X334">
        <v>94</v>
      </c>
      <c r="Y334">
        <v>0</v>
      </c>
      <c r="Z334">
        <v>1</v>
      </c>
      <c r="AA334">
        <v>0</v>
      </c>
      <c r="AB334">
        <v>0</v>
      </c>
      <c r="AC334">
        <v>900</v>
      </c>
      <c r="AD334">
        <v>0.5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f t="shared" si="17"/>
        <v>8</v>
      </c>
      <c r="AU334">
        <f t="shared" si="15"/>
        <v>2.3333333333333335</v>
      </c>
      <c r="AV334">
        <f t="shared" si="16"/>
        <v>835.4</v>
      </c>
      <c r="AW334">
        <v>76.8</v>
      </c>
      <c r="AX334">
        <v>335</v>
      </c>
      <c r="AY334">
        <v>738</v>
      </c>
      <c r="AZ334">
        <v>24.527000000000001</v>
      </c>
      <c r="BC334" t="s">
        <v>64</v>
      </c>
    </row>
    <row r="335" spans="3:55" x14ac:dyDescent="0.45">
      <c r="C335">
        <v>83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20</v>
      </c>
      <c r="X335">
        <v>94</v>
      </c>
      <c r="Y335">
        <v>0</v>
      </c>
      <c r="Z335">
        <v>1</v>
      </c>
      <c r="AA335">
        <v>0</v>
      </c>
      <c r="AB335">
        <v>0</v>
      </c>
      <c r="AC335">
        <v>900</v>
      </c>
      <c r="AD335">
        <v>0.5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f t="shared" si="17"/>
        <v>8</v>
      </c>
      <c r="AU335">
        <f t="shared" si="15"/>
        <v>3</v>
      </c>
      <c r="AV335">
        <f t="shared" si="16"/>
        <v>843.8</v>
      </c>
      <c r="AW335">
        <v>68.7</v>
      </c>
      <c r="AX335">
        <v>303</v>
      </c>
      <c r="AY335">
        <v>813</v>
      </c>
      <c r="AZ335">
        <v>10.81</v>
      </c>
      <c r="BC335" t="s">
        <v>64</v>
      </c>
    </row>
    <row r="336" spans="3:55" x14ac:dyDescent="0.45">
      <c r="C336">
        <v>81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11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20</v>
      </c>
      <c r="X336">
        <v>94</v>
      </c>
      <c r="Y336">
        <v>0</v>
      </c>
      <c r="Z336">
        <v>1</v>
      </c>
      <c r="AA336">
        <v>0</v>
      </c>
      <c r="AB336">
        <v>0</v>
      </c>
      <c r="AC336">
        <v>900</v>
      </c>
      <c r="AD336">
        <v>0.5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f t="shared" si="17"/>
        <v>8</v>
      </c>
      <c r="AU336">
        <f t="shared" si="15"/>
        <v>3.6666666666666665</v>
      </c>
      <c r="AV336">
        <f t="shared" si="16"/>
        <v>852.2</v>
      </c>
      <c r="AW336">
        <v>58.4</v>
      </c>
      <c r="AX336">
        <v>193</v>
      </c>
      <c r="AY336">
        <v>827</v>
      </c>
      <c r="AZ336">
        <v>6.44</v>
      </c>
      <c r="BC336" t="s">
        <v>64</v>
      </c>
    </row>
    <row r="337" spans="3:55" x14ac:dyDescent="0.45">
      <c r="C337">
        <v>79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8</v>
      </c>
      <c r="M337">
        <v>13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20</v>
      </c>
      <c r="X337">
        <v>94</v>
      </c>
      <c r="Y337">
        <v>0</v>
      </c>
      <c r="Z337">
        <v>1</v>
      </c>
      <c r="AA337">
        <v>0</v>
      </c>
      <c r="AB337">
        <v>0</v>
      </c>
      <c r="AC337">
        <v>900</v>
      </c>
      <c r="AD337">
        <v>0.5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f t="shared" si="17"/>
        <v>8</v>
      </c>
      <c r="AU337">
        <f t="shared" si="15"/>
        <v>4.333333333333333</v>
      </c>
      <c r="AV337">
        <f t="shared" si="16"/>
        <v>860.6</v>
      </c>
      <c r="AW337">
        <v>50.2</v>
      </c>
      <c r="AX337">
        <v>512</v>
      </c>
      <c r="AY337">
        <v>899</v>
      </c>
      <c r="AZ337">
        <v>11.11</v>
      </c>
      <c r="BC337" t="s">
        <v>64</v>
      </c>
    </row>
    <row r="338" spans="3:55" x14ac:dyDescent="0.45">
      <c r="C338">
        <v>77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8</v>
      </c>
      <c r="M338">
        <v>15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20</v>
      </c>
      <c r="X338">
        <v>94</v>
      </c>
      <c r="Y338">
        <v>0</v>
      </c>
      <c r="Z338">
        <v>1</v>
      </c>
      <c r="AA338">
        <v>0</v>
      </c>
      <c r="AB338">
        <v>0</v>
      </c>
      <c r="AC338">
        <v>900</v>
      </c>
      <c r="AD338">
        <v>0.5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f t="shared" si="17"/>
        <v>8</v>
      </c>
      <c r="AU338">
        <f t="shared" si="15"/>
        <v>5</v>
      </c>
      <c r="AV338">
        <f t="shared" si="16"/>
        <v>869</v>
      </c>
      <c r="AW338">
        <v>46.8</v>
      </c>
      <c r="AX338">
        <v>732</v>
      </c>
      <c r="AY338">
        <v>801</v>
      </c>
      <c r="AZ338">
        <v>19.739999999999998</v>
      </c>
      <c r="BC338" t="s">
        <v>117</v>
      </c>
    </row>
    <row r="339" spans="3:55" x14ac:dyDescent="0.45">
      <c r="C339">
        <v>89.84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7.24</v>
      </c>
      <c r="M339">
        <v>2.92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f t="shared" si="17"/>
        <v>7.24</v>
      </c>
      <c r="AU339">
        <f t="shared" si="15"/>
        <v>0.97333333333333327</v>
      </c>
      <c r="AV339">
        <f t="shared" si="16"/>
        <v>825.48400000000004</v>
      </c>
      <c r="AW339">
        <v>66</v>
      </c>
      <c r="AX339">
        <v>650</v>
      </c>
      <c r="BC339" t="s">
        <v>60</v>
      </c>
    </row>
    <row r="340" spans="3:55" x14ac:dyDescent="0.45">
      <c r="C340">
        <v>94.36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4.87</v>
      </c>
      <c r="M340">
        <v>0.77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f t="shared" si="17"/>
        <v>4.87</v>
      </c>
      <c r="AU340">
        <f t="shared" si="15"/>
        <v>0.25666666666666665</v>
      </c>
      <c r="AV340">
        <f t="shared" si="16"/>
        <v>838.96900000000005</v>
      </c>
      <c r="AW340">
        <v>89</v>
      </c>
      <c r="AX340">
        <v>511</v>
      </c>
      <c r="BC340" t="s">
        <v>60</v>
      </c>
    </row>
    <row r="341" spans="3:55" x14ac:dyDescent="0.45">
      <c r="C341">
        <v>92.41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4.7300000000000004</v>
      </c>
      <c r="M341">
        <v>2.86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f t="shared" si="17"/>
        <v>4.7300000000000004</v>
      </c>
      <c r="AU341">
        <f t="shared" si="15"/>
        <v>0.95333333333333325</v>
      </c>
      <c r="AV341">
        <f t="shared" si="16"/>
        <v>849.077</v>
      </c>
      <c r="AW341">
        <v>78</v>
      </c>
      <c r="AX341">
        <v>441</v>
      </c>
      <c r="BC341" t="s">
        <v>60</v>
      </c>
    </row>
    <row r="342" spans="3:55" x14ac:dyDescent="0.45">
      <c r="C342">
        <v>87.5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6.25</v>
      </c>
      <c r="M342">
        <v>6.25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f t="shared" si="17"/>
        <v>6.25</v>
      </c>
      <c r="AU342">
        <f t="shared" si="15"/>
        <v>2.0833333333333335</v>
      </c>
      <c r="AV342">
        <f t="shared" si="16"/>
        <v>848.875</v>
      </c>
      <c r="AW342">
        <v>70</v>
      </c>
    </row>
    <row r="343" spans="3:55" x14ac:dyDescent="0.45">
      <c r="C343">
        <v>75.8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10.8</v>
      </c>
      <c r="M343">
        <v>13.4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f t="shared" si="17"/>
        <v>10.8</v>
      </c>
      <c r="AU343">
        <f t="shared" si="15"/>
        <v>4.4666666666666668</v>
      </c>
      <c r="AV343">
        <f t="shared" si="16"/>
        <v>835.68</v>
      </c>
      <c r="AW343">
        <v>70</v>
      </c>
    </row>
    <row r="344" spans="3:55" x14ac:dyDescent="0.45">
      <c r="C344">
        <v>92.5</v>
      </c>
      <c r="D344">
        <v>5</v>
      </c>
      <c r="E344">
        <v>0</v>
      </c>
      <c r="F344">
        <v>0</v>
      </c>
      <c r="G344">
        <v>0</v>
      </c>
      <c r="H344">
        <v>2.5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f t="shared" si="17"/>
        <v>2.25</v>
      </c>
      <c r="AU344">
        <f t="shared" si="15"/>
        <v>5</v>
      </c>
      <c r="AV344">
        <f t="shared" si="16"/>
        <v>854</v>
      </c>
      <c r="AW344">
        <v>112</v>
      </c>
      <c r="AX344">
        <v>895</v>
      </c>
      <c r="AY344">
        <v>1020</v>
      </c>
      <c r="AZ344">
        <v>15</v>
      </c>
      <c r="BC344" t="s">
        <v>118</v>
      </c>
    </row>
    <row r="345" spans="3:55" x14ac:dyDescent="0.45">
      <c r="C345">
        <v>94.688000000000002</v>
      </c>
      <c r="D345">
        <v>3.79</v>
      </c>
      <c r="E345">
        <v>0</v>
      </c>
      <c r="F345">
        <v>0</v>
      </c>
      <c r="G345">
        <v>0</v>
      </c>
      <c r="H345">
        <v>3.5999999999999997E-2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945</v>
      </c>
      <c r="AD345">
        <v>0.5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f t="shared" si="17"/>
        <v>-3.6856</v>
      </c>
      <c r="AU345">
        <f t="shared" si="15"/>
        <v>3.79</v>
      </c>
      <c r="AV345">
        <f t="shared" si="16"/>
        <v>889.40459999999996</v>
      </c>
      <c r="BC345" t="s">
        <v>119</v>
      </c>
    </row>
    <row r="346" spans="3:55" x14ac:dyDescent="0.45">
      <c r="C346">
        <v>94.688000000000002</v>
      </c>
      <c r="D346">
        <v>3.79</v>
      </c>
      <c r="E346">
        <v>0</v>
      </c>
      <c r="F346">
        <v>0</v>
      </c>
      <c r="G346">
        <v>0</v>
      </c>
      <c r="H346">
        <v>3.5999999999999997E-2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955</v>
      </c>
      <c r="AD346">
        <v>0.5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f t="shared" si="17"/>
        <v>-3.6856</v>
      </c>
      <c r="AU346">
        <f t="shared" si="15"/>
        <v>3.79</v>
      </c>
      <c r="AV346">
        <f t="shared" si="16"/>
        <v>889.40459999999996</v>
      </c>
      <c r="BC346" t="s">
        <v>119</v>
      </c>
    </row>
    <row r="347" spans="3:55" x14ac:dyDescent="0.45">
      <c r="C347">
        <v>94.688000000000002</v>
      </c>
      <c r="D347">
        <v>3.79</v>
      </c>
      <c r="E347">
        <v>0</v>
      </c>
      <c r="F347">
        <v>0</v>
      </c>
      <c r="G347">
        <v>0</v>
      </c>
      <c r="H347">
        <v>3.5999999999999997E-2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965</v>
      </c>
      <c r="AD347">
        <v>0.5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f t="shared" si="17"/>
        <v>-3.6856</v>
      </c>
      <c r="AU347">
        <f t="shared" si="15"/>
        <v>3.79</v>
      </c>
      <c r="AV347">
        <f t="shared" si="16"/>
        <v>889.40459999999996</v>
      </c>
      <c r="BC347" t="s">
        <v>119</v>
      </c>
    </row>
    <row r="348" spans="3:55" x14ac:dyDescent="0.45">
      <c r="C348">
        <v>95.114999999999995</v>
      </c>
      <c r="D348">
        <v>2.92</v>
      </c>
      <c r="E348">
        <v>0</v>
      </c>
      <c r="F348">
        <v>0</v>
      </c>
      <c r="G348">
        <v>0</v>
      </c>
      <c r="H348">
        <v>1.84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845</v>
      </c>
      <c r="AD348">
        <v>0.5</v>
      </c>
      <c r="AE348">
        <v>1</v>
      </c>
      <c r="AF348">
        <v>0</v>
      </c>
      <c r="AG348">
        <v>0</v>
      </c>
      <c r="AH348">
        <v>520</v>
      </c>
      <c r="AI348">
        <v>8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f t="shared" si="17"/>
        <v>2.4160000000000004</v>
      </c>
      <c r="AU348">
        <f t="shared" si="15"/>
        <v>2.92</v>
      </c>
      <c r="AV348">
        <f t="shared" si="16"/>
        <v>859.79599999999994</v>
      </c>
      <c r="AX348">
        <v>1245</v>
      </c>
      <c r="AY348">
        <v>1300</v>
      </c>
      <c r="AZ348">
        <v>3.8</v>
      </c>
      <c r="BC348" t="s">
        <v>108</v>
      </c>
    </row>
    <row r="349" spans="3:55" x14ac:dyDescent="0.45">
      <c r="C349">
        <v>95.114999999999995</v>
      </c>
      <c r="D349">
        <v>2.92</v>
      </c>
      <c r="E349">
        <v>0</v>
      </c>
      <c r="F349">
        <v>0</v>
      </c>
      <c r="G349">
        <v>0</v>
      </c>
      <c r="H349">
        <v>1.84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845</v>
      </c>
      <c r="AD349">
        <v>0.5</v>
      </c>
      <c r="AE349">
        <v>1</v>
      </c>
      <c r="AF349">
        <v>0</v>
      </c>
      <c r="AG349">
        <v>0</v>
      </c>
      <c r="AH349">
        <v>300</v>
      </c>
      <c r="AI349">
        <v>8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f t="shared" si="17"/>
        <v>2.4160000000000004</v>
      </c>
      <c r="AU349">
        <f t="shared" si="15"/>
        <v>2.92</v>
      </c>
      <c r="AV349">
        <f t="shared" si="16"/>
        <v>859.79599999999994</v>
      </c>
      <c r="AX349">
        <v>1230</v>
      </c>
      <c r="AY349">
        <v>1300</v>
      </c>
      <c r="AZ349">
        <v>4</v>
      </c>
      <c r="BB349" t="s">
        <v>262</v>
      </c>
      <c r="BC349" t="s">
        <v>108</v>
      </c>
    </row>
    <row r="350" spans="3:55" x14ac:dyDescent="0.45">
      <c r="C350">
        <v>95.114999999999995</v>
      </c>
      <c r="D350">
        <v>2.92</v>
      </c>
      <c r="E350">
        <v>0</v>
      </c>
      <c r="F350">
        <v>0</v>
      </c>
      <c r="G350">
        <v>0</v>
      </c>
      <c r="H350">
        <v>1.84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760</v>
      </c>
      <c r="AD350">
        <v>2</v>
      </c>
      <c r="AE350">
        <v>1</v>
      </c>
      <c r="AF350">
        <v>0</v>
      </c>
      <c r="AG350">
        <v>0</v>
      </c>
      <c r="AH350">
        <v>520</v>
      </c>
      <c r="AI350">
        <v>8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f t="shared" si="17"/>
        <v>2.4160000000000004</v>
      </c>
      <c r="AU350">
        <f t="shared" si="15"/>
        <v>2.92</v>
      </c>
      <c r="AV350">
        <f t="shared" si="16"/>
        <v>859.79599999999994</v>
      </c>
      <c r="AX350">
        <v>1150</v>
      </c>
      <c r="AY350">
        <v>1170</v>
      </c>
      <c r="AZ350">
        <v>12</v>
      </c>
      <c r="BC350" t="s">
        <v>108</v>
      </c>
    </row>
    <row r="351" spans="3:55" x14ac:dyDescent="0.45">
      <c r="C351">
        <v>95.114999999999995</v>
      </c>
      <c r="D351">
        <v>2.92</v>
      </c>
      <c r="E351">
        <v>0</v>
      </c>
      <c r="F351">
        <v>0</v>
      </c>
      <c r="G351">
        <v>0</v>
      </c>
      <c r="H351">
        <v>1.84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740</v>
      </c>
      <c r="X351">
        <v>40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500</v>
      </c>
      <c r="AI351">
        <v>8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f t="shared" si="17"/>
        <v>2.4160000000000004</v>
      </c>
      <c r="AU351">
        <f t="shared" si="15"/>
        <v>2.92</v>
      </c>
      <c r="AV351">
        <f t="shared" si="16"/>
        <v>859.79599999999994</v>
      </c>
      <c r="AX351">
        <v>1096.01</v>
      </c>
      <c r="AY351">
        <v>1104.43</v>
      </c>
      <c r="AZ351">
        <v>12.867800000000001</v>
      </c>
      <c r="BC351" t="s">
        <v>108</v>
      </c>
    </row>
    <row r="352" spans="3:55" x14ac:dyDescent="0.45">
      <c r="C352">
        <v>95.114999999999995</v>
      </c>
      <c r="D352">
        <v>2.92</v>
      </c>
      <c r="E352">
        <v>0</v>
      </c>
      <c r="F352">
        <v>0</v>
      </c>
      <c r="G352">
        <v>0</v>
      </c>
      <c r="H352">
        <v>1.84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780</v>
      </c>
      <c r="X352">
        <v>40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500</v>
      </c>
      <c r="AI352">
        <v>8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f t="shared" si="17"/>
        <v>2.4160000000000004</v>
      </c>
      <c r="AU352">
        <f t="shared" si="15"/>
        <v>2.92</v>
      </c>
      <c r="AV352">
        <f t="shared" si="16"/>
        <v>859.79599999999994</v>
      </c>
      <c r="AX352">
        <v>1113.93</v>
      </c>
      <c r="AY352">
        <v>1149.71</v>
      </c>
      <c r="AZ352">
        <v>11.575699999999999</v>
      </c>
      <c r="BC352" t="s">
        <v>108</v>
      </c>
    </row>
    <row r="353" spans="3:55" x14ac:dyDescent="0.45">
      <c r="C353">
        <v>95.114999999999995</v>
      </c>
      <c r="D353">
        <v>2.92</v>
      </c>
      <c r="E353">
        <v>0</v>
      </c>
      <c r="F353">
        <v>0</v>
      </c>
      <c r="G353">
        <v>0</v>
      </c>
      <c r="H353">
        <v>1.84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845</v>
      </c>
      <c r="X353">
        <v>40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500</v>
      </c>
      <c r="AI353">
        <v>8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f t="shared" si="17"/>
        <v>2.4160000000000004</v>
      </c>
      <c r="AU353">
        <f t="shared" si="15"/>
        <v>2.92</v>
      </c>
      <c r="AV353">
        <f t="shared" si="16"/>
        <v>859.79599999999994</v>
      </c>
      <c r="AX353">
        <v>1270.0999999999999</v>
      </c>
      <c r="AY353">
        <v>1327.61</v>
      </c>
      <c r="AZ353">
        <v>2.5588600000000001</v>
      </c>
      <c r="BC353" t="s">
        <v>108</v>
      </c>
    </row>
    <row r="354" spans="3:55" x14ac:dyDescent="0.45">
      <c r="C354">
        <v>95.114999999999995</v>
      </c>
      <c r="D354">
        <v>2.92</v>
      </c>
      <c r="E354">
        <v>0</v>
      </c>
      <c r="F354">
        <v>0</v>
      </c>
      <c r="G354">
        <v>0</v>
      </c>
      <c r="H354">
        <v>1.84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700</v>
      </c>
      <c r="X354">
        <v>35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500</v>
      </c>
      <c r="AI354">
        <v>8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f t="shared" si="17"/>
        <v>2.4160000000000004</v>
      </c>
      <c r="AU354">
        <f t="shared" si="15"/>
        <v>2.92</v>
      </c>
      <c r="AV354">
        <f t="shared" si="16"/>
        <v>859.79599999999994</v>
      </c>
      <c r="AX354">
        <v>1105.03</v>
      </c>
      <c r="AY354">
        <v>1124.68</v>
      </c>
      <c r="AZ354">
        <v>13.8583</v>
      </c>
      <c r="BC354" t="s">
        <v>108</v>
      </c>
    </row>
    <row r="355" spans="3:55" x14ac:dyDescent="0.45">
      <c r="C355">
        <v>95.114999999999995</v>
      </c>
      <c r="D355">
        <v>2.92</v>
      </c>
      <c r="E355">
        <v>0</v>
      </c>
      <c r="F355">
        <v>0</v>
      </c>
      <c r="G355">
        <v>0</v>
      </c>
      <c r="H355">
        <v>1.84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700</v>
      </c>
      <c r="X355">
        <v>45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500</v>
      </c>
      <c r="AI355">
        <v>8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f t="shared" si="17"/>
        <v>2.4160000000000004</v>
      </c>
      <c r="AU355">
        <f t="shared" si="15"/>
        <v>2.92</v>
      </c>
      <c r="AV355">
        <f t="shared" si="16"/>
        <v>859.79599999999994</v>
      </c>
      <c r="AX355">
        <v>1115.05</v>
      </c>
      <c r="AY355">
        <v>1145.02</v>
      </c>
      <c r="AZ355">
        <v>16.062999999999999</v>
      </c>
      <c r="BC355" t="s">
        <v>108</v>
      </c>
    </row>
    <row r="356" spans="3:55" x14ac:dyDescent="0.45">
      <c r="C356">
        <v>95.114999999999995</v>
      </c>
      <c r="D356">
        <v>2.92</v>
      </c>
      <c r="E356">
        <v>0</v>
      </c>
      <c r="F356">
        <v>0</v>
      </c>
      <c r="G356">
        <v>0</v>
      </c>
      <c r="H356">
        <v>1.84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780</v>
      </c>
      <c r="X356">
        <v>45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500</v>
      </c>
      <c r="AI356">
        <v>8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f t="shared" si="17"/>
        <v>2.4160000000000004</v>
      </c>
      <c r="AU356">
        <f t="shared" si="15"/>
        <v>2.92</v>
      </c>
      <c r="AV356">
        <f t="shared" si="16"/>
        <v>859.79599999999994</v>
      </c>
      <c r="AX356">
        <v>1120</v>
      </c>
      <c r="AY356">
        <v>1155</v>
      </c>
      <c r="AZ356">
        <v>16.8</v>
      </c>
      <c r="BB356" t="s">
        <v>263</v>
      </c>
      <c r="BC356" t="s">
        <v>108</v>
      </c>
    </row>
    <row r="357" spans="3:55" x14ac:dyDescent="0.45">
      <c r="C357">
        <v>95.114999999999995</v>
      </c>
      <c r="D357">
        <v>2.92</v>
      </c>
      <c r="E357">
        <v>0</v>
      </c>
      <c r="F357">
        <v>0</v>
      </c>
      <c r="G357">
        <v>0</v>
      </c>
      <c r="H357">
        <v>1.84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845</v>
      </c>
      <c r="X357">
        <v>45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500</v>
      </c>
      <c r="AI357">
        <v>8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f t="shared" si="17"/>
        <v>2.4160000000000004</v>
      </c>
      <c r="AU357">
        <f t="shared" si="15"/>
        <v>2.92</v>
      </c>
      <c r="AV357">
        <f t="shared" si="16"/>
        <v>859.79599999999994</v>
      </c>
      <c r="AX357">
        <v>1270</v>
      </c>
      <c r="AY357">
        <v>1330</v>
      </c>
      <c r="AZ357">
        <v>7.5</v>
      </c>
      <c r="BB357" t="s">
        <v>264</v>
      </c>
      <c r="BC357" t="s">
        <v>108</v>
      </c>
    </row>
    <row r="358" spans="3:55" x14ac:dyDescent="0.45">
      <c r="C358">
        <v>95.114999999999995</v>
      </c>
      <c r="D358">
        <v>2.92</v>
      </c>
      <c r="E358">
        <v>0</v>
      </c>
      <c r="F358">
        <v>0</v>
      </c>
      <c r="G358">
        <v>0</v>
      </c>
      <c r="H358">
        <v>1.84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700</v>
      </c>
      <c r="X358">
        <v>50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500</v>
      </c>
      <c r="AI358">
        <v>8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f t="shared" si="17"/>
        <v>2.4160000000000004</v>
      </c>
      <c r="AU358">
        <f t="shared" si="15"/>
        <v>2.92</v>
      </c>
      <c r="AV358">
        <f t="shared" si="16"/>
        <v>859.79599999999994</v>
      </c>
      <c r="AX358">
        <v>1120.31</v>
      </c>
      <c r="AY358">
        <v>1134.8499999999999</v>
      </c>
      <c r="AZ358">
        <v>15.7874</v>
      </c>
      <c r="BB358" t="s">
        <v>265</v>
      </c>
      <c r="BC358" t="s">
        <v>108</v>
      </c>
    </row>
    <row r="359" spans="3:55" x14ac:dyDescent="0.45">
      <c r="C359">
        <v>95.114999999999995</v>
      </c>
      <c r="D359">
        <v>2.92</v>
      </c>
      <c r="E359">
        <v>0</v>
      </c>
      <c r="F359">
        <v>0</v>
      </c>
      <c r="G359">
        <v>0</v>
      </c>
      <c r="H359">
        <v>1.84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780</v>
      </c>
      <c r="X359">
        <v>45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300</v>
      </c>
      <c r="AI359">
        <v>8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f t="shared" si="17"/>
        <v>2.4160000000000004</v>
      </c>
      <c r="AU359">
        <f t="shared" si="15"/>
        <v>2.92</v>
      </c>
      <c r="AV359">
        <f t="shared" si="16"/>
        <v>859.79599999999994</v>
      </c>
      <c r="AX359">
        <v>1233</v>
      </c>
      <c r="AY359">
        <v>1260</v>
      </c>
      <c r="AZ359">
        <v>13.2</v>
      </c>
      <c r="BB359" t="s">
        <v>266</v>
      </c>
      <c r="BC359" t="s">
        <v>108</v>
      </c>
    </row>
    <row r="360" spans="3:55" x14ac:dyDescent="0.45">
      <c r="C360">
        <v>95.114999999999995</v>
      </c>
      <c r="D360">
        <v>2.92</v>
      </c>
      <c r="E360">
        <v>0</v>
      </c>
      <c r="F360">
        <v>0</v>
      </c>
      <c r="G360">
        <v>0</v>
      </c>
      <c r="H360">
        <v>1.84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780</v>
      </c>
      <c r="X360">
        <v>45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300</v>
      </c>
      <c r="AI360">
        <v>8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f t="shared" si="17"/>
        <v>2.4160000000000004</v>
      </c>
      <c r="AU360">
        <f t="shared" si="15"/>
        <v>2.92</v>
      </c>
      <c r="AV360">
        <f t="shared" si="16"/>
        <v>859.79599999999994</v>
      </c>
      <c r="AX360">
        <v>1195</v>
      </c>
      <c r="AY360">
        <v>1230</v>
      </c>
      <c r="AZ360">
        <v>16</v>
      </c>
      <c r="BB360" t="s">
        <v>267</v>
      </c>
      <c r="BC360" t="s">
        <v>108</v>
      </c>
    </row>
    <row r="361" spans="3:55" x14ac:dyDescent="0.45">
      <c r="C361">
        <v>95.114999999999995</v>
      </c>
      <c r="D361">
        <v>2.92</v>
      </c>
      <c r="E361">
        <v>0</v>
      </c>
      <c r="F361">
        <v>0</v>
      </c>
      <c r="G361">
        <v>0</v>
      </c>
      <c r="H361">
        <v>1.84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845</v>
      </c>
      <c r="X361">
        <v>45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300</v>
      </c>
      <c r="AI361">
        <v>8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f t="shared" si="17"/>
        <v>2.4160000000000004</v>
      </c>
      <c r="AU361">
        <f t="shared" si="15"/>
        <v>2.92</v>
      </c>
      <c r="AV361">
        <f t="shared" si="16"/>
        <v>859.79599999999994</v>
      </c>
      <c r="AX361">
        <v>1265</v>
      </c>
      <c r="AY361">
        <v>1355</v>
      </c>
      <c r="AZ361">
        <v>2.8</v>
      </c>
      <c r="BB361" t="s">
        <v>268</v>
      </c>
      <c r="BC361" t="s">
        <v>108</v>
      </c>
    </row>
    <row r="362" spans="3:55" x14ac:dyDescent="0.45">
      <c r="C362">
        <v>95.114999999999995</v>
      </c>
      <c r="D362">
        <v>2.92</v>
      </c>
      <c r="E362">
        <v>0</v>
      </c>
      <c r="F362">
        <v>0</v>
      </c>
      <c r="G362">
        <v>0</v>
      </c>
      <c r="H362">
        <v>1.84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845</v>
      </c>
      <c r="X362">
        <v>45</v>
      </c>
      <c r="Y362">
        <v>0</v>
      </c>
      <c r="Z362">
        <v>1</v>
      </c>
      <c r="AA362">
        <v>0</v>
      </c>
      <c r="AB362">
        <v>0</v>
      </c>
      <c r="AC362">
        <v>780</v>
      </c>
      <c r="AD362">
        <v>1</v>
      </c>
      <c r="AE362">
        <v>1</v>
      </c>
      <c r="AF362">
        <v>0</v>
      </c>
      <c r="AG362">
        <v>0</v>
      </c>
      <c r="AH362">
        <v>520</v>
      </c>
      <c r="AI362">
        <v>8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f t="shared" si="17"/>
        <v>2.4160000000000004</v>
      </c>
      <c r="AU362">
        <f t="shared" si="15"/>
        <v>2.92</v>
      </c>
      <c r="AV362">
        <f t="shared" si="16"/>
        <v>859.79599999999994</v>
      </c>
      <c r="AX362">
        <v>1200</v>
      </c>
      <c r="AY362">
        <v>1250</v>
      </c>
      <c r="AZ362">
        <v>10.5</v>
      </c>
      <c r="BB362" t="s">
        <v>269</v>
      </c>
      <c r="BC362" t="s">
        <v>108</v>
      </c>
    </row>
    <row r="363" spans="3:55" x14ac:dyDescent="0.45">
      <c r="C363">
        <v>95.114999999999995</v>
      </c>
      <c r="D363">
        <v>2.92</v>
      </c>
      <c r="E363">
        <v>0</v>
      </c>
      <c r="F363">
        <v>0</v>
      </c>
      <c r="G363">
        <v>0</v>
      </c>
      <c r="H363">
        <v>1.84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845</v>
      </c>
      <c r="X363">
        <v>45</v>
      </c>
      <c r="Y363">
        <v>0</v>
      </c>
      <c r="Z363">
        <v>1</v>
      </c>
      <c r="AA363">
        <v>0</v>
      </c>
      <c r="AB363">
        <v>0</v>
      </c>
      <c r="AC363">
        <v>780</v>
      </c>
      <c r="AD363">
        <v>1</v>
      </c>
      <c r="AE363">
        <v>1</v>
      </c>
      <c r="AF363">
        <v>0</v>
      </c>
      <c r="AG363">
        <v>0</v>
      </c>
      <c r="AH363">
        <v>520</v>
      </c>
      <c r="AI363">
        <v>8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f t="shared" si="17"/>
        <v>2.4160000000000004</v>
      </c>
      <c r="AU363">
        <f t="shared" si="15"/>
        <v>2.92</v>
      </c>
      <c r="AV363">
        <f t="shared" si="16"/>
        <v>859.79599999999994</v>
      </c>
      <c r="AX363">
        <v>1203.3</v>
      </c>
      <c r="AY363">
        <v>1263.3</v>
      </c>
      <c r="AZ363">
        <v>10.199999999999999</v>
      </c>
      <c r="BC363" t="s">
        <v>108</v>
      </c>
    </row>
    <row r="364" spans="3:55" x14ac:dyDescent="0.45">
      <c r="C364">
        <v>95.114999999999995</v>
      </c>
      <c r="D364">
        <v>2.92</v>
      </c>
      <c r="E364">
        <v>0</v>
      </c>
      <c r="F364">
        <v>0</v>
      </c>
      <c r="G364">
        <v>0</v>
      </c>
      <c r="H364">
        <v>1.84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45</v>
      </c>
      <c r="Y364">
        <v>0</v>
      </c>
      <c r="Z364">
        <v>0</v>
      </c>
      <c r="AA364">
        <v>0</v>
      </c>
      <c r="AB364">
        <v>0</v>
      </c>
      <c r="AC364">
        <v>780</v>
      </c>
      <c r="AD364">
        <v>1</v>
      </c>
      <c r="AE364">
        <v>0</v>
      </c>
      <c r="AF364">
        <v>1</v>
      </c>
      <c r="AG364">
        <v>0</v>
      </c>
      <c r="AH364">
        <v>520</v>
      </c>
      <c r="AI364">
        <v>8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f t="shared" si="17"/>
        <v>2.4160000000000004</v>
      </c>
      <c r="AU364">
        <f t="shared" si="15"/>
        <v>2.92</v>
      </c>
      <c r="AV364">
        <f t="shared" si="16"/>
        <v>859.79599999999994</v>
      </c>
      <c r="AX364">
        <v>1223.3</v>
      </c>
      <c r="AY364">
        <v>1280</v>
      </c>
      <c r="AZ364">
        <v>9.5</v>
      </c>
      <c r="BC364" t="s">
        <v>108</v>
      </c>
    </row>
    <row r="365" spans="3:55" x14ac:dyDescent="0.45">
      <c r="C365">
        <v>95.114999999999995</v>
      </c>
      <c r="D365">
        <v>2.92</v>
      </c>
      <c r="E365">
        <v>0</v>
      </c>
      <c r="F365">
        <v>0</v>
      </c>
      <c r="G365">
        <v>0</v>
      </c>
      <c r="H365">
        <v>1.84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45</v>
      </c>
      <c r="Y365">
        <v>0</v>
      </c>
      <c r="Z365">
        <v>0</v>
      </c>
      <c r="AA365">
        <v>0</v>
      </c>
      <c r="AB365">
        <v>0</v>
      </c>
      <c r="AC365">
        <v>760</v>
      </c>
      <c r="AD365">
        <v>2</v>
      </c>
      <c r="AE365">
        <v>1</v>
      </c>
      <c r="AF365">
        <v>0</v>
      </c>
      <c r="AG365">
        <v>0</v>
      </c>
      <c r="AH365">
        <v>520</v>
      </c>
      <c r="AI365">
        <v>8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f t="shared" si="17"/>
        <v>2.4160000000000004</v>
      </c>
      <c r="AU365">
        <f t="shared" si="15"/>
        <v>2.92</v>
      </c>
      <c r="AV365">
        <f t="shared" si="16"/>
        <v>859.79599999999994</v>
      </c>
      <c r="AX365">
        <v>1188</v>
      </c>
      <c r="AY365">
        <v>1245</v>
      </c>
      <c r="AZ365">
        <v>10.3</v>
      </c>
      <c r="BC365" t="s">
        <v>108</v>
      </c>
    </row>
    <row r="366" spans="3:55" x14ac:dyDescent="0.45">
      <c r="C366">
        <v>95.114999999999995</v>
      </c>
      <c r="D366">
        <v>2.92</v>
      </c>
      <c r="E366">
        <v>0</v>
      </c>
      <c r="F366">
        <v>0</v>
      </c>
      <c r="G366">
        <v>0</v>
      </c>
      <c r="H366">
        <v>1.84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45</v>
      </c>
      <c r="Y366">
        <v>0</v>
      </c>
      <c r="Z366">
        <v>0</v>
      </c>
      <c r="AA366">
        <v>0</v>
      </c>
      <c r="AB366">
        <v>0</v>
      </c>
      <c r="AC366">
        <v>760</v>
      </c>
      <c r="AD366">
        <v>2</v>
      </c>
      <c r="AE366">
        <v>1</v>
      </c>
      <c r="AF366">
        <v>0</v>
      </c>
      <c r="AG366">
        <v>0</v>
      </c>
      <c r="AH366">
        <v>540</v>
      </c>
      <c r="AI366">
        <v>8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f t="shared" si="17"/>
        <v>2.4160000000000004</v>
      </c>
      <c r="AU366">
        <f t="shared" si="15"/>
        <v>2.92</v>
      </c>
      <c r="AV366">
        <f t="shared" si="16"/>
        <v>859.79599999999994</v>
      </c>
      <c r="AX366">
        <v>1170</v>
      </c>
      <c r="AY366">
        <v>1222</v>
      </c>
      <c r="AZ366">
        <v>11.6</v>
      </c>
      <c r="BC366" t="s">
        <v>108</v>
      </c>
    </row>
    <row r="367" spans="3:55" x14ac:dyDescent="0.45">
      <c r="C367">
        <v>95.114999999999995</v>
      </c>
      <c r="D367">
        <v>2.92</v>
      </c>
      <c r="E367">
        <v>0</v>
      </c>
      <c r="F367">
        <v>0</v>
      </c>
      <c r="G367">
        <v>0</v>
      </c>
      <c r="H367">
        <v>1.84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45</v>
      </c>
      <c r="Y367">
        <v>0</v>
      </c>
      <c r="Z367">
        <v>0</v>
      </c>
      <c r="AA367">
        <v>0</v>
      </c>
      <c r="AB367">
        <v>0</v>
      </c>
      <c r="AC367">
        <v>760</v>
      </c>
      <c r="AD367">
        <v>2</v>
      </c>
      <c r="AE367">
        <v>1</v>
      </c>
      <c r="AF367">
        <v>0</v>
      </c>
      <c r="AG367">
        <v>0</v>
      </c>
      <c r="AH367">
        <v>580</v>
      </c>
      <c r="AI367">
        <v>8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f t="shared" si="17"/>
        <v>2.4160000000000004</v>
      </c>
      <c r="AU367">
        <f t="shared" si="15"/>
        <v>2.92</v>
      </c>
      <c r="AV367">
        <f t="shared" si="16"/>
        <v>859.79599999999994</v>
      </c>
      <c r="AX367">
        <v>1018</v>
      </c>
      <c r="AY367">
        <v>1048</v>
      </c>
      <c r="AZ367">
        <v>17.3</v>
      </c>
      <c r="BC367" t="s">
        <v>108</v>
      </c>
    </row>
    <row r="368" spans="3:55" x14ac:dyDescent="0.45">
      <c r="C368">
        <v>95.114999999999995</v>
      </c>
      <c r="D368">
        <v>2.92</v>
      </c>
      <c r="E368">
        <v>0</v>
      </c>
      <c r="F368">
        <v>0</v>
      </c>
      <c r="G368">
        <v>0</v>
      </c>
      <c r="H368">
        <v>1.84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45</v>
      </c>
      <c r="Y368">
        <v>0</v>
      </c>
      <c r="Z368">
        <v>0</v>
      </c>
      <c r="AA368">
        <v>0</v>
      </c>
      <c r="AB368">
        <v>0</v>
      </c>
      <c r="AC368">
        <v>760</v>
      </c>
      <c r="AD368">
        <v>2</v>
      </c>
      <c r="AE368">
        <v>1</v>
      </c>
      <c r="AF368">
        <v>0</v>
      </c>
      <c r="AG368">
        <v>0</v>
      </c>
      <c r="AH368">
        <v>620</v>
      </c>
      <c r="AI368">
        <v>8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f t="shared" si="17"/>
        <v>2.4160000000000004</v>
      </c>
      <c r="AU368">
        <f t="shared" si="15"/>
        <v>2.92</v>
      </c>
      <c r="AV368">
        <f t="shared" si="16"/>
        <v>859.79599999999994</v>
      </c>
      <c r="AX368">
        <v>986</v>
      </c>
      <c r="AY368">
        <v>1018</v>
      </c>
      <c r="AZ368">
        <v>20</v>
      </c>
      <c r="BB368" t="s">
        <v>270</v>
      </c>
      <c r="BC368" t="s">
        <v>108</v>
      </c>
    </row>
    <row r="369" spans="3:55" x14ac:dyDescent="0.45">
      <c r="C369">
        <v>87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f t="shared" si="17"/>
        <v>-4.04</v>
      </c>
      <c r="AU369">
        <f t="shared" si="15"/>
        <v>6</v>
      </c>
      <c r="AV369">
        <f t="shared" si="16"/>
        <v>894.6</v>
      </c>
      <c r="AY369">
        <v>933</v>
      </c>
      <c r="AZ369">
        <v>7.1</v>
      </c>
      <c r="BC369" t="s">
        <v>118</v>
      </c>
    </row>
    <row r="370" spans="3:55" x14ac:dyDescent="0.45">
      <c r="C370">
        <v>85.929999999999993</v>
      </c>
      <c r="D370">
        <v>10.51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3.56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f t="shared" si="17"/>
        <v>-9.5131999999999994</v>
      </c>
      <c r="AU370">
        <f t="shared" si="15"/>
        <v>10.51</v>
      </c>
      <c r="AV370">
        <f t="shared" si="16"/>
        <v>904.07100000000003</v>
      </c>
      <c r="AW370">
        <v>110</v>
      </c>
      <c r="AX370">
        <v>800</v>
      </c>
      <c r="BC370" t="s">
        <v>60</v>
      </c>
    </row>
    <row r="371" spans="3:55" x14ac:dyDescent="0.45">
      <c r="C371">
        <v>88</v>
      </c>
      <c r="D371">
        <v>0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20</v>
      </c>
      <c r="X371">
        <v>86</v>
      </c>
      <c r="Y371">
        <v>0</v>
      </c>
      <c r="Z371">
        <v>1</v>
      </c>
      <c r="AA371">
        <v>0</v>
      </c>
      <c r="AB371">
        <v>0</v>
      </c>
      <c r="AC371">
        <v>950</v>
      </c>
      <c r="AD371">
        <v>2.5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f t="shared" si="17"/>
        <v>5.36</v>
      </c>
      <c r="AU371">
        <f t="shared" si="15"/>
        <v>1.3333333333333333</v>
      </c>
      <c r="AV371">
        <f t="shared" si="16"/>
        <v>804.4</v>
      </c>
      <c r="AY371">
        <v>1040</v>
      </c>
      <c r="AZ371">
        <v>6</v>
      </c>
      <c r="BC371" t="s">
        <v>120</v>
      </c>
    </row>
    <row r="372" spans="3:55" x14ac:dyDescent="0.45">
      <c r="C372">
        <v>88</v>
      </c>
      <c r="D372">
        <v>0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20</v>
      </c>
      <c r="X372">
        <v>86</v>
      </c>
      <c r="Y372">
        <v>0</v>
      </c>
      <c r="Z372">
        <v>1</v>
      </c>
      <c r="AA372">
        <v>0</v>
      </c>
      <c r="AB372">
        <v>0</v>
      </c>
      <c r="AC372">
        <v>950</v>
      </c>
      <c r="AD372">
        <v>2.5</v>
      </c>
      <c r="AE372">
        <v>1</v>
      </c>
      <c r="AF372">
        <v>0</v>
      </c>
      <c r="AG372">
        <v>0</v>
      </c>
      <c r="AH372">
        <v>250</v>
      </c>
      <c r="AI372">
        <v>1.5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f t="shared" si="17"/>
        <v>5.36</v>
      </c>
      <c r="AU372">
        <f t="shared" si="15"/>
        <v>1.3333333333333333</v>
      </c>
      <c r="AV372">
        <f t="shared" si="16"/>
        <v>804.4</v>
      </c>
      <c r="AY372">
        <v>1157.51</v>
      </c>
      <c r="AZ372">
        <v>4.79</v>
      </c>
      <c r="BC372" t="s">
        <v>120</v>
      </c>
    </row>
    <row r="373" spans="3:55" x14ac:dyDescent="0.45">
      <c r="C373">
        <v>75.3</v>
      </c>
      <c r="D373">
        <v>0</v>
      </c>
      <c r="E373">
        <v>20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4.7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20</v>
      </c>
      <c r="X373">
        <v>86</v>
      </c>
      <c r="Y373">
        <v>0</v>
      </c>
      <c r="Z373">
        <v>1</v>
      </c>
      <c r="AA373">
        <v>0</v>
      </c>
      <c r="AB373">
        <v>0</v>
      </c>
      <c r="AC373">
        <v>950</v>
      </c>
      <c r="AD373">
        <v>2.5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f t="shared" si="17"/>
        <v>13.4</v>
      </c>
      <c r="AU373">
        <f t="shared" si="15"/>
        <v>1.5666666666666667</v>
      </c>
      <c r="AV373">
        <f t="shared" si="16"/>
        <v>665.74</v>
      </c>
      <c r="AY373">
        <v>867.08</v>
      </c>
      <c r="AZ373">
        <v>8.2899999999999991</v>
      </c>
      <c r="BC373" t="s">
        <v>120</v>
      </c>
    </row>
    <row r="374" spans="3:55" x14ac:dyDescent="0.45">
      <c r="C374">
        <v>75.3</v>
      </c>
      <c r="D374">
        <v>0</v>
      </c>
      <c r="E374">
        <v>20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4.7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20</v>
      </c>
      <c r="X374">
        <v>86</v>
      </c>
      <c r="Y374">
        <v>0</v>
      </c>
      <c r="Z374">
        <v>1</v>
      </c>
      <c r="AA374">
        <v>0</v>
      </c>
      <c r="AB374">
        <v>0</v>
      </c>
      <c r="AC374">
        <v>950</v>
      </c>
      <c r="AD374">
        <v>2.5</v>
      </c>
      <c r="AE374">
        <v>1</v>
      </c>
      <c r="AF374">
        <v>0</v>
      </c>
      <c r="AG374">
        <v>0</v>
      </c>
      <c r="AH374">
        <v>250</v>
      </c>
      <c r="AI374">
        <v>1.5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f t="shared" si="17"/>
        <v>13.4</v>
      </c>
      <c r="AU374">
        <f t="shared" si="15"/>
        <v>1.5666666666666667</v>
      </c>
      <c r="AV374">
        <f t="shared" si="16"/>
        <v>665.74</v>
      </c>
      <c r="AY374">
        <v>1264.1199999999999</v>
      </c>
      <c r="AZ374">
        <v>0.5</v>
      </c>
      <c r="BC374" t="s">
        <v>120</v>
      </c>
    </row>
    <row r="375" spans="3:55" x14ac:dyDescent="0.45">
      <c r="C375">
        <v>81.849999999999994</v>
      </c>
      <c r="D375">
        <v>4.4000000000000004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13.6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900</v>
      </c>
      <c r="AD375">
        <v>0.5</v>
      </c>
      <c r="AE375">
        <v>1</v>
      </c>
      <c r="AF375">
        <v>0</v>
      </c>
      <c r="AG375">
        <v>0</v>
      </c>
      <c r="AH375">
        <v>500</v>
      </c>
      <c r="AI375">
        <v>4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f t="shared" si="17"/>
        <v>9.1999999999999993</v>
      </c>
      <c r="AU375">
        <f t="shared" si="15"/>
        <v>4.4000000000000004</v>
      </c>
      <c r="AV375">
        <f t="shared" si="16"/>
        <v>762.04</v>
      </c>
      <c r="AX375">
        <v>1290</v>
      </c>
      <c r="AY375">
        <v>1393.33</v>
      </c>
      <c r="AZ375">
        <v>5.67</v>
      </c>
      <c r="BC375" t="s">
        <v>108</v>
      </c>
    </row>
    <row r="376" spans="3:55" x14ac:dyDescent="0.45">
      <c r="C376">
        <v>81.849999999999994</v>
      </c>
      <c r="D376">
        <v>4.4000000000000004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13.6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900</v>
      </c>
      <c r="AD376">
        <v>0.5</v>
      </c>
      <c r="AE376">
        <v>1</v>
      </c>
      <c r="AF376">
        <v>0</v>
      </c>
      <c r="AG376">
        <v>0</v>
      </c>
      <c r="AH376">
        <v>600</v>
      </c>
      <c r="AI376">
        <v>4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f t="shared" si="17"/>
        <v>9.1999999999999993</v>
      </c>
      <c r="AU376">
        <f t="shared" si="15"/>
        <v>4.4000000000000004</v>
      </c>
      <c r="AV376">
        <f t="shared" si="16"/>
        <v>762.04</v>
      </c>
      <c r="AX376">
        <v>1020</v>
      </c>
      <c r="AY376">
        <v>1116.67</v>
      </c>
      <c r="AZ376">
        <v>12.5</v>
      </c>
      <c r="BC376" t="s">
        <v>108</v>
      </c>
    </row>
    <row r="377" spans="3:55" x14ac:dyDescent="0.45">
      <c r="C377">
        <v>81.849999999999994</v>
      </c>
      <c r="D377">
        <v>4.4000000000000004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13.6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900</v>
      </c>
      <c r="AD377">
        <v>0.5</v>
      </c>
      <c r="AE377">
        <v>1</v>
      </c>
      <c r="AF377">
        <v>0</v>
      </c>
      <c r="AG377">
        <v>0</v>
      </c>
      <c r="AH377">
        <v>700</v>
      </c>
      <c r="AI377">
        <v>4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f t="shared" si="17"/>
        <v>9.1999999999999993</v>
      </c>
      <c r="AU377">
        <f t="shared" si="15"/>
        <v>4.4000000000000004</v>
      </c>
      <c r="AV377">
        <f t="shared" si="16"/>
        <v>762.04</v>
      </c>
      <c r="AX377">
        <v>898.33</v>
      </c>
      <c r="AY377">
        <v>945</v>
      </c>
      <c r="AZ377">
        <v>18.670000000000002</v>
      </c>
      <c r="BC377" t="s">
        <v>108</v>
      </c>
    </row>
    <row r="378" spans="3:55" x14ac:dyDescent="0.45">
      <c r="C378">
        <v>93.61</v>
      </c>
      <c r="D378">
        <v>0</v>
      </c>
      <c r="E378">
        <v>0</v>
      </c>
      <c r="F378">
        <v>0</v>
      </c>
      <c r="G378">
        <v>0</v>
      </c>
      <c r="H378">
        <v>3.9800000000000004</v>
      </c>
      <c r="I378">
        <v>0</v>
      </c>
      <c r="J378">
        <v>0</v>
      </c>
      <c r="K378">
        <v>0</v>
      </c>
      <c r="L378">
        <v>2.42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f t="shared" si="17"/>
        <v>13.962000000000002</v>
      </c>
      <c r="AU378">
        <f t="shared" si="15"/>
        <v>0</v>
      </c>
      <c r="AV378">
        <f t="shared" si="16"/>
        <v>797.71799999999996</v>
      </c>
      <c r="AW378">
        <v>83</v>
      </c>
      <c r="AX378">
        <v>936</v>
      </c>
      <c r="BC378" t="s">
        <v>60</v>
      </c>
    </row>
    <row r="379" spans="3:55" x14ac:dyDescent="0.45">
      <c r="C379">
        <v>93.44</v>
      </c>
      <c r="D379">
        <v>0</v>
      </c>
      <c r="E379">
        <v>0</v>
      </c>
      <c r="F379">
        <v>0</v>
      </c>
      <c r="G379">
        <v>0</v>
      </c>
      <c r="H379">
        <v>0.02</v>
      </c>
      <c r="I379">
        <v>0</v>
      </c>
      <c r="J379">
        <v>0</v>
      </c>
      <c r="K379">
        <v>0</v>
      </c>
      <c r="L379">
        <v>6.54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f t="shared" si="17"/>
        <v>6.5979999999999999</v>
      </c>
      <c r="AU379">
        <f t="shared" si="15"/>
        <v>0</v>
      </c>
      <c r="AV379">
        <f t="shared" si="16"/>
        <v>819.56200000000001</v>
      </c>
      <c r="AW379">
        <v>78</v>
      </c>
      <c r="AX379">
        <v>481</v>
      </c>
      <c r="BC379" t="s">
        <v>60</v>
      </c>
    </row>
    <row r="380" spans="3:55" x14ac:dyDescent="0.45">
      <c r="C380">
        <v>93.61</v>
      </c>
      <c r="D380">
        <v>0</v>
      </c>
      <c r="E380">
        <v>0</v>
      </c>
      <c r="F380">
        <v>0</v>
      </c>
      <c r="G380">
        <v>0</v>
      </c>
      <c r="H380">
        <v>0.02</v>
      </c>
      <c r="I380">
        <v>0</v>
      </c>
      <c r="J380">
        <v>0</v>
      </c>
      <c r="K380">
        <v>0</v>
      </c>
      <c r="L380">
        <v>6.370000000000001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f t="shared" si="17"/>
        <v>6.4280000000000008</v>
      </c>
      <c r="AU380">
        <f t="shared" si="15"/>
        <v>0</v>
      </c>
      <c r="AV380">
        <f t="shared" si="16"/>
        <v>821.17700000000002</v>
      </c>
      <c r="AW380">
        <v>84</v>
      </c>
      <c r="AX380">
        <v>480</v>
      </c>
      <c r="BC380" t="s">
        <v>60</v>
      </c>
    </row>
    <row r="381" spans="3:55" x14ac:dyDescent="0.45">
      <c r="C381">
        <v>85.11</v>
      </c>
      <c r="D381">
        <v>5.0599999999999996</v>
      </c>
      <c r="E381">
        <v>0</v>
      </c>
      <c r="F381">
        <v>9.68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900</v>
      </c>
      <c r="AD381">
        <v>0.5</v>
      </c>
      <c r="AE381">
        <v>1</v>
      </c>
      <c r="AF381">
        <v>0</v>
      </c>
      <c r="AG381">
        <v>0</v>
      </c>
      <c r="AH381">
        <v>600</v>
      </c>
      <c r="AI381">
        <v>4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f t="shared" si="17"/>
        <v>10.428000000000001</v>
      </c>
      <c r="AU381">
        <f t="shared" si="15"/>
        <v>5.0599999999999996</v>
      </c>
      <c r="AV381">
        <f t="shared" si="16"/>
        <v>775.49799999999993</v>
      </c>
      <c r="AY381">
        <v>1043.33</v>
      </c>
      <c r="BC381" t="s">
        <v>108</v>
      </c>
    </row>
    <row r="382" spans="3:55" x14ac:dyDescent="0.45">
      <c r="C382">
        <v>85.11</v>
      </c>
      <c r="D382">
        <v>5.0599999999999996</v>
      </c>
      <c r="E382">
        <v>0</v>
      </c>
      <c r="F382">
        <v>9.68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900</v>
      </c>
      <c r="AD382">
        <v>0.5</v>
      </c>
      <c r="AE382">
        <v>1</v>
      </c>
      <c r="AF382">
        <v>0</v>
      </c>
      <c r="AG382">
        <v>0</v>
      </c>
      <c r="AH382">
        <v>700</v>
      </c>
      <c r="AI382">
        <v>4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f t="shared" si="17"/>
        <v>10.428000000000001</v>
      </c>
      <c r="AU382">
        <f t="shared" si="15"/>
        <v>5.0599999999999996</v>
      </c>
      <c r="AV382">
        <f t="shared" si="16"/>
        <v>775.49799999999993</v>
      </c>
      <c r="AY382">
        <v>1143.3</v>
      </c>
      <c r="BC382" t="s">
        <v>108</v>
      </c>
    </row>
    <row r="383" spans="3:55" x14ac:dyDescent="0.45">
      <c r="C383">
        <v>94.64</v>
      </c>
      <c r="D383">
        <v>0</v>
      </c>
      <c r="E383">
        <v>0</v>
      </c>
      <c r="F383">
        <v>0</v>
      </c>
      <c r="G383">
        <v>0</v>
      </c>
      <c r="H383">
        <v>3.2800000000000002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2.08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f t="shared" si="17"/>
        <v>9.9695999999999998</v>
      </c>
      <c r="AU383">
        <f t="shared" si="15"/>
        <v>0</v>
      </c>
      <c r="AV383">
        <f t="shared" si="16"/>
        <v>831.48799999999994</v>
      </c>
      <c r="AW383">
        <v>110</v>
      </c>
      <c r="AX383">
        <v>1250</v>
      </c>
      <c r="BC383" t="s">
        <v>60</v>
      </c>
    </row>
    <row r="384" spans="3:55" x14ac:dyDescent="0.45">
      <c r="C384">
        <v>93.820000000000007</v>
      </c>
      <c r="D384">
        <v>0</v>
      </c>
      <c r="E384">
        <v>0</v>
      </c>
      <c r="F384">
        <v>0</v>
      </c>
      <c r="G384">
        <v>0</v>
      </c>
      <c r="H384">
        <v>3.4299999999999997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2.75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f t="shared" si="17"/>
        <v>10.552</v>
      </c>
      <c r="AU384">
        <f t="shared" si="15"/>
        <v>0</v>
      </c>
      <c r="AV384">
        <f t="shared" si="16"/>
        <v>829.178</v>
      </c>
      <c r="AW384">
        <v>121</v>
      </c>
      <c r="AX384">
        <v>1360</v>
      </c>
      <c r="BC384" t="s">
        <v>60</v>
      </c>
    </row>
    <row r="385" spans="3:55" x14ac:dyDescent="0.45">
      <c r="C385">
        <v>91.41</v>
      </c>
      <c r="D385">
        <v>0</v>
      </c>
      <c r="E385">
        <v>0</v>
      </c>
      <c r="F385">
        <v>0</v>
      </c>
      <c r="G385">
        <v>0</v>
      </c>
      <c r="H385">
        <v>7.1999999999999993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1.39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f t="shared" si="17"/>
        <v>21.1858</v>
      </c>
      <c r="AU385">
        <f t="shared" si="15"/>
        <v>0</v>
      </c>
      <c r="AV385">
        <f t="shared" si="16"/>
        <v>771.12</v>
      </c>
      <c r="AW385">
        <v>120</v>
      </c>
      <c r="AX385">
        <v>1103</v>
      </c>
      <c r="BC385" t="s">
        <v>60</v>
      </c>
    </row>
    <row r="386" spans="3:55" x14ac:dyDescent="0.45">
      <c r="C386">
        <v>90.35</v>
      </c>
      <c r="D386">
        <v>0</v>
      </c>
      <c r="E386">
        <v>0</v>
      </c>
      <c r="F386">
        <v>0</v>
      </c>
      <c r="G386">
        <v>0</v>
      </c>
      <c r="H386">
        <v>7.3800000000000008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2.2800000000000002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f t="shared" si="17"/>
        <v>21.903600000000001</v>
      </c>
      <c r="AU386">
        <f t="shared" ref="AU386:AU449" si="18">D386+J386/6+M386/3+(T386+S386)/10</f>
        <v>0</v>
      </c>
      <c r="AV386">
        <f t="shared" ref="AV386:AV449" si="19">882+2.1*D386-9.5*L386+4.2*M386-6.9*J386-11.8*E386-12.1*F386-15.4*H386+23.3*Q386+123*T386</f>
        <v>768.34799999999996</v>
      </c>
      <c r="AW386">
        <v>106</v>
      </c>
      <c r="AX386">
        <v>1050</v>
      </c>
      <c r="BC386" t="s">
        <v>60</v>
      </c>
    </row>
    <row r="387" spans="3:55" x14ac:dyDescent="0.45">
      <c r="C387">
        <v>91.52</v>
      </c>
      <c r="D387">
        <v>0</v>
      </c>
      <c r="E387">
        <v>0</v>
      </c>
      <c r="F387">
        <v>0</v>
      </c>
      <c r="G387">
        <v>0</v>
      </c>
      <c r="H387">
        <v>7.93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f t="shared" ref="AT387:AT450" si="20">L387+0.67*E387+0.44*P387+0.28*K387+0.22*O387+2.9*H387+1.6*F387+1.7*G387-D387</f>
        <v>23.1158</v>
      </c>
      <c r="AU387">
        <f t="shared" si="18"/>
        <v>0</v>
      </c>
      <c r="AV387">
        <f t="shared" si="19"/>
        <v>759.87800000000004</v>
      </c>
      <c r="AW387">
        <v>110</v>
      </c>
      <c r="AX387">
        <v>1143</v>
      </c>
      <c r="BC387" t="s">
        <v>60</v>
      </c>
    </row>
    <row r="388" spans="3:55" x14ac:dyDescent="0.45">
      <c r="C388">
        <v>90.490000000000009</v>
      </c>
      <c r="D388">
        <v>0</v>
      </c>
      <c r="E388">
        <v>0</v>
      </c>
      <c r="F388">
        <v>0</v>
      </c>
      <c r="G388">
        <v>0</v>
      </c>
      <c r="H388">
        <v>8.1199999999999992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1.39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f t="shared" si="20"/>
        <v>23.8538</v>
      </c>
      <c r="AU388">
        <f t="shared" si="18"/>
        <v>0</v>
      </c>
      <c r="AV388">
        <f t="shared" si="19"/>
        <v>756.952</v>
      </c>
      <c r="AW388">
        <v>103</v>
      </c>
      <c r="AX388">
        <v>1079</v>
      </c>
      <c r="BC388" t="s">
        <v>60</v>
      </c>
    </row>
    <row r="389" spans="3:55" x14ac:dyDescent="0.45">
      <c r="C389">
        <v>89.039999999999992</v>
      </c>
      <c r="D389">
        <v>0</v>
      </c>
      <c r="E389">
        <v>0</v>
      </c>
      <c r="F389">
        <v>0</v>
      </c>
      <c r="G389">
        <v>0</v>
      </c>
      <c r="H389">
        <v>8.3800000000000008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2.59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f t="shared" si="20"/>
        <v>24.871800000000004</v>
      </c>
      <c r="AU389">
        <f t="shared" si="18"/>
        <v>0</v>
      </c>
      <c r="AV389">
        <f t="shared" si="19"/>
        <v>752.94799999999998</v>
      </c>
      <c r="AW389">
        <v>99</v>
      </c>
      <c r="AX389">
        <v>1016</v>
      </c>
      <c r="BC389" t="s">
        <v>60</v>
      </c>
    </row>
    <row r="390" spans="3:55" x14ac:dyDescent="0.45">
      <c r="C390">
        <v>87.7</v>
      </c>
      <c r="D390">
        <v>0</v>
      </c>
      <c r="E390">
        <v>0</v>
      </c>
      <c r="F390">
        <v>0</v>
      </c>
      <c r="G390">
        <v>0</v>
      </c>
      <c r="H390">
        <v>9.4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2.9000000000000004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f t="shared" si="20"/>
        <v>27.898000000000003</v>
      </c>
      <c r="AU390">
        <f t="shared" si="18"/>
        <v>0</v>
      </c>
      <c r="AV390">
        <f t="shared" si="19"/>
        <v>737.24</v>
      </c>
      <c r="AW390">
        <v>92</v>
      </c>
      <c r="AX390">
        <v>1008</v>
      </c>
      <c r="BB390" t="s">
        <v>271</v>
      </c>
      <c r="BC390" t="s">
        <v>60</v>
      </c>
    </row>
    <row r="391" spans="3:55" x14ac:dyDescent="0.45">
      <c r="C391">
        <v>75.94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19.559999999999999</v>
      </c>
      <c r="L391">
        <v>0</v>
      </c>
      <c r="M391">
        <v>0</v>
      </c>
      <c r="N391">
        <v>0</v>
      </c>
      <c r="O391">
        <v>4.5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f t="shared" si="20"/>
        <v>6.4668000000000001</v>
      </c>
      <c r="AU391">
        <f t="shared" si="18"/>
        <v>0</v>
      </c>
      <c r="AV391">
        <f t="shared" si="19"/>
        <v>882</v>
      </c>
      <c r="AW391">
        <v>66</v>
      </c>
      <c r="AX391">
        <v>213</v>
      </c>
      <c r="BC391" t="s">
        <v>60</v>
      </c>
    </row>
    <row r="392" spans="3:55" x14ac:dyDescent="0.45">
      <c r="C392">
        <v>71.95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18.529999999999998</v>
      </c>
      <c r="L392">
        <v>0</v>
      </c>
      <c r="M392">
        <v>0</v>
      </c>
      <c r="N392">
        <v>0</v>
      </c>
      <c r="O392">
        <v>9.5200000000000014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f t="shared" si="20"/>
        <v>7.2827999999999999</v>
      </c>
      <c r="AU392">
        <f t="shared" si="18"/>
        <v>0</v>
      </c>
      <c r="AV392">
        <f t="shared" si="19"/>
        <v>882</v>
      </c>
      <c r="AW392">
        <v>55</v>
      </c>
      <c r="AX392">
        <v>200</v>
      </c>
      <c r="BC392" t="s">
        <v>60</v>
      </c>
    </row>
    <row r="393" spans="3:55" x14ac:dyDescent="0.45">
      <c r="C393">
        <v>84.26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14.97</v>
      </c>
      <c r="L393">
        <v>0</v>
      </c>
      <c r="M393">
        <v>0</v>
      </c>
      <c r="N393">
        <v>0</v>
      </c>
      <c r="O393">
        <v>0.77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f t="shared" si="20"/>
        <v>4.3610000000000007</v>
      </c>
      <c r="AU393">
        <f t="shared" si="18"/>
        <v>0</v>
      </c>
      <c r="AV393">
        <f t="shared" si="19"/>
        <v>882</v>
      </c>
      <c r="AW393">
        <v>71</v>
      </c>
      <c r="AX393">
        <v>374</v>
      </c>
      <c r="BB393" t="s">
        <v>272</v>
      </c>
      <c r="BC393" t="s">
        <v>60</v>
      </c>
    </row>
    <row r="394" spans="3:55" x14ac:dyDescent="0.45">
      <c r="C394">
        <v>83.13000000000001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15.299999999999999</v>
      </c>
      <c r="L394">
        <v>0</v>
      </c>
      <c r="M394">
        <v>0</v>
      </c>
      <c r="N394">
        <v>0</v>
      </c>
      <c r="O394">
        <v>1.5699999999999998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f t="shared" si="20"/>
        <v>4.6293999999999995</v>
      </c>
      <c r="AU394">
        <f t="shared" si="18"/>
        <v>0</v>
      </c>
      <c r="AV394">
        <f t="shared" si="19"/>
        <v>882</v>
      </c>
      <c r="AW394">
        <v>78</v>
      </c>
      <c r="AX394">
        <v>433</v>
      </c>
      <c r="BB394" t="s">
        <v>273</v>
      </c>
      <c r="BC394" t="s">
        <v>60</v>
      </c>
    </row>
    <row r="395" spans="3:55" x14ac:dyDescent="0.45">
      <c r="C395">
        <v>81.95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15.64</v>
      </c>
      <c r="L395">
        <v>0</v>
      </c>
      <c r="M395">
        <v>0</v>
      </c>
      <c r="N395">
        <v>0</v>
      </c>
      <c r="O395">
        <v>2.41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f t="shared" si="20"/>
        <v>4.9094000000000007</v>
      </c>
      <c r="AU395">
        <f t="shared" si="18"/>
        <v>0</v>
      </c>
      <c r="AV395">
        <f t="shared" si="19"/>
        <v>882</v>
      </c>
      <c r="AW395">
        <v>78</v>
      </c>
      <c r="AX395">
        <v>376</v>
      </c>
      <c r="BB395" t="s">
        <v>274</v>
      </c>
      <c r="BC395" t="s">
        <v>60</v>
      </c>
    </row>
    <row r="396" spans="3:55" x14ac:dyDescent="0.45">
      <c r="C396">
        <v>80.72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18.48</v>
      </c>
      <c r="L396">
        <v>0</v>
      </c>
      <c r="M396">
        <v>0</v>
      </c>
      <c r="N396">
        <v>0</v>
      </c>
      <c r="O396">
        <v>0.79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f t="shared" si="20"/>
        <v>5.3482000000000003</v>
      </c>
      <c r="AU396">
        <f t="shared" si="18"/>
        <v>0</v>
      </c>
      <c r="AV396">
        <f t="shared" si="19"/>
        <v>882</v>
      </c>
      <c r="AW396">
        <v>81</v>
      </c>
      <c r="AX396">
        <v>411</v>
      </c>
      <c r="BB396" t="s">
        <v>275</v>
      </c>
      <c r="BC396" t="s">
        <v>60</v>
      </c>
    </row>
    <row r="397" spans="3:55" x14ac:dyDescent="0.45">
      <c r="C397">
        <v>79.47999999999999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18.899999999999999</v>
      </c>
      <c r="L397">
        <v>0</v>
      </c>
      <c r="M397">
        <v>0</v>
      </c>
      <c r="N397">
        <v>0</v>
      </c>
      <c r="O397">
        <v>1.6199999999999999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f t="shared" si="20"/>
        <v>5.6483999999999996</v>
      </c>
      <c r="AU397">
        <f t="shared" si="18"/>
        <v>0</v>
      </c>
      <c r="AV397">
        <f t="shared" si="19"/>
        <v>882</v>
      </c>
      <c r="AW397">
        <v>80</v>
      </c>
      <c r="AX397">
        <v>377</v>
      </c>
      <c r="BC397" t="s">
        <v>60</v>
      </c>
    </row>
    <row r="398" spans="3:55" x14ac:dyDescent="0.45">
      <c r="C398">
        <v>78.180000000000007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19.34</v>
      </c>
      <c r="L398">
        <v>0</v>
      </c>
      <c r="M398">
        <v>0</v>
      </c>
      <c r="N398">
        <v>0</v>
      </c>
      <c r="O398">
        <v>2.48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f t="shared" si="20"/>
        <v>5.9608000000000008</v>
      </c>
      <c r="AU398">
        <f t="shared" si="18"/>
        <v>0</v>
      </c>
      <c r="AV398">
        <f t="shared" si="19"/>
        <v>882</v>
      </c>
      <c r="AW398">
        <v>81</v>
      </c>
      <c r="AX398">
        <v>395</v>
      </c>
      <c r="BC398" t="s">
        <v>60</v>
      </c>
    </row>
    <row r="399" spans="3:55" x14ac:dyDescent="0.45">
      <c r="C399">
        <v>76.98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22.21</v>
      </c>
      <c r="L399">
        <v>0</v>
      </c>
      <c r="M399">
        <v>0</v>
      </c>
      <c r="N399">
        <v>0</v>
      </c>
      <c r="O399">
        <v>0.80999999999999994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f t="shared" si="20"/>
        <v>6.3970000000000011</v>
      </c>
      <c r="AU399">
        <f t="shared" si="18"/>
        <v>0</v>
      </c>
      <c r="AV399">
        <f t="shared" si="19"/>
        <v>882</v>
      </c>
      <c r="AW399">
        <v>85</v>
      </c>
      <c r="AX399">
        <v>303</v>
      </c>
      <c r="BC399" t="s">
        <v>60</v>
      </c>
    </row>
    <row r="400" spans="3:55" x14ac:dyDescent="0.45">
      <c r="C400">
        <v>75.61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22.720000000000002</v>
      </c>
      <c r="L400">
        <v>0</v>
      </c>
      <c r="M400">
        <v>0</v>
      </c>
      <c r="N400">
        <v>0</v>
      </c>
      <c r="O400">
        <v>1.67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f t="shared" si="20"/>
        <v>6.729000000000001</v>
      </c>
      <c r="AU400">
        <f t="shared" si="18"/>
        <v>0</v>
      </c>
      <c r="AV400">
        <f t="shared" si="19"/>
        <v>882</v>
      </c>
      <c r="AW400">
        <v>84</v>
      </c>
      <c r="AX400">
        <v>340</v>
      </c>
      <c r="BC400" t="s">
        <v>60</v>
      </c>
    </row>
    <row r="401" spans="3:55" x14ac:dyDescent="0.45">
      <c r="C401">
        <v>74.180000000000007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23.26</v>
      </c>
      <c r="L401">
        <v>0</v>
      </c>
      <c r="M401">
        <v>0</v>
      </c>
      <c r="N401">
        <v>0</v>
      </c>
      <c r="O401">
        <v>2.56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f t="shared" si="20"/>
        <v>7.0760000000000014</v>
      </c>
      <c r="AU401">
        <f t="shared" si="18"/>
        <v>0</v>
      </c>
      <c r="AV401">
        <f t="shared" si="19"/>
        <v>882</v>
      </c>
      <c r="AW401">
        <v>90</v>
      </c>
      <c r="AX401">
        <v>314</v>
      </c>
      <c r="BC401" t="s">
        <v>60</v>
      </c>
    </row>
    <row r="402" spans="3:55" x14ac:dyDescent="0.45">
      <c r="C402">
        <v>77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22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f t="shared" si="20"/>
        <v>6.38</v>
      </c>
      <c r="AU402">
        <f t="shared" si="18"/>
        <v>0</v>
      </c>
      <c r="AV402">
        <f t="shared" si="19"/>
        <v>882</v>
      </c>
      <c r="AW402">
        <v>72</v>
      </c>
      <c r="AX402">
        <v>401</v>
      </c>
      <c r="BC402" t="s">
        <v>60</v>
      </c>
    </row>
    <row r="403" spans="3:55" x14ac:dyDescent="0.45">
      <c r="C403">
        <v>71.95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18.53</v>
      </c>
      <c r="L403">
        <v>0</v>
      </c>
      <c r="M403">
        <v>0</v>
      </c>
      <c r="N403">
        <v>0</v>
      </c>
      <c r="O403">
        <v>9.52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f t="shared" si="20"/>
        <v>7.2827999999999999</v>
      </c>
      <c r="AU403">
        <f t="shared" si="18"/>
        <v>0</v>
      </c>
      <c r="AV403">
        <f t="shared" si="19"/>
        <v>882</v>
      </c>
      <c r="AW403">
        <v>55</v>
      </c>
    </row>
    <row r="404" spans="3:55" x14ac:dyDescent="0.45">
      <c r="C404">
        <v>75.94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19.559999999999999</v>
      </c>
      <c r="L404">
        <v>0</v>
      </c>
      <c r="M404">
        <v>0</v>
      </c>
      <c r="N404">
        <v>0</v>
      </c>
      <c r="O404">
        <v>4.5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f t="shared" si="20"/>
        <v>6.4668000000000001</v>
      </c>
      <c r="AU404">
        <f t="shared" si="18"/>
        <v>0</v>
      </c>
      <c r="AV404">
        <f t="shared" si="19"/>
        <v>882</v>
      </c>
      <c r="AW404">
        <v>63</v>
      </c>
    </row>
    <row r="405" spans="3:55" x14ac:dyDescent="0.45">
      <c r="C405">
        <v>58.430000000000007</v>
      </c>
      <c r="D405">
        <v>10.91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30.659999999999997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f t="shared" si="20"/>
        <v>-10.91</v>
      </c>
      <c r="AU405">
        <f t="shared" si="18"/>
        <v>16.02</v>
      </c>
      <c r="AV405">
        <f t="shared" si="19"/>
        <v>693.35700000000008</v>
      </c>
      <c r="AW405">
        <v>100</v>
      </c>
      <c r="AX405">
        <v>1710</v>
      </c>
      <c r="BC405" t="s">
        <v>60</v>
      </c>
    </row>
    <row r="406" spans="3:55" x14ac:dyDescent="0.45">
      <c r="C406">
        <v>91.91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6.63</v>
      </c>
      <c r="M406">
        <v>0</v>
      </c>
      <c r="N406">
        <v>0</v>
      </c>
      <c r="O406">
        <v>1.46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f t="shared" si="20"/>
        <v>6.9512</v>
      </c>
      <c r="AU406">
        <f t="shared" si="18"/>
        <v>0</v>
      </c>
      <c r="AV406">
        <f t="shared" si="19"/>
        <v>819.01499999999999</v>
      </c>
      <c r="AW406">
        <v>74</v>
      </c>
    </row>
    <row r="407" spans="3:55" x14ac:dyDescent="0.45">
      <c r="C407">
        <v>53.4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4.5999999999999996</v>
      </c>
      <c r="K407">
        <v>29</v>
      </c>
      <c r="L407">
        <v>0</v>
      </c>
      <c r="M407">
        <v>0</v>
      </c>
      <c r="N407">
        <v>0</v>
      </c>
      <c r="O407">
        <v>13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800</v>
      </c>
      <c r="AD407">
        <v>1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f t="shared" si="20"/>
        <v>10.98</v>
      </c>
      <c r="AU407">
        <f t="shared" si="18"/>
        <v>0.76666666666666661</v>
      </c>
      <c r="AV407">
        <f t="shared" si="19"/>
        <v>850.26</v>
      </c>
      <c r="AW407">
        <v>42</v>
      </c>
      <c r="AX407">
        <v>88</v>
      </c>
      <c r="AY407">
        <v>421</v>
      </c>
      <c r="AZ407">
        <v>80.34</v>
      </c>
      <c r="BC407" t="s">
        <v>121</v>
      </c>
    </row>
    <row r="408" spans="3:55" x14ac:dyDescent="0.45">
      <c r="C408">
        <v>53.4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4.5999999999999996</v>
      </c>
      <c r="K408">
        <v>29</v>
      </c>
      <c r="L408">
        <v>0</v>
      </c>
      <c r="M408">
        <v>0</v>
      </c>
      <c r="N408">
        <v>0</v>
      </c>
      <c r="O408">
        <v>13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20</v>
      </c>
      <c r="X408">
        <v>88.75</v>
      </c>
      <c r="Y408">
        <v>0</v>
      </c>
      <c r="Z408">
        <v>1</v>
      </c>
      <c r="AA408">
        <v>0</v>
      </c>
      <c r="AB408">
        <v>0</v>
      </c>
      <c r="AC408">
        <v>800</v>
      </c>
      <c r="AD408">
        <v>1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f t="shared" si="20"/>
        <v>10.98</v>
      </c>
      <c r="AU408">
        <f t="shared" si="18"/>
        <v>0.76666666666666661</v>
      </c>
      <c r="AV408">
        <f t="shared" si="19"/>
        <v>850.26</v>
      </c>
      <c r="AW408">
        <v>46</v>
      </c>
      <c r="AX408">
        <v>356</v>
      </c>
      <c r="AY408">
        <v>686</v>
      </c>
      <c r="AZ408">
        <v>4.7300000000000004</v>
      </c>
      <c r="BC408" t="s">
        <v>121</v>
      </c>
    </row>
    <row r="409" spans="3:55" x14ac:dyDescent="0.45">
      <c r="C409">
        <v>53.4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4.5999999999999996</v>
      </c>
      <c r="K409">
        <v>29</v>
      </c>
      <c r="L409">
        <v>0</v>
      </c>
      <c r="M409">
        <v>0</v>
      </c>
      <c r="N409">
        <v>0</v>
      </c>
      <c r="O409">
        <v>13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20</v>
      </c>
      <c r="X409">
        <v>88.75</v>
      </c>
      <c r="Y409">
        <v>0</v>
      </c>
      <c r="Z409">
        <v>1</v>
      </c>
      <c r="AA409">
        <v>0</v>
      </c>
      <c r="AB409">
        <v>0</v>
      </c>
      <c r="AC409">
        <v>800</v>
      </c>
      <c r="AD409">
        <v>1</v>
      </c>
      <c r="AE409">
        <v>1</v>
      </c>
      <c r="AF409">
        <v>0</v>
      </c>
      <c r="AG409">
        <v>0</v>
      </c>
      <c r="AH409">
        <v>400</v>
      </c>
      <c r="AI409">
        <v>0.33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f t="shared" si="20"/>
        <v>10.98</v>
      </c>
      <c r="AU409">
        <f t="shared" si="18"/>
        <v>0.76666666666666661</v>
      </c>
      <c r="AV409">
        <f t="shared" si="19"/>
        <v>850.26</v>
      </c>
      <c r="AW409">
        <v>48</v>
      </c>
      <c r="AX409">
        <v>920</v>
      </c>
      <c r="AY409">
        <v>967</v>
      </c>
      <c r="AZ409">
        <v>2.91</v>
      </c>
      <c r="BC409" t="s">
        <v>121</v>
      </c>
    </row>
    <row r="410" spans="3:55" x14ac:dyDescent="0.45">
      <c r="C410">
        <v>53.4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4.5999999999999996</v>
      </c>
      <c r="K410">
        <v>29</v>
      </c>
      <c r="L410">
        <v>0</v>
      </c>
      <c r="M410">
        <v>0</v>
      </c>
      <c r="N410">
        <v>0</v>
      </c>
      <c r="O410">
        <v>13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20</v>
      </c>
      <c r="X410">
        <v>88.75</v>
      </c>
      <c r="Y410">
        <v>0</v>
      </c>
      <c r="Z410">
        <v>1</v>
      </c>
      <c r="AA410">
        <v>0</v>
      </c>
      <c r="AB410">
        <v>0</v>
      </c>
      <c r="AC410">
        <v>800</v>
      </c>
      <c r="AD410">
        <v>1</v>
      </c>
      <c r="AE410">
        <v>1</v>
      </c>
      <c r="AF410">
        <v>0</v>
      </c>
      <c r="AG410">
        <v>0</v>
      </c>
      <c r="AH410">
        <v>400</v>
      </c>
      <c r="AI410">
        <v>1.67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f t="shared" si="20"/>
        <v>10.98</v>
      </c>
      <c r="AU410">
        <f t="shared" si="18"/>
        <v>0.76666666666666661</v>
      </c>
      <c r="AV410">
        <f t="shared" si="19"/>
        <v>850.26</v>
      </c>
      <c r="AW410">
        <v>83</v>
      </c>
      <c r="AX410">
        <v>1180</v>
      </c>
      <c r="AY410">
        <v>1192</v>
      </c>
      <c r="AZ410">
        <v>1.66</v>
      </c>
      <c r="BC410" t="s">
        <v>121</v>
      </c>
    </row>
    <row r="411" spans="3:55" x14ac:dyDescent="0.45">
      <c r="C411">
        <v>53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7</v>
      </c>
      <c r="K411">
        <v>35</v>
      </c>
      <c r="L411">
        <v>0</v>
      </c>
      <c r="M411">
        <v>0</v>
      </c>
      <c r="N411">
        <v>0</v>
      </c>
      <c r="O411">
        <v>5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850</v>
      </c>
      <c r="AD411">
        <v>0.5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f t="shared" si="20"/>
        <v>10.9</v>
      </c>
      <c r="AU411">
        <f t="shared" si="18"/>
        <v>1.1666666666666667</v>
      </c>
      <c r="AV411">
        <f t="shared" si="19"/>
        <v>833.7</v>
      </c>
      <c r="AY411">
        <v>480</v>
      </c>
      <c r="AZ411">
        <v>22.13</v>
      </c>
      <c r="BC411" t="s">
        <v>122</v>
      </c>
    </row>
    <row r="412" spans="3:55" x14ac:dyDescent="0.45">
      <c r="C412">
        <v>53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7</v>
      </c>
      <c r="K412">
        <v>35</v>
      </c>
      <c r="L412">
        <v>0</v>
      </c>
      <c r="M412">
        <v>0</v>
      </c>
      <c r="N412">
        <v>0</v>
      </c>
      <c r="O412">
        <v>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850</v>
      </c>
      <c r="AD412">
        <v>0.5</v>
      </c>
      <c r="AE412">
        <v>1</v>
      </c>
      <c r="AF412">
        <v>0</v>
      </c>
      <c r="AG412">
        <v>0</v>
      </c>
      <c r="AH412">
        <v>400</v>
      </c>
      <c r="AI412">
        <v>12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f t="shared" si="20"/>
        <v>10.9</v>
      </c>
      <c r="AU412">
        <f t="shared" si="18"/>
        <v>1.1666666666666667</v>
      </c>
      <c r="AV412">
        <f t="shared" si="19"/>
        <v>833.7</v>
      </c>
      <c r="AY412">
        <v>492</v>
      </c>
      <c r="AZ412">
        <v>6.17</v>
      </c>
      <c r="BC412" t="s">
        <v>122</v>
      </c>
    </row>
    <row r="413" spans="3:55" x14ac:dyDescent="0.45">
      <c r="C413">
        <v>53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7</v>
      </c>
      <c r="K413">
        <v>35</v>
      </c>
      <c r="L413">
        <v>0</v>
      </c>
      <c r="M413">
        <v>0</v>
      </c>
      <c r="N413">
        <v>0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850</v>
      </c>
      <c r="AD413">
        <v>0.5</v>
      </c>
      <c r="AE413">
        <v>1</v>
      </c>
      <c r="AF413">
        <v>0</v>
      </c>
      <c r="AG413">
        <v>0</v>
      </c>
      <c r="AH413">
        <v>450</v>
      </c>
      <c r="AI413">
        <v>12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f t="shared" si="20"/>
        <v>10.9</v>
      </c>
      <c r="AU413">
        <f t="shared" si="18"/>
        <v>1.1666666666666667</v>
      </c>
      <c r="AV413">
        <f t="shared" si="19"/>
        <v>833.7</v>
      </c>
      <c r="AY413">
        <v>854</v>
      </c>
      <c r="AZ413">
        <v>6.66</v>
      </c>
      <c r="BC413" t="s">
        <v>122</v>
      </c>
    </row>
    <row r="414" spans="3:55" x14ac:dyDescent="0.45">
      <c r="C414">
        <v>53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</v>
      </c>
      <c r="K414">
        <v>35</v>
      </c>
      <c r="L414">
        <v>0</v>
      </c>
      <c r="M414">
        <v>0</v>
      </c>
      <c r="N414">
        <v>0</v>
      </c>
      <c r="O414">
        <v>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850</v>
      </c>
      <c r="AD414">
        <v>0.5</v>
      </c>
      <c r="AE414">
        <v>1</v>
      </c>
      <c r="AF414">
        <v>0</v>
      </c>
      <c r="AG414">
        <v>0</v>
      </c>
      <c r="AH414">
        <v>500</v>
      </c>
      <c r="AI414">
        <v>12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f t="shared" si="20"/>
        <v>10.9</v>
      </c>
      <c r="AU414">
        <f t="shared" si="18"/>
        <v>1.1666666666666667</v>
      </c>
      <c r="AV414">
        <f t="shared" si="19"/>
        <v>833.7</v>
      </c>
      <c r="AY414">
        <v>613</v>
      </c>
      <c r="AZ414">
        <v>11.31</v>
      </c>
      <c r="BC414" t="s">
        <v>122</v>
      </c>
    </row>
    <row r="415" spans="3:55" x14ac:dyDescent="0.45">
      <c r="C415">
        <v>53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7</v>
      </c>
      <c r="K415">
        <v>35</v>
      </c>
      <c r="L415">
        <v>0</v>
      </c>
      <c r="M415">
        <v>0</v>
      </c>
      <c r="N415">
        <v>0</v>
      </c>
      <c r="O415">
        <v>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850</v>
      </c>
      <c r="AD415">
        <v>0.5</v>
      </c>
      <c r="AE415">
        <v>1</v>
      </c>
      <c r="AF415">
        <v>0</v>
      </c>
      <c r="AG415">
        <v>0</v>
      </c>
      <c r="AH415">
        <v>550</v>
      </c>
      <c r="AI415">
        <v>12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f t="shared" si="20"/>
        <v>10.9</v>
      </c>
      <c r="AU415">
        <f t="shared" si="18"/>
        <v>1.1666666666666667</v>
      </c>
      <c r="AV415">
        <f t="shared" si="19"/>
        <v>833.7</v>
      </c>
      <c r="AY415">
        <v>529</v>
      </c>
      <c r="AZ415">
        <v>17.440000000000001</v>
      </c>
      <c r="BC415" t="s">
        <v>122</v>
      </c>
    </row>
    <row r="416" spans="3:55" x14ac:dyDescent="0.45">
      <c r="C416">
        <v>60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</v>
      </c>
      <c r="K416">
        <v>35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20</v>
      </c>
      <c r="X416">
        <v>90</v>
      </c>
      <c r="Y416">
        <v>0</v>
      </c>
      <c r="Z416">
        <v>1</v>
      </c>
      <c r="AA416">
        <v>0</v>
      </c>
      <c r="AB416">
        <v>0</v>
      </c>
      <c r="AC416">
        <v>450</v>
      </c>
      <c r="AD416">
        <v>0.16700000000000001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f t="shared" si="20"/>
        <v>10.24</v>
      </c>
      <c r="AU416">
        <f t="shared" si="18"/>
        <v>0.5</v>
      </c>
      <c r="AV416">
        <f t="shared" si="19"/>
        <v>861.3</v>
      </c>
      <c r="AY416">
        <v>864</v>
      </c>
      <c r="AZ416">
        <v>1.55</v>
      </c>
      <c r="BC416" t="s">
        <v>123</v>
      </c>
    </row>
    <row r="417" spans="3:55" x14ac:dyDescent="0.45">
      <c r="C417">
        <v>60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35</v>
      </c>
      <c r="L417">
        <v>0</v>
      </c>
      <c r="M417">
        <v>0</v>
      </c>
      <c r="N417">
        <v>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20</v>
      </c>
      <c r="X417">
        <v>90</v>
      </c>
      <c r="Y417">
        <v>0</v>
      </c>
      <c r="Z417">
        <v>1</v>
      </c>
      <c r="AA417">
        <v>0</v>
      </c>
      <c r="AB417">
        <v>0</v>
      </c>
      <c r="AC417">
        <v>550</v>
      </c>
      <c r="AD417">
        <v>0.16700000000000001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f t="shared" si="20"/>
        <v>10.24</v>
      </c>
      <c r="AU417">
        <f t="shared" si="18"/>
        <v>0.5</v>
      </c>
      <c r="AV417">
        <f t="shared" si="19"/>
        <v>861.3</v>
      </c>
      <c r="AY417">
        <v>780</v>
      </c>
      <c r="AZ417">
        <v>17.399999999999999</v>
      </c>
      <c r="BC417" t="s">
        <v>123</v>
      </c>
    </row>
    <row r="418" spans="3:55" x14ac:dyDescent="0.45">
      <c r="C418">
        <v>60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35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20</v>
      </c>
      <c r="X418">
        <v>90</v>
      </c>
      <c r="Y418">
        <v>0</v>
      </c>
      <c r="Z418">
        <v>1</v>
      </c>
      <c r="AA418">
        <v>0</v>
      </c>
      <c r="AB418">
        <v>0</v>
      </c>
      <c r="AC418">
        <v>650</v>
      </c>
      <c r="AD418">
        <v>0.16700000000000001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f t="shared" si="20"/>
        <v>10.24</v>
      </c>
      <c r="AU418">
        <f t="shared" si="18"/>
        <v>0.5</v>
      </c>
      <c r="AV418">
        <f t="shared" si="19"/>
        <v>861.3</v>
      </c>
      <c r="AY418">
        <v>456</v>
      </c>
      <c r="AZ418">
        <v>25.44</v>
      </c>
      <c r="BC418" t="s">
        <v>123</v>
      </c>
    </row>
    <row r="419" spans="3:55" x14ac:dyDescent="0.45">
      <c r="C419">
        <v>60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</v>
      </c>
      <c r="K419">
        <v>35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20</v>
      </c>
      <c r="X419">
        <v>90</v>
      </c>
      <c r="Y419">
        <v>0</v>
      </c>
      <c r="Z419">
        <v>1</v>
      </c>
      <c r="AA419">
        <v>0</v>
      </c>
      <c r="AB419">
        <v>0</v>
      </c>
      <c r="AC419">
        <v>750</v>
      </c>
      <c r="AD419">
        <v>0.16700000000000001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f t="shared" si="20"/>
        <v>10.24</v>
      </c>
      <c r="AU419">
        <f t="shared" si="18"/>
        <v>0.5</v>
      </c>
      <c r="AV419">
        <f t="shared" si="19"/>
        <v>861.3</v>
      </c>
      <c r="AY419">
        <v>589</v>
      </c>
      <c r="AZ419">
        <v>18.579999999999998</v>
      </c>
      <c r="BC419" t="s">
        <v>123</v>
      </c>
    </row>
    <row r="420" spans="3:55" x14ac:dyDescent="0.45">
      <c r="C420">
        <v>55.010000000000005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20.09</v>
      </c>
      <c r="K420">
        <v>7.26</v>
      </c>
      <c r="L420">
        <v>0</v>
      </c>
      <c r="M420">
        <v>0</v>
      </c>
      <c r="N420">
        <v>0</v>
      </c>
      <c r="O420">
        <v>17.64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f t="shared" si="20"/>
        <v>5.9136000000000006</v>
      </c>
      <c r="AU420">
        <f t="shared" si="18"/>
        <v>3.3483333333333332</v>
      </c>
      <c r="AV420">
        <f t="shared" si="19"/>
        <v>743.37900000000002</v>
      </c>
      <c r="AW420">
        <v>73</v>
      </c>
      <c r="AX420">
        <v>1107</v>
      </c>
      <c r="BC420" t="s">
        <v>60</v>
      </c>
    </row>
    <row r="421" spans="3:55" x14ac:dyDescent="0.45">
      <c r="C421">
        <v>54.48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22.98</v>
      </c>
      <c r="K421">
        <v>4.51</v>
      </c>
      <c r="L421">
        <v>0</v>
      </c>
      <c r="M421">
        <v>0</v>
      </c>
      <c r="N421">
        <v>0</v>
      </c>
      <c r="O421">
        <v>18.029999999999998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f t="shared" si="20"/>
        <v>5.2294</v>
      </c>
      <c r="AU421">
        <f t="shared" si="18"/>
        <v>3.83</v>
      </c>
      <c r="AV421">
        <f t="shared" si="19"/>
        <v>723.43799999999999</v>
      </c>
      <c r="AW421">
        <v>75</v>
      </c>
      <c r="AX421">
        <v>932</v>
      </c>
      <c r="BC421" t="s">
        <v>60</v>
      </c>
    </row>
    <row r="422" spans="3:55" x14ac:dyDescent="0.45">
      <c r="C422">
        <v>53.16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26.040000000000003</v>
      </c>
      <c r="K422">
        <v>2.2800000000000002</v>
      </c>
      <c r="L422">
        <v>0</v>
      </c>
      <c r="M422">
        <v>0</v>
      </c>
      <c r="N422">
        <v>0</v>
      </c>
      <c r="O422">
        <v>18.52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f t="shared" si="20"/>
        <v>4.7127999999999997</v>
      </c>
      <c r="AU422">
        <f t="shared" si="18"/>
        <v>4.3400000000000007</v>
      </c>
      <c r="AV422">
        <f t="shared" si="19"/>
        <v>702.32399999999996</v>
      </c>
      <c r="AW422">
        <v>77</v>
      </c>
      <c r="AX422">
        <v>953</v>
      </c>
      <c r="BC422" t="s">
        <v>60</v>
      </c>
    </row>
    <row r="423" spans="3:55" x14ac:dyDescent="0.45">
      <c r="C423">
        <v>71.97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3.25</v>
      </c>
      <c r="K423">
        <v>20.14</v>
      </c>
      <c r="L423">
        <v>0</v>
      </c>
      <c r="M423">
        <v>0</v>
      </c>
      <c r="N423">
        <v>0</v>
      </c>
      <c r="O423">
        <v>4.6399999999999997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f t="shared" si="20"/>
        <v>6.66</v>
      </c>
      <c r="AU423">
        <f t="shared" si="18"/>
        <v>0.54166666666666663</v>
      </c>
      <c r="AV423">
        <f t="shared" si="19"/>
        <v>859.57500000000005</v>
      </c>
      <c r="AW423">
        <v>65</v>
      </c>
      <c r="AX423">
        <v>600</v>
      </c>
      <c r="BC423" t="s">
        <v>60</v>
      </c>
    </row>
    <row r="424" spans="3:55" x14ac:dyDescent="0.45">
      <c r="C424">
        <v>71.97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3.25</v>
      </c>
      <c r="K424">
        <v>20.14</v>
      </c>
      <c r="L424">
        <v>0</v>
      </c>
      <c r="M424">
        <v>0</v>
      </c>
      <c r="N424">
        <v>0</v>
      </c>
      <c r="O424">
        <v>4.6399999999999997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f t="shared" si="20"/>
        <v>6.66</v>
      </c>
      <c r="AU424">
        <f t="shared" si="18"/>
        <v>0.54166666666666663</v>
      </c>
      <c r="AV424">
        <f t="shared" si="19"/>
        <v>859.57500000000005</v>
      </c>
      <c r="AW424">
        <v>55</v>
      </c>
      <c r="AX424">
        <v>257</v>
      </c>
      <c r="BC424" t="s">
        <v>60</v>
      </c>
    </row>
    <row r="425" spans="3:55" x14ac:dyDescent="0.45">
      <c r="C425">
        <v>74.739999999999995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2.0299999999999998</v>
      </c>
      <c r="K425">
        <v>22.54</v>
      </c>
      <c r="L425">
        <v>0</v>
      </c>
      <c r="M425">
        <v>0</v>
      </c>
      <c r="N425">
        <v>0</v>
      </c>
      <c r="O425">
        <v>0.69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f t="shared" si="20"/>
        <v>6.4630000000000001</v>
      </c>
      <c r="AU425">
        <f t="shared" si="18"/>
        <v>0.33833333333333332</v>
      </c>
      <c r="AV425">
        <f t="shared" si="19"/>
        <v>867.99300000000005</v>
      </c>
      <c r="AW425">
        <v>64.5</v>
      </c>
      <c r="AX425">
        <v>700</v>
      </c>
      <c r="BC425" t="s">
        <v>60</v>
      </c>
    </row>
    <row r="426" spans="3:55" x14ac:dyDescent="0.45">
      <c r="C426">
        <v>72.740000000000009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3.46</v>
      </c>
      <c r="K426">
        <v>20.27</v>
      </c>
      <c r="L426">
        <v>0</v>
      </c>
      <c r="M426">
        <v>0</v>
      </c>
      <c r="N426">
        <v>0</v>
      </c>
      <c r="O426">
        <v>3.53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f t="shared" si="20"/>
        <v>6.4522000000000004</v>
      </c>
      <c r="AU426">
        <f t="shared" si="18"/>
        <v>0.57666666666666666</v>
      </c>
      <c r="AV426">
        <f t="shared" si="19"/>
        <v>858.12599999999998</v>
      </c>
      <c r="AW426">
        <v>57.1</v>
      </c>
      <c r="AX426">
        <v>400</v>
      </c>
      <c r="BC426" t="s">
        <v>60</v>
      </c>
    </row>
    <row r="427" spans="3:55" x14ac:dyDescent="0.45">
      <c r="C427">
        <v>74.13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3.2300000000000004</v>
      </c>
      <c r="K427">
        <v>19.86</v>
      </c>
      <c r="L427">
        <v>0</v>
      </c>
      <c r="M427">
        <v>0</v>
      </c>
      <c r="N427">
        <v>0</v>
      </c>
      <c r="O427">
        <v>2.78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f t="shared" si="20"/>
        <v>6.1724000000000006</v>
      </c>
      <c r="AU427">
        <f t="shared" si="18"/>
        <v>0.53833333333333344</v>
      </c>
      <c r="AV427">
        <f t="shared" si="19"/>
        <v>859.71299999999997</v>
      </c>
      <c r="AW427">
        <v>53.7</v>
      </c>
      <c r="AX427">
        <v>435</v>
      </c>
      <c r="BC427" t="s">
        <v>60</v>
      </c>
    </row>
    <row r="428" spans="3:55" x14ac:dyDescent="0.45">
      <c r="C428">
        <v>74.3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23</v>
      </c>
      <c r="L428">
        <v>0</v>
      </c>
      <c r="M428">
        <v>0</v>
      </c>
      <c r="N428">
        <v>0</v>
      </c>
      <c r="O428">
        <v>0.70000000000000007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f t="shared" si="20"/>
        <v>6.5940000000000003</v>
      </c>
      <c r="AU428">
        <f t="shared" si="18"/>
        <v>0.33333333333333331</v>
      </c>
      <c r="AV428">
        <f t="shared" si="19"/>
        <v>868.2</v>
      </c>
      <c r="AW428">
        <v>55</v>
      </c>
      <c r="AX428">
        <v>280</v>
      </c>
      <c r="BC428" t="s">
        <v>60</v>
      </c>
    </row>
    <row r="429" spans="3:55" x14ac:dyDescent="0.45">
      <c r="C429">
        <v>70.45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3.44</v>
      </c>
      <c r="K429">
        <v>21.42</v>
      </c>
      <c r="L429">
        <v>0</v>
      </c>
      <c r="M429">
        <v>0</v>
      </c>
      <c r="N429">
        <v>0</v>
      </c>
      <c r="O429">
        <v>4.6899999999999995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f t="shared" si="20"/>
        <v>7.0294000000000008</v>
      </c>
      <c r="AU429">
        <f t="shared" si="18"/>
        <v>0.57333333333333336</v>
      </c>
      <c r="AV429">
        <f t="shared" si="19"/>
        <v>858.26400000000001</v>
      </c>
      <c r="AW429">
        <v>61</v>
      </c>
      <c r="AX429">
        <v>521</v>
      </c>
      <c r="BC429" t="s">
        <v>60</v>
      </c>
    </row>
    <row r="430" spans="3:55" x14ac:dyDescent="0.45">
      <c r="C430">
        <v>72.06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3.18</v>
      </c>
      <c r="K430">
        <v>20.13</v>
      </c>
      <c r="L430">
        <v>0</v>
      </c>
      <c r="M430">
        <v>0</v>
      </c>
      <c r="N430">
        <v>0</v>
      </c>
      <c r="O430">
        <v>4.63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f t="shared" si="20"/>
        <v>6.6550000000000002</v>
      </c>
      <c r="AU430">
        <f t="shared" si="18"/>
        <v>0.53</v>
      </c>
      <c r="AV430">
        <f t="shared" si="19"/>
        <v>860.05799999999999</v>
      </c>
      <c r="AW430">
        <v>65</v>
      </c>
      <c r="BB430" t="s">
        <v>346</v>
      </c>
    </row>
    <row r="431" spans="3:55" x14ac:dyDescent="0.45">
      <c r="C431">
        <v>69.3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4.9000000000000004</v>
      </c>
      <c r="K431">
        <v>24</v>
      </c>
      <c r="L431">
        <v>0</v>
      </c>
      <c r="M431">
        <v>0</v>
      </c>
      <c r="N431">
        <v>0</v>
      </c>
      <c r="O431">
        <v>1.8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f t="shared" si="20"/>
        <v>7.1160000000000005</v>
      </c>
      <c r="AU431">
        <f t="shared" si="18"/>
        <v>0.81666666666666676</v>
      </c>
      <c r="AV431">
        <f t="shared" si="19"/>
        <v>848.19</v>
      </c>
      <c r="AW431">
        <v>55</v>
      </c>
      <c r="BB431" t="s">
        <v>346</v>
      </c>
    </row>
    <row r="432" spans="3:55" x14ac:dyDescent="0.45">
      <c r="C432">
        <v>74.3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23</v>
      </c>
      <c r="L432">
        <v>0</v>
      </c>
      <c r="M432">
        <v>0</v>
      </c>
      <c r="N432">
        <v>0</v>
      </c>
      <c r="O432">
        <v>0.7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f t="shared" si="20"/>
        <v>6.5940000000000003</v>
      </c>
      <c r="AU432">
        <f t="shared" si="18"/>
        <v>0.33333333333333331</v>
      </c>
      <c r="AV432">
        <f t="shared" si="19"/>
        <v>868.2</v>
      </c>
      <c r="AW432">
        <v>56</v>
      </c>
      <c r="BB432" t="s">
        <v>346</v>
      </c>
    </row>
    <row r="433" spans="3:54" x14ac:dyDescent="0.45">
      <c r="C433">
        <v>83.67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7.93</v>
      </c>
      <c r="K433">
        <v>7.78</v>
      </c>
      <c r="L433">
        <v>0</v>
      </c>
      <c r="M433">
        <v>0</v>
      </c>
      <c r="N433">
        <v>0</v>
      </c>
      <c r="O433">
        <v>0.62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f t="shared" si="20"/>
        <v>2.3148000000000004</v>
      </c>
      <c r="AU433">
        <f t="shared" si="18"/>
        <v>1.3216666666666665</v>
      </c>
      <c r="AV433">
        <f t="shared" si="19"/>
        <v>827.28300000000002</v>
      </c>
      <c r="AW433">
        <v>90</v>
      </c>
      <c r="BB433" t="s">
        <v>346</v>
      </c>
    </row>
    <row r="434" spans="3:54" x14ac:dyDescent="0.45">
      <c r="C434">
        <v>82.76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8.07</v>
      </c>
      <c r="K434">
        <v>7.92</v>
      </c>
      <c r="L434">
        <v>0</v>
      </c>
      <c r="M434">
        <v>0</v>
      </c>
      <c r="N434">
        <v>0</v>
      </c>
      <c r="O434">
        <v>1.25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f t="shared" si="20"/>
        <v>2.4925999999999999</v>
      </c>
      <c r="AU434">
        <f t="shared" si="18"/>
        <v>1.345</v>
      </c>
      <c r="AV434">
        <f t="shared" si="19"/>
        <v>826.31700000000001</v>
      </c>
      <c r="AW434">
        <v>92.54</v>
      </c>
      <c r="BB434" t="s">
        <v>347</v>
      </c>
    </row>
    <row r="435" spans="3:54" x14ac:dyDescent="0.45">
      <c r="C435">
        <v>81.819999999999993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8.2100000000000009</v>
      </c>
      <c r="K435">
        <v>8.06</v>
      </c>
      <c r="L435">
        <v>0</v>
      </c>
      <c r="M435">
        <v>0</v>
      </c>
      <c r="N435">
        <v>0</v>
      </c>
      <c r="O435">
        <v>1.91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f t="shared" si="20"/>
        <v>2.677</v>
      </c>
      <c r="AU435">
        <f t="shared" si="18"/>
        <v>1.3683333333333334</v>
      </c>
      <c r="AV435">
        <f t="shared" si="19"/>
        <v>825.351</v>
      </c>
      <c r="AW435">
        <v>93.66</v>
      </c>
      <c r="BB435" t="s">
        <v>347</v>
      </c>
    </row>
    <row r="436" spans="3:54" x14ac:dyDescent="0.45">
      <c r="C436">
        <v>80.849999999999994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8.36</v>
      </c>
      <c r="K436">
        <v>8.1999999999999993</v>
      </c>
      <c r="L436">
        <v>0</v>
      </c>
      <c r="M436">
        <v>0</v>
      </c>
      <c r="N436">
        <v>0</v>
      </c>
      <c r="O436">
        <v>2.59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f t="shared" si="20"/>
        <v>2.8657999999999997</v>
      </c>
      <c r="AU436">
        <f t="shared" si="18"/>
        <v>1.3933333333333333</v>
      </c>
      <c r="AV436">
        <f t="shared" si="19"/>
        <v>824.31600000000003</v>
      </c>
      <c r="AW436">
        <v>83.52</v>
      </c>
      <c r="BB436" t="s">
        <v>347</v>
      </c>
    </row>
    <row r="437" spans="3:54" x14ac:dyDescent="0.45">
      <c r="C437">
        <v>69.290000000000006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4.92</v>
      </c>
      <c r="K437">
        <v>24.01</v>
      </c>
      <c r="L437">
        <v>0</v>
      </c>
      <c r="M437">
        <v>0</v>
      </c>
      <c r="N437">
        <v>0</v>
      </c>
      <c r="O437">
        <v>1.78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f t="shared" si="20"/>
        <v>7.1144000000000016</v>
      </c>
      <c r="AU437">
        <f t="shared" si="18"/>
        <v>0.82</v>
      </c>
      <c r="AV437">
        <f t="shared" si="19"/>
        <v>848.05200000000002</v>
      </c>
      <c r="AW437">
        <v>55</v>
      </c>
      <c r="BB437" t="s">
        <v>347</v>
      </c>
    </row>
    <row r="438" spans="3:54" x14ac:dyDescent="0.45">
      <c r="C438">
        <v>34.6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8.7100000000000009</v>
      </c>
      <c r="K438">
        <v>44.35</v>
      </c>
      <c r="L438">
        <v>0</v>
      </c>
      <c r="M438">
        <v>0</v>
      </c>
      <c r="N438">
        <v>0</v>
      </c>
      <c r="O438">
        <v>12.34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f t="shared" si="20"/>
        <v>15.132800000000001</v>
      </c>
      <c r="AU438">
        <f t="shared" si="18"/>
        <v>1.4516666666666669</v>
      </c>
      <c r="AV438">
        <f t="shared" si="19"/>
        <v>821.90099999999995</v>
      </c>
      <c r="AW438">
        <v>64</v>
      </c>
      <c r="BB438" t="s">
        <v>347</v>
      </c>
    </row>
    <row r="439" spans="3:54" x14ac:dyDescent="0.45">
      <c r="C439">
        <v>55.01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20.09</v>
      </c>
      <c r="K439">
        <v>7.26</v>
      </c>
      <c r="L439">
        <v>0</v>
      </c>
      <c r="M439">
        <v>0</v>
      </c>
      <c r="N439">
        <v>0</v>
      </c>
      <c r="O439">
        <v>17.64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f t="shared" si="20"/>
        <v>5.9136000000000006</v>
      </c>
      <c r="AU439">
        <f t="shared" si="18"/>
        <v>3.3483333333333332</v>
      </c>
      <c r="AV439">
        <f t="shared" si="19"/>
        <v>743.37900000000002</v>
      </c>
      <c r="AW439">
        <v>73.12</v>
      </c>
      <c r="BB439" t="s">
        <v>243</v>
      </c>
    </row>
    <row r="440" spans="3:54" x14ac:dyDescent="0.45">
      <c r="C440">
        <v>54.48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22.98</v>
      </c>
      <c r="K440">
        <v>4.51</v>
      </c>
      <c r="L440">
        <v>0</v>
      </c>
      <c r="M440">
        <v>0</v>
      </c>
      <c r="N440">
        <v>0</v>
      </c>
      <c r="O440">
        <v>18.03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f t="shared" si="20"/>
        <v>5.2294</v>
      </c>
      <c r="AU440">
        <f t="shared" si="18"/>
        <v>3.83</v>
      </c>
      <c r="AV440">
        <f t="shared" si="19"/>
        <v>723.43799999999999</v>
      </c>
      <c r="AW440">
        <v>74.98</v>
      </c>
      <c r="BB440" t="s">
        <v>276</v>
      </c>
    </row>
    <row r="441" spans="3:54" x14ac:dyDescent="0.45">
      <c r="C441">
        <v>53.16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26.04</v>
      </c>
      <c r="K441">
        <v>2.2799999999999998</v>
      </c>
      <c r="L441">
        <v>0</v>
      </c>
      <c r="M441">
        <v>0</v>
      </c>
      <c r="N441">
        <v>0</v>
      </c>
      <c r="O441">
        <v>18.52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f t="shared" si="20"/>
        <v>4.7127999999999997</v>
      </c>
      <c r="AU441">
        <f t="shared" si="18"/>
        <v>4.34</v>
      </c>
      <c r="AV441">
        <f t="shared" si="19"/>
        <v>702.32399999999996</v>
      </c>
      <c r="AW441">
        <v>76.62</v>
      </c>
      <c r="BB441" t="s">
        <v>276</v>
      </c>
    </row>
    <row r="442" spans="3:54" x14ac:dyDescent="0.45">
      <c r="C442">
        <v>67.8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3.6</v>
      </c>
      <c r="K442">
        <v>24.8</v>
      </c>
      <c r="L442">
        <v>0</v>
      </c>
      <c r="M442">
        <v>0</v>
      </c>
      <c r="N442">
        <v>0</v>
      </c>
      <c r="O442">
        <v>3.8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f t="shared" si="20"/>
        <v>7.7800000000000011</v>
      </c>
      <c r="AU442">
        <f t="shared" si="18"/>
        <v>0.6</v>
      </c>
      <c r="AV442">
        <f t="shared" si="19"/>
        <v>857.16</v>
      </c>
      <c r="AW442">
        <v>65.8</v>
      </c>
      <c r="BB442" t="s">
        <v>276</v>
      </c>
    </row>
    <row r="443" spans="3:54" x14ac:dyDescent="0.45">
      <c r="C443">
        <v>69.7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3.2</v>
      </c>
      <c r="K443">
        <v>22.9</v>
      </c>
      <c r="L443">
        <v>0</v>
      </c>
      <c r="M443">
        <v>0</v>
      </c>
      <c r="N443">
        <v>0</v>
      </c>
      <c r="O443">
        <v>4.2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f t="shared" si="20"/>
        <v>7.3360000000000003</v>
      </c>
      <c r="AU443">
        <f t="shared" si="18"/>
        <v>0.53333333333333333</v>
      </c>
      <c r="AV443">
        <f t="shared" si="19"/>
        <v>859.92</v>
      </c>
      <c r="AW443">
        <v>64.2</v>
      </c>
      <c r="BB443" t="s">
        <v>276</v>
      </c>
    </row>
    <row r="444" spans="3:54" x14ac:dyDescent="0.45">
      <c r="C444">
        <v>70.599999999999994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3.4</v>
      </c>
      <c r="K444">
        <v>20.9</v>
      </c>
      <c r="L444">
        <v>0</v>
      </c>
      <c r="M444">
        <v>0</v>
      </c>
      <c r="N444">
        <v>0</v>
      </c>
      <c r="O444">
        <v>5.0999999999999996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f t="shared" si="20"/>
        <v>6.9740000000000002</v>
      </c>
      <c r="AU444">
        <f t="shared" si="18"/>
        <v>0.56666666666666665</v>
      </c>
      <c r="AV444">
        <f t="shared" si="19"/>
        <v>858.54</v>
      </c>
      <c r="AW444">
        <v>63</v>
      </c>
    </row>
    <row r="445" spans="3:54" x14ac:dyDescent="0.45">
      <c r="C445">
        <v>74.8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22.5</v>
      </c>
      <c r="L445">
        <v>0</v>
      </c>
      <c r="M445">
        <v>0</v>
      </c>
      <c r="N445">
        <v>0</v>
      </c>
      <c r="O445">
        <v>0.7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f t="shared" si="20"/>
        <v>6.4540000000000006</v>
      </c>
      <c r="AU445">
        <f t="shared" si="18"/>
        <v>0.33333333333333331</v>
      </c>
      <c r="AV445">
        <f t="shared" si="19"/>
        <v>868.2</v>
      </c>
      <c r="AW445">
        <v>59.5</v>
      </c>
    </row>
    <row r="446" spans="3:54" x14ac:dyDescent="0.45">
      <c r="C446">
        <v>69.709999999999994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4.83</v>
      </c>
      <c r="K446">
        <v>23.72</v>
      </c>
      <c r="L446">
        <v>0</v>
      </c>
      <c r="M446">
        <v>0</v>
      </c>
      <c r="N446">
        <v>0</v>
      </c>
      <c r="O446">
        <v>1.74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f t="shared" si="20"/>
        <v>7.0244</v>
      </c>
      <c r="AU446">
        <f t="shared" si="18"/>
        <v>0.80500000000000005</v>
      </c>
      <c r="AV446">
        <f t="shared" si="19"/>
        <v>848.673</v>
      </c>
      <c r="AW446">
        <v>62.2</v>
      </c>
    </row>
    <row r="447" spans="3:54" x14ac:dyDescent="0.45">
      <c r="C447">
        <v>74.27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1.96</v>
      </c>
      <c r="K447">
        <v>23.11</v>
      </c>
      <c r="L447">
        <v>0</v>
      </c>
      <c r="M447">
        <v>0</v>
      </c>
      <c r="N447">
        <v>0</v>
      </c>
      <c r="O447">
        <v>0.66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f t="shared" si="20"/>
        <v>6.6160000000000005</v>
      </c>
      <c r="AU447">
        <f t="shared" si="18"/>
        <v>0.32666666666666666</v>
      </c>
      <c r="AV447">
        <f t="shared" si="19"/>
        <v>868.476</v>
      </c>
      <c r="AW447">
        <v>60.2</v>
      </c>
    </row>
    <row r="448" spans="3:54" x14ac:dyDescent="0.45">
      <c r="C448">
        <v>72.63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3.47</v>
      </c>
      <c r="K448">
        <v>20.41</v>
      </c>
      <c r="L448">
        <v>0</v>
      </c>
      <c r="M448">
        <v>0</v>
      </c>
      <c r="N448">
        <v>0</v>
      </c>
      <c r="O448">
        <v>3.49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f t="shared" si="20"/>
        <v>6.4826000000000006</v>
      </c>
      <c r="AU448">
        <f t="shared" si="18"/>
        <v>0.57833333333333337</v>
      </c>
      <c r="AV448">
        <f t="shared" si="19"/>
        <v>858.05700000000002</v>
      </c>
      <c r="AW448">
        <v>56</v>
      </c>
    </row>
    <row r="449" spans="3:55" x14ac:dyDescent="0.45">
      <c r="C449">
        <v>68.209999999999994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3.58</v>
      </c>
      <c r="K449">
        <v>24.6</v>
      </c>
      <c r="L449">
        <v>0</v>
      </c>
      <c r="M449">
        <v>0</v>
      </c>
      <c r="N449">
        <v>0</v>
      </c>
      <c r="O449">
        <v>3.61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f t="shared" si="20"/>
        <v>7.6822000000000008</v>
      </c>
      <c r="AU449">
        <f t="shared" si="18"/>
        <v>0.59666666666666668</v>
      </c>
      <c r="AV449">
        <f t="shared" si="19"/>
        <v>857.298</v>
      </c>
      <c r="AW449">
        <v>62</v>
      </c>
    </row>
    <row r="450" spans="3:55" x14ac:dyDescent="0.45">
      <c r="C450">
        <v>69.2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</v>
      </c>
      <c r="K450">
        <v>24.1</v>
      </c>
      <c r="L450">
        <v>0</v>
      </c>
      <c r="M450">
        <v>0</v>
      </c>
      <c r="N450">
        <v>0</v>
      </c>
      <c r="O450">
        <v>1.7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f t="shared" si="20"/>
        <v>7.1220000000000008</v>
      </c>
      <c r="AU450">
        <f t="shared" ref="AU450:AU513" si="21">D450+J450/6+M450/3+(T450+S450)/10</f>
        <v>0.83333333333333337</v>
      </c>
      <c r="AV450">
        <f t="shared" ref="AV450:AV513" si="22">882+2.1*D450-9.5*L450+4.2*M450-6.9*J450-11.8*E450-12.1*F450-15.4*H450+23.3*Q450+123*T450</f>
        <v>847.5</v>
      </c>
      <c r="AW450">
        <v>56</v>
      </c>
    </row>
    <row r="451" spans="3:55" x14ac:dyDescent="0.45">
      <c r="C451">
        <v>69.900000000000006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5.0999999999999996</v>
      </c>
      <c r="K451">
        <v>20.5</v>
      </c>
      <c r="L451">
        <v>0</v>
      </c>
      <c r="M451">
        <v>0</v>
      </c>
      <c r="N451">
        <v>0</v>
      </c>
      <c r="O451">
        <v>4.5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f t="shared" ref="AT451:AT514" si="23">L451+0.67*E451+0.44*P451+0.28*K451+0.22*O451+2.9*H451+1.6*F451+1.7*G451-D451</f>
        <v>6.73</v>
      </c>
      <c r="AU451">
        <f t="shared" si="21"/>
        <v>0.85</v>
      </c>
      <c r="AV451">
        <f t="shared" si="22"/>
        <v>846.81</v>
      </c>
      <c r="AW451">
        <v>50</v>
      </c>
    </row>
    <row r="452" spans="3:55" x14ac:dyDescent="0.45">
      <c r="C452">
        <v>63.3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17.600000000000001</v>
      </c>
      <c r="K452">
        <v>18.7</v>
      </c>
      <c r="L452">
        <v>0</v>
      </c>
      <c r="M452">
        <v>0</v>
      </c>
      <c r="N452">
        <v>0</v>
      </c>
      <c r="O452">
        <v>0.4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f t="shared" si="23"/>
        <v>5.3240000000000007</v>
      </c>
      <c r="AU452">
        <f t="shared" si="21"/>
        <v>2.9333333333333336</v>
      </c>
      <c r="AV452">
        <f t="shared" si="22"/>
        <v>760.56</v>
      </c>
      <c r="AW452">
        <v>48.3</v>
      </c>
    </row>
    <row r="453" spans="3:55" x14ac:dyDescent="0.45">
      <c r="C453">
        <v>86</v>
      </c>
      <c r="D453">
        <v>6</v>
      </c>
      <c r="E453">
        <v>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800</v>
      </c>
      <c r="AD453">
        <v>1</v>
      </c>
      <c r="AE453">
        <v>1</v>
      </c>
      <c r="AF453">
        <v>0</v>
      </c>
      <c r="AG453">
        <v>0</v>
      </c>
      <c r="AH453">
        <v>550</v>
      </c>
      <c r="AI453">
        <v>6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f t="shared" si="23"/>
        <v>0.67999999999999972</v>
      </c>
      <c r="AU453">
        <f t="shared" si="21"/>
        <v>6</v>
      </c>
      <c r="AV453">
        <f t="shared" si="22"/>
        <v>809.4</v>
      </c>
      <c r="AY453">
        <v>1032</v>
      </c>
      <c r="AZ453">
        <v>18.440000000000001</v>
      </c>
      <c r="BC453" t="s">
        <v>124</v>
      </c>
    </row>
    <row r="454" spans="3:55" x14ac:dyDescent="0.45">
      <c r="C454">
        <v>86</v>
      </c>
      <c r="D454">
        <v>6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830</v>
      </c>
      <c r="AD454">
        <v>1</v>
      </c>
      <c r="AE454">
        <v>1</v>
      </c>
      <c r="AF454">
        <v>0</v>
      </c>
      <c r="AG454">
        <v>0</v>
      </c>
      <c r="AH454">
        <v>550</v>
      </c>
      <c r="AI454">
        <v>6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f t="shared" si="23"/>
        <v>0.67999999999999972</v>
      </c>
      <c r="AU454">
        <f t="shared" si="21"/>
        <v>6</v>
      </c>
      <c r="AV454">
        <f t="shared" si="22"/>
        <v>809.4</v>
      </c>
      <c r="AY454">
        <v>1084</v>
      </c>
      <c r="AZ454">
        <v>15.76</v>
      </c>
      <c r="BC454" t="s">
        <v>124</v>
      </c>
    </row>
    <row r="455" spans="3:55" x14ac:dyDescent="0.45">
      <c r="C455">
        <v>86</v>
      </c>
      <c r="D455">
        <v>6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860</v>
      </c>
      <c r="AD455">
        <v>1</v>
      </c>
      <c r="AE455">
        <v>1</v>
      </c>
      <c r="AF455">
        <v>0</v>
      </c>
      <c r="AG455">
        <v>0</v>
      </c>
      <c r="AH455">
        <v>550</v>
      </c>
      <c r="AI455">
        <v>6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f t="shared" si="23"/>
        <v>0.67999999999999972</v>
      </c>
      <c r="AU455">
        <f t="shared" si="21"/>
        <v>6</v>
      </c>
      <c r="AV455">
        <f t="shared" si="22"/>
        <v>809.4</v>
      </c>
      <c r="AY455">
        <v>1124</v>
      </c>
      <c r="AZ455">
        <v>14.54</v>
      </c>
      <c r="BC455" t="s">
        <v>124</v>
      </c>
    </row>
    <row r="456" spans="3:55" x14ac:dyDescent="0.45">
      <c r="C456">
        <v>86</v>
      </c>
      <c r="D456">
        <v>6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890</v>
      </c>
      <c r="AD456">
        <v>1</v>
      </c>
      <c r="AE456">
        <v>1</v>
      </c>
      <c r="AF456">
        <v>0</v>
      </c>
      <c r="AG456">
        <v>0</v>
      </c>
      <c r="AH456">
        <v>550</v>
      </c>
      <c r="AI456">
        <v>6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f t="shared" si="23"/>
        <v>0.67999999999999972</v>
      </c>
      <c r="AU456">
        <f t="shared" si="21"/>
        <v>6</v>
      </c>
      <c r="AV456">
        <f t="shared" si="22"/>
        <v>809.4</v>
      </c>
      <c r="AY456">
        <v>1225</v>
      </c>
      <c r="AZ456">
        <v>5.12</v>
      </c>
      <c r="BC456" t="s">
        <v>124</v>
      </c>
    </row>
    <row r="457" spans="3:55" x14ac:dyDescent="0.45">
      <c r="C457">
        <v>86</v>
      </c>
      <c r="D457">
        <v>6</v>
      </c>
      <c r="E457">
        <v>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920</v>
      </c>
      <c r="AD457">
        <v>1</v>
      </c>
      <c r="AE457">
        <v>1</v>
      </c>
      <c r="AF457">
        <v>0</v>
      </c>
      <c r="AG457">
        <v>0</v>
      </c>
      <c r="AH457">
        <v>550</v>
      </c>
      <c r="AI457">
        <v>6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f t="shared" si="23"/>
        <v>0.67999999999999972</v>
      </c>
      <c r="AU457">
        <f t="shared" si="21"/>
        <v>6</v>
      </c>
      <c r="AV457">
        <f t="shared" si="22"/>
        <v>809.4</v>
      </c>
      <c r="AY457">
        <v>1285</v>
      </c>
      <c r="AZ457">
        <v>3.12</v>
      </c>
      <c r="BC457" t="s">
        <v>124</v>
      </c>
    </row>
    <row r="458" spans="3:55" x14ac:dyDescent="0.45">
      <c r="C458">
        <v>89.86</v>
      </c>
      <c r="D458">
        <v>8.1</v>
      </c>
      <c r="E458">
        <v>0.99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1.05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915</v>
      </c>
      <c r="AD458">
        <v>1</v>
      </c>
      <c r="AE458">
        <v>1</v>
      </c>
      <c r="AF458">
        <v>0</v>
      </c>
      <c r="AG458">
        <v>0</v>
      </c>
      <c r="AH458">
        <v>580</v>
      </c>
      <c r="AI458">
        <v>8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f t="shared" si="23"/>
        <v>-6.3866999999999994</v>
      </c>
      <c r="AU458">
        <f t="shared" si="21"/>
        <v>8.1</v>
      </c>
      <c r="AV458">
        <f t="shared" si="22"/>
        <v>877.35299999999995</v>
      </c>
      <c r="AX458">
        <v>953.5</v>
      </c>
      <c r="AY458">
        <v>969</v>
      </c>
      <c r="AZ458">
        <v>18</v>
      </c>
      <c r="BC458" t="s">
        <v>108</v>
      </c>
    </row>
    <row r="459" spans="3:55" x14ac:dyDescent="0.45">
      <c r="C459">
        <v>89.86</v>
      </c>
      <c r="D459">
        <v>8.1</v>
      </c>
      <c r="E459">
        <v>0.99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1.05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915</v>
      </c>
      <c r="AD459">
        <v>1</v>
      </c>
      <c r="AE459">
        <v>1</v>
      </c>
      <c r="AF459">
        <v>0</v>
      </c>
      <c r="AG459">
        <v>0</v>
      </c>
      <c r="AH459">
        <v>580</v>
      </c>
      <c r="AI459">
        <v>8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f t="shared" si="23"/>
        <v>-6.3866999999999994</v>
      </c>
      <c r="AU459">
        <f t="shared" si="21"/>
        <v>8.1</v>
      </c>
      <c r="AV459">
        <f t="shared" si="22"/>
        <v>877.35299999999995</v>
      </c>
      <c r="AX459">
        <v>926.5</v>
      </c>
      <c r="AY459">
        <v>971</v>
      </c>
      <c r="AZ459">
        <v>16.8</v>
      </c>
      <c r="BC459" t="s">
        <v>108</v>
      </c>
    </row>
    <row r="460" spans="3:55" x14ac:dyDescent="0.45">
      <c r="C460">
        <v>89.86</v>
      </c>
      <c r="D460">
        <v>8.1</v>
      </c>
      <c r="E460">
        <v>0.99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1.05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960</v>
      </c>
      <c r="AD460">
        <v>1</v>
      </c>
      <c r="AE460">
        <v>0</v>
      </c>
      <c r="AF460">
        <v>1</v>
      </c>
      <c r="AG460">
        <v>0</v>
      </c>
      <c r="AH460">
        <v>580</v>
      </c>
      <c r="AI460">
        <v>8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f t="shared" si="23"/>
        <v>-6.3866999999999994</v>
      </c>
      <c r="AU460">
        <f t="shared" si="21"/>
        <v>8.1</v>
      </c>
      <c r="AV460">
        <f t="shared" si="22"/>
        <v>877.35299999999995</v>
      </c>
      <c r="AX460">
        <v>908.5</v>
      </c>
      <c r="AY460">
        <v>928.5</v>
      </c>
      <c r="AZ460">
        <v>16.8</v>
      </c>
      <c r="BC460" t="s">
        <v>108</v>
      </c>
    </row>
    <row r="461" spans="3:55" x14ac:dyDescent="0.45">
      <c r="C461">
        <v>89.86</v>
      </c>
      <c r="D461">
        <v>8.1</v>
      </c>
      <c r="E461">
        <v>0.99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1.05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960</v>
      </c>
      <c r="AD461">
        <v>1</v>
      </c>
      <c r="AE461">
        <v>1</v>
      </c>
      <c r="AF461">
        <v>0</v>
      </c>
      <c r="AG461">
        <v>0</v>
      </c>
      <c r="AH461">
        <v>580</v>
      </c>
      <c r="AI461">
        <v>8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f t="shared" si="23"/>
        <v>-6.3866999999999994</v>
      </c>
      <c r="AU461">
        <f t="shared" si="21"/>
        <v>8.1</v>
      </c>
      <c r="AV461">
        <f t="shared" si="22"/>
        <v>877.35299999999995</v>
      </c>
      <c r="AX461">
        <v>931.5</v>
      </c>
      <c r="AY461">
        <v>964</v>
      </c>
      <c r="AZ461">
        <v>15</v>
      </c>
      <c r="BC461" t="s">
        <v>108</v>
      </c>
    </row>
    <row r="462" spans="3:55" x14ac:dyDescent="0.45">
      <c r="C462">
        <v>89.86</v>
      </c>
      <c r="D462">
        <v>8.1</v>
      </c>
      <c r="E462">
        <v>0.99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1.05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1010</v>
      </c>
      <c r="AD462">
        <v>1</v>
      </c>
      <c r="AE462">
        <v>1</v>
      </c>
      <c r="AF462">
        <v>0</v>
      </c>
      <c r="AG462">
        <v>0</v>
      </c>
      <c r="AH462">
        <v>580</v>
      </c>
      <c r="AI462">
        <v>8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f t="shared" si="23"/>
        <v>-6.3866999999999994</v>
      </c>
      <c r="AU462">
        <f t="shared" si="21"/>
        <v>8.1</v>
      </c>
      <c r="AV462">
        <f t="shared" si="22"/>
        <v>877.35299999999995</v>
      </c>
      <c r="AX462">
        <v>937.5</v>
      </c>
      <c r="AY462">
        <v>989.5</v>
      </c>
      <c r="AZ462">
        <v>15.3</v>
      </c>
      <c r="BC462" t="s">
        <v>108</v>
      </c>
    </row>
    <row r="463" spans="3:55" x14ac:dyDescent="0.45">
      <c r="C463">
        <v>89.86</v>
      </c>
      <c r="D463">
        <v>8.1</v>
      </c>
      <c r="E463">
        <v>0.99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1.05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915</v>
      </c>
      <c r="AD463">
        <v>1</v>
      </c>
      <c r="AE463">
        <v>0</v>
      </c>
      <c r="AF463">
        <v>1</v>
      </c>
      <c r="AG463">
        <v>0</v>
      </c>
      <c r="AH463">
        <v>550</v>
      </c>
      <c r="AI463">
        <v>8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f t="shared" si="23"/>
        <v>-6.3866999999999994</v>
      </c>
      <c r="AU463">
        <f t="shared" si="21"/>
        <v>8.1</v>
      </c>
      <c r="AV463">
        <f t="shared" si="22"/>
        <v>877.35299999999995</v>
      </c>
      <c r="AX463">
        <v>907.5</v>
      </c>
      <c r="AY463">
        <v>938.5</v>
      </c>
      <c r="AZ463">
        <v>16.5</v>
      </c>
      <c r="BC463" t="s">
        <v>108</v>
      </c>
    </row>
    <row r="464" spans="3:55" x14ac:dyDescent="0.45">
      <c r="C464">
        <v>89.86</v>
      </c>
      <c r="D464">
        <v>8.1</v>
      </c>
      <c r="E464">
        <v>0.99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1.05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960</v>
      </c>
      <c r="AD464">
        <v>1</v>
      </c>
      <c r="AE464">
        <v>1</v>
      </c>
      <c r="AF464">
        <v>0</v>
      </c>
      <c r="AG464">
        <v>0</v>
      </c>
      <c r="AH464">
        <v>580</v>
      </c>
      <c r="AI464">
        <v>8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f t="shared" si="23"/>
        <v>-6.3866999999999994</v>
      </c>
      <c r="AU464">
        <f t="shared" si="21"/>
        <v>8.1</v>
      </c>
      <c r="AV464">
        <f t="shared" si="22"/>
        <v>877.35299999999995</v>
      </c>
      <c r="AX464">
        <v>966</v>
      </c>
      <c r="AY464">
        <v>1017.5</v>
      </c>
      <c r="AZ464">
        <v>15.3</v>
      </c>
      <c r="BC464" t="s">
        <v>108</v>
      </c>
    </row>
    <row r="465" spans="3:55" x14ac:dyDescent="0.45">
      <c r="C465">
        <v>89.86</v>
      </c>
      <c r="D465">
        <v>8.1</v>
      </c>
      <c r="E465">
        <v>0.99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1.05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960</v>
      </c>
      <c r="AD465">
        <v>1</v>
      </c>
      <c r="AE465">
        <v>0</v>
      </c>
      <c r="AF465">
        <v>1</v>
      </c>
      <c r="AG465">
        <v>0</v>
      </c>
      <c r="AH465">
        <v>550</v>
      </c>
      <c r="AI465">
        <v>8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f t="shared" si="23"/>
        <v>-6.3866999999999994</v>
      </c>
      <c r="AU465">
        <f t="shared" si="21"/>
        <v>8.1</v>
      </c>
      <c r="AV465">
        <f t="shared" si="22"/>
        <v>877.35299999999995</v>
      </c>
      <c r="AX465">
        <v>893.5</v>
      </c>
      <c r="AY465">
        <v>919.5</v>
      </c>
      <c r="AZ465">
        <v>16.5</v>
      </c>
      <c r="BC465" t="s">
        <v>108</v>
      </c>
    </row>
    <row r="466" spans="3:55" x14ac:dyDescent="0.45">
      <c r="C466">
        <v>89.86</v>
      </c>
      <c r="D466">
        <v>8.1</v>
      </c>
      <c r="E466">
        <v>0.99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1.05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960</v>
      </c>
      <c r="AD466">
        <v>1</v>
      </c>
      <c r="AE466">
        <v>0</v>
      </c>
      <c r="AF466">
        <v>1</v>
      </c>
      <c r="AG466">
        <v>0</v>
      </c>
      <c r="AH466">
        <v>620</v>
      </c>
      <c r="AI466">
        <v>8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f t="shared" si="23"/>
        <v>-6.3866999999999994</v>
      </c>
      <c r="AU466">
        <f t="shared" si="21"/>
        <v>8.1</v>
      </c>
      <c r="AV466">
        <f t="shared" si="22"/>
        <v>877.35299999999995</v>
      </c>
      <c r="AX466">
        <v>914</v>
      </c>
      <c r="AY466">
        <v>929</v>
      </c>
      <c r="AZ466">
        <v>16.3</v>
      </c>
      <c r="BC466" t="s">
        <v>108</v>
      </c>
    </row>
    <row r="467" spans="3:55" x14ac:dyDescent="0.45">
      <c r="C467">
        <v>89.86</v>
      </c>
      <c r="D467">
        <v>8.1</v>
      </c>
      <c r="E467">
        <v>0.99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1.05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1010</v>
      </c>
      <c r="AD467">
        <v>1</v>
      </c>
      <c r="AE467">
        <v>1</v>
      </c>
      <c r="AF467">
        <v>0</v>
      </c>
      <c r="AG467">
        <v>0</v>
      </c>
      <c r="AH467">
        <v>580</v>
      </c>
      <c r="AI467">
        <v>8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f t="shared" si="23"/>
        <v>-6.3866999999999994</v>
      </c>
      <c r="AU467">
        <f t="shared" si="21"/>
        <v>8.1</v>
      </c>
      <c r="AV467">
        <f t="shared" si="22"/>
        <v>877.35299999999995</v>
      </c>
      <c r="AX467">
        <v>968.5</v>
      </c>
      <c r="AY467">
        <v>1028.5</v>
      </c>
      <c r="AZ467">
        <v>16.8</v>
      </c>
      <c r="BC467" t="s">
        <v>108</v>
      </c>
    </row>
    <row r="468" spans="3:55" x14ac:dyDescent="0.45">
      <c r="C468">
        <v>89.86</v>
      </c>
      <c r="D468">
        <v>8.1</v>
      </c>
      <c r="E468">
        <v>0.99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1.05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1010</v>
      </c>
      <c r="AD468">
        <v>1</v>
      </c>
      <c r="AE468">
        <v>0</v>
      </c>
      <c r="AF468">
        <v>1</v>
      </c>
      <c r="AG468">
        <v>0</v>
      </c>
      <c r="AH468">
        <v>550</v>
      </c>
      <c r="AI468">
        <v>8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f t="shared" si="23"/>
        <v>-6.3866999999999994</v>
      </c>
      <c r="AU468">
        <f t="shared" si="21"/>
        <v>8.1</v>
      </c>
      <c r="AV468">
        <f t="shared" si="22"/>
        <v>877.35299999999995</v>
      </c>
      <c r="AX468">
        <v>879</v>
      </c>
      <c r="AY468">
        <v>919.5</v>
      </c>
      <c r="AZ468">
        <v>16.3</v>
      </c>
      <c r="BC468" t="s">
        <v>108</v>
      </c>
    </row>
    <row r="469" spans="3:55" x14ac:dyDescent="0.45">
      <c r="C469">
        <v>89.86</v>
      </c>
      <c r="D469">
        <v>8.1</v>
      </c>
      <c r="E469">
        <v>0.99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1.05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1010</v>
      </c>
      <c r="AD469">
        <v>1</v>
      </c>
      <c r="AE469">
        <v>0</v>
      </c>
      <c r="AF469">
        <v>1</v>
      </c>
      <c r="AG469">
        <v>0</v>
      </c>
      <c r="AH469">
        <v>620</v>
      </c>
      <c r="AI469">
        <v>8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f t="shared" si="23"/>
        <v>-6.3866999999999994</v>
      </c>
      <c r="AU469">
        <f t="shared" si="21"/>
        <v>8.1</v>
      </c>
      <c r="AV469">
        <f t="shared" si="22"/>
        <v>877.35299999999995</v>
      </c>
      <c r="AX469">
        <v>912</v>
      </c>
      <c r="AY469">
        <v>938.5</v>
      </c>
      <c r="AZ469">
        <v>17.8</v>
      </c>
      <c r="BC469" t="s">
        <v>108</v>
      </c>
    </row>
    <row r="470" spans="3:55" x14ac:dyDescent="0.45">
      <c r="C470">
        <v>89.86</v>
      </c>
      <c r="D470">
        <v>8.1</v>
      </c>
      <c r="E470">
        <v>0.99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1.05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910</v>
      </c>
      <c r="AD470">
        <v>1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f t="shared" si="23"/>
        <v>-6.3866999999999994</v>
      </c>
      <c r="AU470">
        <f t="shared" si="21"/>
        <v>8.1</v>
      </c>
      <c r="AV470">
        <f t="shared" si="22"/>
        <v>877.35299999999995</v>
      </c>
      <c r="AX470">
        <v>827</v>
      </c>
      <c r="AY470">
        <v>936</v>
      </c>
      <c r="AZ470">
        <v>16.7</v>
      </c>
      <c r="BC470" t="s">
        <v>108</v>
      </c>
    </row>
    <row r="471" spans="3:55" x14ac:dyDescent="0.45">
      <c r="C471">
        <v>89.86</v>
      </c>
      <c r="D471">
        <v>8.1</v>
      </c>
      <c r="E471">
        <v>0.99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1.05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910</v>
      </c>
      <c r="AD471">
        <v>2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f t="shared" si="23"/>
        <v>-6.3866999999999994</v>
      </c>
      <c r="AU471">
        <f t="shared" si="21"/>
        <v>8.1</v>
      </c>
      <c r="AV471">
        <f t="shared" si="22"/>
        <v>877.35299999999995</v>
      </c>
      <c r="AX471">
        <v>810</v>
      </c>
      <c r="AY471">
        <v>921</v>
      </c>
      <c r="AZ471">
        <v>16.899999999999999</v>
      </c>
      <c r="BC471" t="s">
        <v>108</v>
      </c>
    </row>
    <row r="472" spans="3:55" x14ac:dyDescent="0.45">
      <c r="C472">
        <v>89.86</v>
      </c>
      <c r="D472">
        <v>8.1</v>
      </c>
      <c r="E472">
        <v>0.99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1.05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910</v>
      </c>
      <c r="AD472">
        <v>3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f t="shared" si="23"/>
        <v>-6.3866999999999994</v>
      </c>
      <c r="AU472">
        <f t="shared" si="21"/>
        <v>8.1</v>
      </c>
      <c r="AV472">
        <f t="shared" si="22"/>
        <v>877.35299999999995</v>
      </c>
      <c r="AX472">
        <v>823</v>
      </c>
      <c r="AY472">
        <v>910</v>
      </c>
      <c r="AZ472">
        <v>16.399999999999999</v>
      </c>
      <c r="BC472" t="s">
        <v>108</v>
      </c>
    </row>
    <row r="473" spans="3:55" x14ac:dyDescent="0.45">
      <c r="C473">
        <v>89.86</v>
      </c>
      <c r="D473">
        <v>8.1</v>
      </c>
      <c r="E473">
        <v>0.99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1.05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910</v>
      </c>
      <c r="AD473">
        <v>4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f t="shared" si="23"/>
        <v>-6.3866999999999994</v>
      </c>
      <c r="AU473">
        <f t="shared" si="21"/>
        <v>8.1</v>
      </c>
      <c r="AV473">
        <f t="shared" si="22"/>
        <v>877.35299999999995</v>
      </c>
      <c r="AX473">
        <v>826</v>
      </c>
      <c r="AY473">
        <v>913</v>
      </c>
      <c r="AZ473">
        <v>19.100000000000001</v>
      </c>
      <c r="BC473" t="s">
        <v>108</v>
      </c>
    </row>
    <row r="474" spans="3:55" x14ac:dyDescent="0.45">
      <c r="C474">
        <v>89.86</v>
      </c>
      <c r="D474">
        <v>8.1</v>
      </c>
      <c r="E474">
        <v>0.99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1.05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910</v>
      </c>
      <c r="AD474">
        <v>5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f t="shared" si="23"/>
        <v>-6.3866999999999994</v>
      </c>
      <c r="AU474">
        <f t="shared" si="21"/>
        <v>8.1</v>
      </c>
      <c r="AV474">
        <f t="shared" si="22"/>
        <v>877.35299999999995</v>
      </c>
      <c r="AX474">
        <v>806</v>
      </c>
      <c r="AY474">
        <v>890</v>
      </c>
      <c r="AZ474">
        <v>17.399999999999999</v>
      </c>
      <c r="BC474" t="s">
        <v>108</v>
      </c>
    </row>
    <row r="475" spans="3:55" x14ac:dyDescent="0.45">
      <c r="C475">
        <v>89.86</v>
      </c>
      <c r="D475">
        <v>8.1</v>
      </c>
      <c r="E475">
        <v>0.99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1.05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910</v>
      </c>
      <c r="AD475">
        <v>6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f t="shared" si="23"/>
        <v>-6.3866999999999994</v>
      </c>
      <c r="AU475">
        <f t="shared" si="21"/>
        <v>8.1</v>
      </c>
      <c r="AV475">
        <f t="shared" si="22"/>
        <v>877.35299999999995</v>
      </c>
      <c r="AX475">
        <v>833</v>
      </c>
      <c r="AY475">
        <v>906</v>
      </c>
      <c r="AZ475">
        <v>21.1</v>
      </c>
      <c r="BC475" t="s">
        <v>108</v>
      </c>
    </row>
    <row r="476" spans="3:55" x14ac:dyDescent="0.45">
      <c r="C476">
        <v>87.37</v>
      </c>
      <c r="D476">
        <v>3.3</v>
      </c>
      <c r="E476">
        <v>4.4000000000000004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4.8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820</v>
      </c>
      <c r="AD476">
        <v>2</v>
      </c>
      <c r="AE476">
        <v>0</v>
      </c>
      <c r="AF476">
        <v>1</v>
      </c>
      <c r="AG476">
        <v>0</v>
      </c>
      <c r="AH476">
        <v>560</v>
      </c>
      <c r="AI476">
        <v>6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f t="shared" si="23"/>
        <v>4.4480000000000004</v>
      </c>
      <c r="AU476">
        <f t="shared" si="21"/>
        <v>3.3</v>
      </c>
      <c r="AV476">
        <f t="shared" si="22"/>
        <v>791.41</v>
      </c>
      <c r="AX476">
        <v>924.68</v>
      </c>
      <c r="AY476">
        <v>961.72</v>
      </c>
      <c r="AZ476">
        <v>21.72</v>
      </c>
      <c r="BC476" t="s">
        <v>108</v>
      </c>
    </row>
    <row r="477" spans="3:55" x14ac:dyDescent="0.45">
      <c r="C477">
        <v>87.37</v>
      </c>
      <c r="D477">
        <v>3.3</v>
      </c>
      <c r="E477">
        <v>4.4000000000000004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4.8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820</v>
      </c>
      <c r="AD477">
        <v>3</v>
      </c>
      <c r="AE477">
        <v>0</v>
      </c>
      <c r="AF477">
        <v>1</v>
      </c>
      <c r="AG477">
        <v>0</v>
      </c>
      <c r="AH477">
        <v>560</v>
      </c>
      <c r="AI477">
        <v>7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f t="shared" si="23"/>
        <v>4.4480000000000004</v>
      </c>
      <c r="AU477">
        <f t="shared" si="21"/>
        <v>3.3</v>
      </c>
      <c r="AV477">
        <f t="shared" si="22"/>
        <v>791.41</v>
      </c>
      <c r="AX477">
        <v>914.02</v>
      </c>
      <c r="AY477">
        <v>961.51</v>
      </c>
      <c r="AZ477">
        <v>23.11</v>
      </c>
      <c r="BB477" t="s">
        <v>348</v>
      </c>
      <c r="BC477" t="s">
        <v>108</v>
      </c>
    </row>
    <row r="478" spans="3:55" x14ac:dyDescent="0.45">
      <c r="C478">
        <v>87.37</v>
      </c>
      <c r="D478">
        <v>3.3</v>
      </c>
      <c r="E478">
        <v>4.4000000000000004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4.8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820</v>
      </c>
      <c r="AD478">
        <v>4</v>
      </c>
      <c r="AE478">
        <v>0</v>
      </c>
      <c r="AF478">
        <v>1</v>
      </c>
      <c r="AG478">
        <v>0</v>
      </c>
      <c r="AH478">
        <v>560</v>
      </c>
      <c r="AI478">
        <v>8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f t="shared" si="23"/>
        <v>4.4480000000000004</v>
      </c>
      <c r="AU478">
        <f t="shared" si="21"/>
        <v>3.3</v>
      </c>
      <c r="AV478">
        <f t="shared" si="22"/>
        <v>791.41</v>
      </c>
      <c r="AX478">
        <v>958.99</v>
      </c>
      <c r="AY478">
        <v>998.15</v>
      </c>
      <c r="AZ478">
        <v>23.45</v>
      </c>
      <c r="BB478" t="s">
        <v>348</v>
      </c>
      <c r="BC478" t="s">
        <v>108</v>
      </c>
    </row>
    <row r="479" spans="3:55" x14ac:dyDescent="0.45">
      <c r="C479">
        <v>87.37</v>
      </c>
      <c r="D479">
        <v>3.3</v>
      </c>
      <c r="E479">
        <v>4.4000000000000004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4.8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820</v>
      </c>
      <c r="AD479">
        <v>5</v>
      </c>
      <c r="AE479">
        <v>0</v>
      </c>
      <c r="AF479">
        <v>1</v>
      </c>
      <c r="AG479">
        <v>0</v>
      </c>
      <c r="AH479">
        <v>560</v>
      </c>
      <c r="AI479">
        <v>9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f t="shared" si="23"/>
        <v>4.4480000000000004</v>
      </c>
      <c r="AU479">
        <f t="shared" si="21"/>
        <v>3.3</v>
      </c>
      <c r="AV479">
        <f t="shared" si="22"/>
        <v>791.41</v>
      </c>
      <c r="AX479">
        <v>952.78</v>
      </c>
      <c r="AY479">
        <v>987.01</v>
      </c>
      <c r="AZ479">
        <v>23.35</v>
      </c>
      <c r="BB479" t="s">
        <v>348</v>
      </c>
      <c r="BC479" t="s">
        <v>108</v>
      </c>
    </row>
    <row r="480" spans="3:55" x14ac:dyDescent="0.45">
      <c r="C480">
        <v>87.37</v>
      </c>
      <c r="D480">
        <v>3.3</v>
      </c>
      <c r="E480">
        <v>4.4000000000000004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4.8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820</v>
      </c>
      <c r="AD480">
        <v>6</v>
      </c>
      <c r="AE480">
        <v>0</v>
      </c>
      <c r="AF480">
        <v>1</v>
      </c>
      <c r="AG480">
        <v>0</v>
      </c>
      <c r="AH480">
        <v>560</v>
      </c>
      <c r="AI480">
        <v>10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f t="shared" si="23"/>
        <v>4.4480000000000004</v>
      </c>
      <c r="AU480">
        <f t="shared" si="21"/>
        <v>3.3</v>
      </c>
      <c r="AV480">
        <f t="shared" si="22"/>
        <v>791.41</v>
      </c>
      <c r="AX480">
        <v>950.16</v>
      </c>
      <c r="AY480">
        <v>980.21</v>
      </c>
      <c r="AZ480">
        <v>23.3</v>
      </c>
      <c r="BB480" t="s">
        <v>348</v>
      </c>
      <c r="BC480" t="s">
        <v>108</v>
      </c>
    </row>
    <row r="481" spans="3:55" x14ac:dyDescent="0.45">
      <c r="C481">
        <v>87.37</v>
      </c>
      <c r="D481">
        <v>3.3</v>
      </c>
      <c r="E481">
        <v>4.4000000000000004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4.8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820</v>
      </c>
      <c r="AD481">
        <v>7</v>
      </c>
      <c r="AE481">
        <v>0</v>
      </c>
      <c r="AF481">
        <v>1</v>
      </c>
      <c r="AG481">
        <v>0</v>
      </c>
      <c r="AH481">
        <v>580</v>
      </c>
      <c r="AI481">
        <v>6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f t="shared" si="23"/>
        <v>4.4480000000000004</v>
      </c>
      <c r="AU481">
        <f t="shared" si="21"/>
        <v>3.3</v>
      </c>
      <c r="AV481">
        <f t="shared" si="22"/>
        <v>791.41</v>
      </c>
      <c r="AX481">
        <v>891.24</v>
      </c>
      <c r="AY481">
        <v>930.25</v>
      </c>
      <c r="AZ481">
        <v>22.59</v>
      </c>
      <c r="BB481" t="s">
        <v>348</v>
      </c>
      <c r="BC481" t="s">
        <v>108</v>
      </c>
    </row>
    <row r="482" spans="3:55" x14ac:dyDescent="0.45">
      <c r="C482">
        <v>87.37</v>
      </c>
      <c r="D482">
        <v>3.3</v>
      </c>
      <c r="E482">
        <v>4.4000000000000004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4.8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820</v>
      </c>
      <c r="AD482">
        <v>8</v>
      </c>
      <c r="AE482">
        <v>0</v>
      </c>
      <c r="AF482">
        <v>1</v>
      </c>
      <c r="AG482">
        <v>0</v>
      </c>
      <c r="AH482">
        <v>580</v>
      </c>
      <c r="AI482">
        <v>7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f t="shared" si="23"/>
        <v>4.4480000000000004</v>
      </c>
      <c r="AU482">
        <f t="shared" si="21"/>
        <v>3.3</v>
      </c>
      <c r="AV482">
        <f t="shared" si="22"/>
        <v>791.41</v>
      </c>
      <c r="AX482">
        <v>889.85</v>
      </c>
      <c r="AY482">
        <v>931.47</v>
      </c>
      <c r="AZ482">
        <v>22.88</v>
      </c>
      <c r="BC482" t="s">
        <v>108</v>
      </c>
    </row>
    <row r="483" spans="3:55" x14ac:dyDescent="0.45">
      <c r="C483">
        <v>87.37</v>
      </c>
      <c r="D483">
        <v>3.3</v>
      </c>
      <c r="E483">
        <v>4.4000000000000004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4.8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820</v>
      </c>
      <c r="AD483">
        <v>9</v>
      </c>
      <c r="AE483">
        <v>0</v>
      </c>
      <c r="AF483">
        <v>1</v>
      </c>
      <c r="AG483">
        <v>0</v>
      </c>
      <c r="AH483">
        <v>580</v>
      </c>
      <c r="AI483">
        <v>8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f t="shared" si="23"/>
        <v>4.4480000000000004</v>
      </c>
      <c r="AU483">
        <f t="shared" si="21"/>
        <v>3.3</v>
      </c>
      <c r="AV483">
        <f t="shared" si="22"/>
        <v>791.41</v>
      </c>
      <c r="AX483">
        <v>972.03</v>
      </c>
      <c r="AY483">
        <v>1007.3</v>
      </c>
      <c r="AZ483">
        <v>24.25</v>
      </c>
      <c r="BC483" t="s">
        <v>108</v>
      </c>
    </row>
    <row r="484" spans="3:55" x14ac:dyDescent="0.45">
      <c r="C484">
        <v>87.37</v>
      </c>
      <c r="D484">
        <v>3.3</v>
      </c>
      <c r="E484">
        <v>4.4000000000000004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4.8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820</v>
      </c>
      <c r="AD484">
        <v>10</v>
      </c>
      <c r="AE484">
        <v>0</v>
      </c>
      <c r="AF484">
        <v>1</v>
      </c>
      <c r="AG484">
        <v>0</v>
      </c>
      <c r="AH484">
        <v>580</v>
      </c>
      <c r="AI484">
        <v>9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f t="shared" si="23"/>
        <v>4.4480000000000004</v>
      </c>
      <c r="AU484">
        <f t="shared" si="21"/>
        <v>3.3</v>
      </c>
      <c r="AV484">
        <f t="shared" si="22"/>
        <v>791.41</v>
      </c>
      <c r="AX484">
        <v>944.57</v>
      </c>
      <c r="AY484">
        <v>977.95</v>
      </c>
      <c r="AZ484">
        <v>24.05</v>
      </c>
      <c r="BC484" t="s">
        <v>108</v>
      </c>
    </row>
    <row r="485" spans="3:55" x14ac:dyDescent="0.45">
      <c r="C485">
        <v>87.37</v>
      </c>
      <c r="D485">
        <v>3.3</v>
      </c>
      <c r="E485">
        <v>4.4000000000000004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4.8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820</v>
      </c>
      <c r="AD485">
        <v>11</v>
      </c>
      <c r="AE485">
        <v>0</v>
      </c>
      <c r="AF485">
        <v>1</v>
      </c>
      <c r="AG485">
        <v>0</v>
      </c>
      <c r="AH485">
        <v>580</v>
      </c>
      <c r="AI485">
        <v>10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f t="shared" si="23"/>
        <v>4.4480000000000004</v>
      </c>
      <c r="AU485">
        <f t="shared" si="21"/>
        <v>3.3</v>
      </c>
      <c r="AV485">
        <f t="shared" si="22"/>
        <v>791.41</v>
      </c>
      <c r="AX485">
        <v>943.38</v>
      </c>
      <c r="AY485">
        <v>974.97</v>
      </c>
      <c r="AZ485">
        <v>24.01</v>
      </c>
      <c r="BC485" t="s">
        <v>108</v>
      </c>
    </row>
    <row r="486" spans="3:55" x14ac:dyDescent="0.45">
      <c r="C486">
        <v>87.37</v>
      </c>
      <c r="D486">
        <v>3.3</v>
      </c>
      <c r="E486">
        <v>4.4000000000000004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4.8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820</v>
      </c>
      <c r="AD486">
        <v>12</v>
      </c>
      <c r="AE486">
        <v>0</v>
      </c>
      <c r="AF486">
        <v>1</v>
      </c>
      <c r="AG486">
        <v>0</v>
      </c>
      <c r="AH486">
        <v>600</v>
      </c>
      <c r="AI486">
        <v>6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f t="shared" si="23"/>
        <v>4.4480000000000004</v>
      </c>
      <c r="AU486">
        <f t="shared" si="21"/>
        <v>3.3</v>
      </c>
      <c r="AV486">
        <f t="shared" si="22"/>
        <v>791.41</v>
      </c>
      <c r="AX486">
        <v>873.54</v>
      </c>
      <c r="AY486">
        <v>913.02</v>
      </c>
      <c r="AZ486">
        <v>25.34</v>
      </c>
      <c r="BC486" t="s">
        <v>108</v>
      </c>
    </row>
    <row r="487" spans="3:55" x14ac:dyDescent="0.45">
      <c r="C487">
        <v>87.37</v>
      </c>
      <c r="D487">
        <v>3.3</v>
      </c>
      <c r="E487">
        <v>4.4000000000000004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820</v>
      </c>
      <c r="AD487">
        <v>13</v>
      </c>
      <c r="AE487">
        <v>0</v>
      </c>
      <c r="AF487">
        <v>1</v>
      </c>
      <c r="AG487">
        <v>0</v>
      </c>
      <c r="AH487">
        <v>600</v>
      </c>
      <c r="AI487">
        <v>7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f t="shared" si="23"/>
        <v>4.4480000000000004</v>
      </c>
      <c r="AU487">
        <f t="shared" si="21"/>
        <v>3.3</v>
      </c>
      <c r="AV487">
        <f t="shared" si="22"/>
        <v>791.41</v>
      </c>
      <c r="AX487">
        <v>882.35</v>
      </c>
      <c r="AY487">
        <v>917.65</v>
      </c>
      <c r="AZ487">
        <v>25.51</v>
      </c>
      <c r="BC487" t="s">
        <v>108</v>
      </c>
    </row>
    <row r="488" spans="3:55" x14ac:dyDescent="0.45">
      <c r="C488">
        <v>87.37</v>
      </c>
      <c r="D488">
        <v>3.3</v>
      </c>
      <c r="E488">
        <v>4.4000000000000004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4.8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820</v>
      </c>
      <c r="AD488">
        <v>14</v>
      </c>
      <c r="AE488">
        <v>0</v>
      </c>
      <c r="AF488">
        <v>1</v>
      </c>
      <c r="AG488">
        <v>0</v>
      </c>
      <c r="AH488">
        <v>600</v>
      </c>
      <c r="AI488">
        <v>8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f t="shared" si="23"/>
        <v>4.4480000000000004</v>
      </c>
      <c r="AU488">
        <f t="shared" si="21"/>
        <v>3.3</v>
      </c>
      <c r="AV488">
        <f t="shared" si="22"/>
        <v>791.41</v>
      </c>
      <c r="AX488">
        <v>934.69</v>
      </c>
      <c r="AY488">
        <v>970.81</v>
      </c>
      <c r="AZ488">
        <v>25</v>
      </c>
      <c r="BC488" t="s">
        <v>108</v>
      </c>
    </row>
    <row r="489" spans="3:55" x14ac:dyDescent="0.45">
      <c r="C489">
        <v>87.37</v>
      </c>
      <c r="D489">
        <v>3.3</v>
      </c>
      <c r="E489">
        <v>4.4000000000000004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4.8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820</v>
      </c>
      <c r="AD489">
        <v>15</v>
      </c>
      <c r="AE489">
        <v>0</v>
      </c>
      <c r="AF489">
        <v>1</v>
      </c>
      <c r="AG489">
        <v>0</v>
      </c>
      <c r="AH489">
        <v>600</v>
      </c>
      <c r="AI489">
        <v>9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f t="shared" si="23"/>
        <v>4.4480000000000004</v>
      </c>
      <c r="AU489">
        <f t="shared" si="21"/>
        <v>3.3</v>
      </c>
      <c r="AV489">
        <f t="shared" si="22"/>
        <v>791.41</v>
      </c>
      <c r="AX489">
        <v>928.66</v>
      </c>
      <c r="AY489">
        <v>958.4</v>
      </c>
      <c r="AZ489">
        <v>24.95</v>
      </c>
      <c r="BC489" t="s">
        <v>108</v>
      </c>
    </row>
    <row r="490" spans="3:55" x14ac:dyDescent="0.45">
      <c r="C490">
        <v>87.37</v>
      </c>
      <c r="D490">
        <v>3.3</v>
      </c>
      <c r="E490">
        <v>4.4000000000000004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4.8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820</v>
      </c>
      <c r="AD490">
        <v>16</v>
      </c>
      <c r="AE490">
        <v>0</v>
      </c>
      <c r="AF490">
        <v>1</v>
      </c>
      <c r="AG490">
        <v>0</v>
      </c>
      <c r="AH490">
        <v>600</v>
      </c>
      <c r="AI490">
        <v>10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f t="shared" si="23"/>
        <v>4.4480000000000004</v>
      </c>
      <c r="AU490">
        <f t="shared" si="21"/>
        <v>3.3</v>
      </c>
      <c r="AV490">
        <f t="shared" si="22"/>
        <v>791.41</v>
      </c>
      <c r="AX490">
        <v>923.96</v>
      </c>
      <c r="AY490">
        <v>951</v>
      </c>
      <c r="AZ490">
        <v>24.7</v>
      </c>
      <c r="BC490" t="s">
        <v>108</v>
      </c>
    </row>
    <row r="491" spans="3:55" x14ac:dyDescent="0.45">
      <c r="C491">
        <v>87.37</v>
      </c>
      <c r="D491">
        <v>3.3</v>
      </c>
      <c r="E491">
        <v>4.4000000000000004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4.8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f t="shared" si="23"/>
        <v>4.4480000000000004</v>
      </c>
      <c r="AU491">
        <f t="shared" si="21"/>
        <v>3.3</v>
      </c>
      <c r="AV491">
        <f t="shared" si="22"/>
        <v>791.41</v>
      </c>
      <c r="AX491">
        <v>860.43</v>
      </c>
      <c r="AY491">
        <v>886.97</v>
      </c>
      <c r="AZ491">
        <v>18.760000000000002</v>
      </c>
      <c r="BC491" t="s">
        <v>108</v>
      </c>
    </row>
    <row r="492" spans="3:55" x14ac:dyDescent="0.45">
      <c r="C492">
        <v>87.37</v>
      </c>
      <c r="D492">
        <v>3.3</v>
      </c>
      <c r="E492">
        <v>4.4000000000000004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4.8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780</v>
      </c>
      <c r="AD492">
        <v>3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f t="shared" si="23"/>
        <v>4.4480000000000004</v>
      </c>
      <c r="AU492">
        <f t="shared" si="21"/>
        <v>3.3</v>
      </c>
      <c r="AV492">
        <f t="shared" si="22"/>
        <v>791.41</v>
      </c>
      <c r="AX492">
        <v>837.43</v>
      </c>
      <c r="AY492">
        <v>847.12</v>
      </c>
      <c r="AZ492">
        <v>26.2</v>
      </c>
      <c r="BC492" t="s">
        <v>108</v>
      </c>
    </row>
    <row r="493" spans="3:55" x14ac:dyDescent="0.45">
      <c r="C493">
        <v>87.37</v>
      </c>
      <c r="D493">
        <v>3.3</v>
      </c>
      <c r="E493">
        <v>4.4000000000000004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4.8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800</v>
      </c>
      <c r="AD493">
        <v>3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f t="shared" si="23"/>
        <v>4.4480000000000004</v>
      </c>
      <c r="AU493">
        <f t="shared" si="21"/>
        <v>3.3</v>
      </c>
      <c r="AV493">
        <f t="shared" si="22"/>
        <v>791.41</v>
      </c>
      <c r="AX493">
        <v>831.94</v>
      </c>
      <c r="AY493">
        <v>842.85</v>
      </c>
      <c r="AZ493">
        <v>25.04</v>
      </c>
      <c r="BC493" t="s">
        <v>108</v>
      </c>
    </row>
    <row r="494" spans="3:55" x14ac:dyDescent="0.45">
      <c r="C494">
        <v>87.37</v>
      </c>
      <c r="D494">
        <v>3.3</v>
      </c>
      <c r="E494">
        <v>4.4000000000000004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4.8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820</v>
      </c>
      <c r="AD494">
        <v>3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f t="shared" si="23"/>
        <v>4.4480000000000004</v>
      </c>
      <c r="AU494">
        <f t="shared" si="21"/>
        <v>3.3</v>
      </c>
      <c r="AV494">
        <f t="shared" si="22"/>
        <v>791.41</v>
      </c>
      <c r="AX494">
        <v>827.81</v>
      </c>
      <c r="AY494">
        <v>844.02</v>
      </c>
      <c r="AZ494">
        <v>23.74</v>
      </c>
      <c r="BC494" t="s">
        <v>108</v>
      </c>
    </row>
    <row r="495" spans="3:55" x14ac:dyDescent="0.45">
      <c r="C495">
        <v>87.37</v>
      </c>
      <c r="D495">
        <v>3.3</v>
      </c>
      <c r="E495">
        <v>4.4000000000000004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4.8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840</v>
      </c>
      <c r="AD495">
        <v>3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f t="shared" si="23"/>
        <v>4.4480000000000004</v>
      </c>
      <c r="AU495">
        <f t="shared" si="21"/>
        <v>3.3</v>
      </c>
      <c r="AV495">
        <f t="shared" si="22"/>
        <v>791.41</v>
      </c>
      <c r="AX495">
        <v>823.06</v>
      </c>
      <c r="AY495">
        <v>857.7</v>
      </c>
      <c r="AZ495">
        <v>23.6</v>
      </c>
      <c r="BC495" t="s">
        <v>108</v>
      </c>
    </row>
    <row r="496" spans="3:55" x14ac:dyDescent="0.45">
      <c r="C496">
        <v>87.37</v>
      </c>
      <c r="D496">
        <v>3.3</v>
      </c>
      <c r="E496">
        <v>4.4000000000000004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4.8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860</v>
      </c>
      <c r="AD496">
        <v>3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f t="shared" si="23"/>
        <v>4.4480000000000004</v>
      </c>
      <c r="AU496">
        <f t="shared" si="21"/>
        <v>3.3</v>
      </c>
      <c r="AV496">
        <f t="shared" si="22"/>
        <v>791.41</v>
      </c>
      <c r="AX496">
        <v>819.11</v>
      </c>
      <c r="AY496">
        <v>880.98</v>
      </c>
      <c r="AZ496">
        <v>22.54</v>
      </c>
      <c r="BC496" t="s">
        <v>108</v>
      </c>
    </row>
    <row r="497" spans="3:55" x14ac:dyDescent="0.45">
      <c r="C497">
        <v>87.37</v>
      </c>
      <c r="D497">
        <v>3.3</v>
      </c>
      <c r="E497">
        <v>4.4000000000000004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4.8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880</v>
      </c>
      <c r="AD497">
        <v>3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f t="shared" si="23"/>
        <v>4.4480000000000004</v>
      </c>
      <c r="AU497">
        <f t="shared" si="21"/>
        <v>3.3</v>
      </c>
      <c r="AV497">
        <f t="shared" si="22"/>
        <v>791.41</v>
      </c>
      <c r="AX497">
        <v>791.11</v>
      </c>
      <c r="AY497">
        <v>878.6</v>
      </c>
      <c r="AZ497">
        <v>18.920000000000002</v>
      </c>
      <c r="BC497" t="s">
        <v>108</v>
      </c>
    </row>
    <row r="498" spans="3:55" x14ac:dyDescent="0.45">
      <c r="C498">
        <v>85</v>
      </c>
      <c r="D498">
        <v>3</v>
      </c>
      <c r="E498">
        <v>10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760</v>
      </c>
      <c r="AD498">
        <v>2</v>
      </c>
      <c r="AE498">
        <v>1</v>
      </c>
      <c r="AF498">
        <v>0</v>
      </c>
      <c r="AG498">
        <v>0</v>
      </c>
      <c r="AH498">
        <v>520</v>
      </c>
      <c r="AI498">
        <v>8.5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f t="shared" si="23"/>
        <v>9.5</v>
      </c>
      <c r="AU498">
        <f t="shared" si="21"/>
        <v>3</v>
      </c>
      <c r="AV498">
        <f t="shared" si="22"/>
        <v>739.5</v>
      </c>
      <c r="AY498">
        <v>1265</v>
      </c>
      <c r="AZ498">
        <v>12.18</v>
      </c>
      <c r="BC498" t="s">
        <v>125</v>
      </c>
    </row>
    <row r="499" spans="3:55" x14ac:dyDescent="0.45">
      <c r="C499">
        <v>85</v>
      </c>
      <c r="D499">
        <v>3</v>
      </c>
      <c r="E499">
        <v>10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760</v>
      </c>
      <c r="AD499">
        <v>2</v>
      </c>
      <c r="AE499">
        <v>1</v>
      </c>
      <c r="AF499">
        <v>0</v>
      </c>
      <c r="AG499">
        <v>0</v>
      </c>
      <c r="AH499">
        <v>530</v>
      </c>
      <c r="AI499">
        <v>8.5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f t="shared" si="23"/>
        <v>9.5</v>
      </c>
      <c r="AU499">
        <f t="shared" si="21"/>
        <v>3</v>
      </c>
      <c r="AV499">
        <f t="shared" si="22"/>
        <v>739.5</v>
      </c>
      <c r="AY499">
        <v>1186</v>
      </c>
      <c r="AZ499">
        <v>13.18</v>
      </c>
      <c r="BC499" t="s">
        <v>125</v>
      </c>
    </row>
    <row r="500" spans="3:55" x14ac:dyDescent="0.45">
      <c r="C500">
        <v>85</v>
      </c>
      <c r="D500">
        <v>3</v>
      </c>
      <c r="E500">
        <v>10</v>
      </c>
      <c r="F500">
        <v>0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760</v>
      </c>
      <c r="AD500">
        <v>2</v>
      </c>
      <c r="AE500">
        <v>1</v>
      </c>
      <c r="AF500">
        <v>0</v>
      </c>
      <c r="AG500">
        <v>0</v>
      </c>
      <c r="AH500">
        <v>540</v>
      </c>
      <c r="AI500">
        <v>8.5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f t="shared" si="23"/>
        <v>9.5</v>
      </c>
      <c r="AU500">
        <f t="shared" si="21"/>
        <v>3</v>
      </c>
      <c r="AV500">
        <f t="shared" si="22"/>
        <v>739.5</v>
      </c>
      <c r="AY500">
        <v>1172</v>
      </c>
      <c r="AZ500">
        <v>14.19</v>
      </c>
      <c r="BC500" t="s">
        <v>125</v>
      </c>
    </row>
    <row r="501" spans="3:55" x14ac:dyDescent="0.45">
      <c r="C501">
        <v>85</v>
      </c>
      <c r="D501">
        <v>3</v>
      </c>
      <c r="E501">
        <v>10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775</v>
      </c>
      <c r="AD501">
        <v>2</v>
      </c>
      <c r="AE501">
        <v>1</v>
      </c>
      <c r="AF501">
        <v>0</v>
      </c>
      <c r="AG501">
        <v>0</v>
      </c>
      <c r="AH501">
        <v>530</v>
      </c>
      <c r="AI501">
        <v>8.5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f t="shared" si="23"/>
        <v>9.5</v>
      </c>
      <c r="AU501">
        <f t="shared" si="21"/>
        <v>3</v>
      </c>
      <c r="AV501">
        <f t="shared" si="22"/>
        <v>739.5</v>
      </c>
      <c r="AY501">
        <v>1204</v>
      </c>
      <c r="AZ501">
        <v>13.18</v>
      </c>
      <c r="BC501" t="s">
        <v>125</v>
      </c>
    </row>
    <row r="502" spans="3:55" x14ac:dyDescent="0.45">
      <c r="C502">
        <v>86.36</v>
      </c>
      <c r="D502">
        <v>5.25</v>
      </c>
      <c r="E502">
        <v>7.5</v>
      </c>
      <c r="F502">
        <v>0</v>
      </c>
      <c r="G502">
        <v>0</v>
      </c>
      <c r="H502">
        <v>0.25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850</v>
      </c>
      <c r="AD502">
        <v>1</v>
      </c>
      <c r="AE502">
        <v>0</v>
      </c>
      <c r="AF502">
        <v>0</v>
      </c>
      <c r="AG502">
        <v>0</v>
      </c>
      <c r="AH502">
        <v>500</v>
      </c>
      <c r="AI502">
        <v>8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f t="shared" si="23"/>
        <v>0.5</v>
      </c>
      <c r="AU502">
        <f t="shared" si="21"/>
        <v>5.25</v>
      </c>
      <c r="AV502">
        <f t="shared" si="22"/>
        <v>800.67499999999995</v>
      </c>
      <c r="AX502">
        <v>1131</v>
      </c>
      <c r="AY502">
        <v>1189</v>
      </c>
      <c r="AZ502">
        <v>15.5</v>
      </c>
      <c r="BB502" t="s">
        <v>349</v>
      </c>
      <c r="BC502" t="s">
        <v>128</v>
      </c>
    </row>
    <row r="503" spans="3:55" x14ac:dyDescent="0.45">
      <c r="C503">
        <v>86.36</v>
      </c>
      <c r="D503">
        <v>5.25</v>
      </c>
      <c r="E503">
        <v>7.5</v>
      </c>
      <c r="F503">
        <v>0</v>
      </c>
      <c r="G503">
        <v>0</v>
      </c>
      <c r="H503">
        <v>0.25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940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f t="shared" si="23"/>
        <v>0.5</v>
      </c>
      <c r="AU503">
        <f t="shared" si="21"/>
        <v>5.25</v>
      </c>
      <c r="AV503">
        <f t="shared" si="22"/>
        <v>800.67499999999995</v>
      </c>
      <c r="AX503">
        <v>912</v>
      </c>
      <c r="AY503">
        <v>970</v>
      </c>
      <c r="AZ503">
        <v>13.2</v>
      </c>
      <c r="BB503" t="s">
        <v>349</v>
      </c>
      <c r="BC503" t="s">
        <v>128</v>
      </c>
    </row>
    <row r="504" spans="3:55" x14ac:dyDescent="0.45">
      <c r="C504">
        <v>89.658000000000001</v>
      </c>
      <c r="D504">
        <v>6.05</v>
      </c>
      <c r="E504">
        <v>4.04</v>
      </c>
      <c r="F504">
        <v>0</v>
      </c>
      <c r="G504">
        <v>0</v>
      </c>
      <c r="H504">
        <v>0.05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f t="shared" si="23"/>
        <v>-3.1981999999999995</v>
      </c>
      <c r="AU504">
        <f t="shared" si="21"/>
        <v>6.05</v>
      </c>
      <c r="AV504">
        <f t="shared" si="22"/>
        <v>846.26300000000003</v>
      </c>
      <c r="AX504">
        <v>851</v>
      </c>
      <c r="AY504">
        <v>932</v>
      </c>
      <c r="AZ504">
        <v>16.2</v>
      </c>
      <c r="BC504" t="s">
        <v>129</v>
      </c>
    </row>
    <row r="505" spans="3:55" x14ac:dyDescent="0.45">
      <c r="C505">
        <v>89.658000000000001</v>
      </c>
      <c r="D505">
        <v>6.05</v>
      </c>
      <c r="E505">
        <v>4.04</v>
      </c>
      <c r="F505">
        <v>0</v>
      </c>
      <c r="G505">
        <v>0</v>
      </c>
      <c r="H505">
        <v>0.05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930</v>
      </c>
      <c r="AD505">
        <v>1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f t="shared" si="23"/>
        <v>-3.1981999999999995</v>
      </c>
      <c r="AU505">
        <f t="shared" si="21"/>
        <v>6.05</v>
      </c>
      <c r="AV505">
        <f t="shared" si="22"/>
        <v>846.26300000000003</v>
      </c>
      <c r="AX505">
        <v>903</v>
      </c>
      <c r="AY505">
        <v>978</v>
      </c>
      <c r="AZ505">
        <v>15.5</v>
      </c>
      <c r="BC505" t="s">
        <v>129</v>
      </c>
    </row>
    <row r="506" spans="3:55" x14ac:dyDescent="0.45">
      <c r="C506">
        <v>86</v>
      </c>
      <c r="D506">
        <v>1</v>
      </c>
      <c r="E506">
        <v>8</v>
      </c>
      <c r="F506">
        <v>0</v>
      </c>
      <c r="G506">
        <v>0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700</v>
      </c>
      <c r="AD506">
        <v>6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f t="shared" si="23"/>
        <v>18.86</v>
      </c>
      <c r="AU506">
        <f t="shared" si="21"/>
        <v>1</v>
      </c>
      <c r="AV506">
        <f t="shared" si="22"/>
        <v>712.7</v>
      </c>
      <c r="AX506">
        <v>946</v>
      </c>
      <c r="AY506">
        <v>1000</v>
      </c>
      <c r="AZ506">
        <v>13.4</v>
      </c>
      <c r="BC506" t="s">
        <v>108</v>
      </c>
    </row>
    <row r="507" spans="3:55" x14ac:dyDescent="0.45">
      <c r="C507">
        <v>86</v>
      </c>
      <c r="D507">
        <v>1</v>
      </c>
      <c r="E507">
        <v>8</v>
      </c>
      <c r="F507">
        <v>0</v>
      </c>
      <c r="G507">
        <v>0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780</v>
      </c>
      <c r="AD507">
        <v>1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f t="shared" si="23"/>
        <v>18.86</v>
      </c>
      <c r="AU507">
        <f t="shared" si="21"/>
        <v>1</v>
      </c>
      <c r="AV507">
        <f t="shared" si="22"/>
        <v>712.7</v>
      </c>
      <c r="AX507">
        <v>1262</v>
      </c>
      <c r="AY507">
        <v>1287</v>
      </c>
      <c r="AZ507">
        <v>3.9</v>
      </c>
      <c r="BC507" t="s">
        <v>108</v>
      </c>
    </row>
    <row r="508" spans="3:55" x14ac:dyDescent="0.45">
      <c r="C508">
        <v>90.57</v>
      </c>
      <c r="D508">
        <v>5.58</v>
      </c>
      <c r="E508">
        <v>3.55</v>
      </c>
      <c r="F508">
        <v>0</v>
      </c>
      <c r="G508">
        <v>0</v>
      </c>
      <c r="H508">
        <v>0.3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f t="shared" si="23"/>
        <v>-2.3315000000000001</v>
      </c>
      <c r="AU508">
        <f t="shared" si="21"/>
        <v>5.58</v>
      </c>
      <c r="AV508">
        <f t="shared" si="22"/>
        <v>847.20799999999997</v>
      </c>
      <c r="AX508">
        <v>952.7</v>
      </c>
      <c r="AY508">
        <v>1009</v>
      </c>
      <c r="AZ508">
        <v>9.3000000000000007</v>
      </c>
      <c r="BC508" t="s">
        <v>130</v>
      </c>
    </row>
    <row r="509" spans="3:55" x14ac:dyDescent="0.45">
      <c r="C509">
        <v>90.57</v>
      </c>
      <c r="D509">
        <v>5.58</v>
      </c>
      <c r="E509">
        <v>3.55</v>
      </c>
      <c r="F509">
        <v>0</v>
      </c>
      <c r="G509">
        <v>0</v>
      </c>
      <c r="H509">
        <v>0.3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850</v>
      </c>
      <c r="AD509">
        <v>2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f t="shared" si="23"/>
        <v>-2.3315000000000001</v>
      </c>
      <c r="AU509">
        <f t="shared" si="21"/>
        <v>5.58</v>
      </c>
      <c r="AV509">
        <f t="shared" si="22"/>
        <v>847.20799999999997</v>
      </c>
      <c r="AX509">
        <v>966</v>
      </c>
      <c r="AY509">
        <v>988.3</v>
      </c>
      <c r="AZ509">
        <v>14.8</v>
      </c>
      <c r="BC509" t="s">
        <v>130</v>
      </c>
    </row>
    <row r="510" spans="3:55" x14ac:dyDescent="0.45">
      <c r="C510">
        <v>90.57</v>
      </c>
      <c r="D510">
        <v>5.58</v>
      </c>
      <c r="E510">
        <v>3.55</v>
      </c>
      <c r="F510">
        <v>0</v>
      </c>
      <c r="G510">
        <v>0</v>
      </c>
      <c r="H510">
        <v>0.3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980</v>
      </c>
      <c r="AD510">
        <v>0.16666666666666699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f t="shared" si="23"/>
        <v>-2.3315000000000001</v>
      </c>
      <c r="AU510">
        <f t="shared" si="21"/>
        <v>5.58</v>
      </c>
      <c r="AV510">
        <f t="shared" si="22"/>
        <v>847.20799999999997</v>
      </c>
      <c r="AX510">
        <v>490.7</v>
      </c>
      <c r="AY510">
        <v>586</v>
      </c>
      <c r="AZ510">
        <v>1.6</v>
      </c>
      <c r="BC510" t="s">
        <v>130</v>
      </c>
    </row>
    <row r="511" spans="3:55" x14ac:dyDescent="0.45">
      <c r="C511">
        <v>89</v>
      </c>
      <c r="D511">
        <v>0</v>
      </c>
      <c r="E511">
        <v>0</v>
      </c>
      <c r="F511">
        <v>3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20</v>
      </c>
      <c r="X511">
        <v>60</v>
      </c>
      <c r="Y511">
        <v>0</v>
      </c>
      <c r="Z511">
        <v>1</v>
      </c>
      <c r="AA511">
        <v>0</v>
      </c>
      <c r="AB511">
        <v>0</v>
      </c>
      <c r="AC511">
        <v>850</v>
      </c>
      <c r="AD511">
        <v>0.33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f t="shared" si="23"/>
        <v>14.700000000000001</v>
      </c>
      <c r="AU511">
        <f t="shared" si="21"/>
        <v>0</v>
      </c>
      <c r="AV511">
        <f t="shared" si="22"/>
        <v>763.80000000000007</v>
      </c>
      <c r="AY511">
        <v>1246</v>
      </c>
      <c r="AZ511">
        <v>14.54</v>
      </c>
      <c r="BC511" t="s">
        <v>93</v>
      </c>
    </row>
    <row r="512" spans="3:55" x14ac:dyDescent="0.45">
      <c r="C512">
        <v>89</v>
      </c>
      <c r="D512">
        <v>0</v>
      </c>
      <c r="E512">
        <v>0</v>
      </c>
      <c r="F512">
        <v>3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20</v>
      </c>
      <c r="X512">
        <v>60</v>
      </c>
      <c r="Y512">
        <v>0</v>
      </c>
      <c r="Z512">
        <v>1</v>
      </c>
      <c r="AA512">
        <v>0</v>
      </c>
      <c r="AB512">
        <v>0</v>
      </c>
      <c r="AC512">
        <v>850</v>
      </c>
      <c r="AD512">
        <v>0.33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f t="shared" si="23"/>
        <v>14.700000000000001</v>
      </c>
      <c r="AU512">
        <f t="shared" si="21"/>
        <v>0</v>
      </c>
      <c r="AV512">
        <f t="shared" si="22"/>
        <v>763.80000000000007</v>
      </c>
      <c r="AY512">
        <v>929.6</v>
      </c>
      <c r="AZ512">
        <v>24.79</v>
      </c>
      <c r="BC512" t="s">
        <v>93</v>
      </c>
    </row>
    <row r="513" spans="3:55" x14ac:dyDescent="0.45">
      <c r="C513">
        <v>58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6.8</v>
      </c>
      <c r="K513">
        <v>32.5</v>
      </c>
      <c r="L513">
        <v>0</v>
      </c>
      <c r="M513">
        <v>2.7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1000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f t="shared" si="23"/>
        <v>9.1000000000000014</v>
      </c>
      <c r="AU513">
        <f t="shared" si="21"/>
        <v>2.0333333333333332</v>
      </c>
      <c r="AV513">
        <f t="shared" si="22"/>
        <v>846.42000000000007</v>
      </c>
      <c r="AY513">
        <v>562</v>
      </c>
      <c r="AZ513">
        <v>20.100000000000001</v>
      </c>
      <c r="BC513" t="s">
        <v>131</v>
      </c>
    </row>
    <row r="514" spans="3:55" x14ac:dyDescent="0.45">
      <c r="C514">
        <v>58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6.8</v>
      </c>
      <c r="K514">
        <v>32.5</v>
      </c>
      <c r="L514">
        <v>0</v>
      </c>
      <c r="M514">
        <v>2.7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20</v>
      </c>
      <c r="X514">
        <v>50</v>
      </c>
      <c r="Y514">
        <v>0</v>
      </c>
      <c r="Z514">
        <v>1</v>
      </c>
      <c r="AA514">
        <v>0</v>
      </c>
      <c r="AB514">
        <v>0</v>
      </c>
      <c r="AC514">
        <v>1000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f t="shared" si="23"/>
        <v>9.1000000000000014</v>
      </c>
      <c r="AU514">
        <f t="shared" ref="AU514:AU577" si="24">D514+J514/6+M514/3+(T514+S514)/10</f>
        <v>2.0333333333333332</v>
      </c>
      <c r="AV514">
        <f t="shared" ref="AV514:AV577" si="25">882+2.1*D514-9.5*L514+4.2*M514-6.9*J514-11.8*E514-12.1*F514-15.4*H514+23.3*Q514+123*T514</f>
        <v>846.42000000000007</v>
      </c>
      <c r="AY514">
        <v>719</v>
      </c>
      <c r="AZ514">
        <v>16.8</v>
      </c>
      <c r="BC514" t="s">
        <v>131</v>
      </c>
    </row>
    <row r="515" spans="3:55" x14ac:dyDescent="0.45">
      <c r="C515">
        <v>58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6.8</v>
      </c>
      <c r="K515">
        <v>32.5</v>
      </c>
      <c r="L515">
        <v>0</v>
      </c>
      <c r="M515">
        <v>2.7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20</v>
      </c>
      <c r="X515">
        <v>90</v>
      </c>
      <c r="Y515">
        <v>0</v>
      </c>
      <c r="Z515">
        <v>1</v>
      </c>
      <c r="AA515">
        <v>0</v>
      </c>
      <c r="AB515">
        <v>0</v>
      </c>
      <c r="AC515">
        <v>1000</v>
      </c>
      <c r="AD515">
        <v>1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f t="shared" ref="AT515:AT578" si="26">L515+0.67*E515+0.44*P515+0.28*K515+0.22*O515+2.9*H515+1.6*F515+1.7*G515-D515</f>
        <v>9.1000000000000014</v>
      </c>
      <c r="AU515">
        <f t="shared" si="24"/>
        <v>2.0333333333333332</v>
      </c>
      <c r="AV515">
        <f t="shared" si="25"/>
        <v>846.42000000000007</v>
      </c>
      <c r="AY515">
        <v>883</v>
      </c>
      <c r="AZ515">
        <v>14.9</v>
      </c>
      <c r="BC515" t="s">
        <v>131</v>
      </c>
    </row>
    <row r="516" spans="3:55" x14ac:dyDescent="0.45">
      <c r="C516">
        <v>72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</v>
      </c>
      <c r="K516">
        <v>16</v>
      </c>
      <c r="L516">
        <v>0</v>
      </c>
      <c r="M516">
        <v>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850</v>
      </c>
      <c r="X516">
        <v>90</v>
      </c>
      <c r="Y516">
        <v>0</v>
      </c>
      <c r="Z516">
        <v>1</v>
      </c>
      <c r="AA516">
        <v>0</v>
      </c>
      <c r="AB516">
        <v>0</v>
      </c>
      <c r="AC516">
        <v>850</v>
      </c>
      <c r="AD516">
        <v>1.5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f t="shared" si="26"/>
        <v>4.4800000000000004</v>
      </c>
      <c r="AU516">
        <f t="shared" si="24"/>
        <v>3.333333333333333</v>
      </c>
      <c r="AV516">
        <f t="shared" si="25"/>
        <v>888</v>
      </c>
      <c r="AW516">
        <v>68</v>
      </c>
      <c r="AX516">
        <v>500</v>
      </c>
      <c r="AY516">
        <v>752</v>
      </c>
      <c r="AZ516">
        <v>19.600000000000001</v>
      </c>
      <c r="BC516" t="s">
        <v>133</v>
      </c>
    </row>
    <row r="517" spans="3:55" x14ac:dyDescent="0.45">
      <c r="C517">
        <v>68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4</v>
      </c>
      <c r="K517">
        <v>20</v>
      </c>
      <c r="L517">
        <v>0</v>
      </c>
      <c r="M517">
        <v>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850</v>
      </c>
      <c r="X517">
        <v>90</v>
      </c>
      <c r="Y517">
        <v>0</v>
      </c>
      <c r="Z517">
        <v>1</v>
      </c>
      <c r="AA517">
        <v>0</v>
      </c>
      <c r="AB517">
        <v>0</v>
      </c>
      <c r="AC517">
        <v>850</v>
      </c>
      <c r="AD517">
        <v>1.5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f t="shared" si="26"/>
        <v>5.6000000000000005</v>
      </c>
      <c r="AU517">
        <f t="shared" si="24"/>
        <v>3.333333333333333</v>
      </c>
      <c r="AV517">
        <f t="shared" si="25"/>
        <v>888</v>
      </c>
      <c r="AW517">
        <v>63</v>
      </c>
      <c r="AX517">
        <v>410</v>
      </c>
      <c r="AY517">
        <v>735</v>
      </c>
      <c r="AZ517">
        <v>13.6</v>
      </c>
      <c r="BC517" t="s">
        <v>134</v>
      </c>
    </row>
    <row r="518" spans="3:55" x14ac:dyDescent="0.45">
      <c r="C518">
        <v>64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4</v>
      </c>
      <c r="K518">
        <v>24</v>
      </c>
      <c r="L518">
        <v>0</v>
      </c>
      <c r="M518">
        <v>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850</v>
      </c>
      <c r="X518">
        <v>90</v>
      </c>
      <c r="Y518">
        <v>0</v>
      </c>
      <c r="Z518">
        <v>1</v>
      </c>
      <c r="AA518">
        <v>0</v>
      </c>
      <c r="AB518">
        <v>0</v>
      </c>
      <c r="AC518">
        <v>850</v>
      </c>
      <c r="AD518">
        <v>1.5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f t="shared" si="26"/>
        <v>6.7200000000000006</v>
      </c>
      <c r="AU518">
        <f t="shared" si="24"/>
        <v>3.333333333333333</v>
      </c>
      <c r="AV518">
        <f t="shared" si="25"/>
        <v>888</v>
      </c>
      <c r="AW518">
        <v>45</v>
      </c>
      <c r="AX518">
        <v>200</v>
      </c>
      <c r="AY518">
        <v>674</v>
      </c>
      <c r="AZ518">
        <v>12.9</v>
      </c>
      <c r="BC518" t="s">
        <v>135</v>
      </c>
    </row>
    <row r="519" spans="3:55" x14ac:dyDescent="0.45">
      <c r="C519">
        <v>60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4</v>
      </c>
      <c r="K519">
        <v>28</v>
      </c>
      <c r="L519">
        <v>0</v>
      </c>
      <c r="M519">
        <v>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850</v>
      </c>
      <c r="X519">
        <v>90</v>
      </c>
      <c r="Y519">
        <v>0</v>
      </c>
      <c r="Z519">
        <v>1</v>
      </c>
      <c r="AA519">
        <v>0</v>
      </c>
      <c r="AB519">
        <v>0</v>
      </c>
      <c r="AC519">
        <v>850</v>
      </c>
      <c r="AD519">
        <v>1.5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f t="shared" si="26"/>
        <v>7.8400000000000007</v>
      </c>
      <c r="AU519">
        <f t="shared" si="24"/>
        <v>3.333333333333333</v>
      </c>
      <c r="AV519">
        <f t="shared" si="25"/>
        <v>888</v>
      </c>
      <c r="AW519">
        <v>60</v>
      </c>
      <c r="AX519">
        <v>570</v>
      </c>
      <c r="AY519">
        <v>570</v>
      </c>
      <c r="AZ519">
        <v>22.3</v>
      </c>
      <c r="BC519" t="s">
        <v>136</v>
      </c>
    </row>
    <row r="520" spans="3:55" x14ac:dyDescent="0.45">
      <c r="C520">
        <v>52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4</v>
      </c>
      <c r="K520">
        <v>36</v>
      </c>
      <c r="L520">
        <v>0</v>
      </c>
      <c r="M520">
        <v>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850</v>
      </c>
      <c r="X520">
        <v>90</v>
      </c>
      <c r="Y520">
        <v>0</v>
      </c>
      <c r="Z520">
        <v>1</v>
      </c>
      <c r="AA520">
        <v>0</v>
      </c>
      <c r="AB520">
        <v>0</v>
      </c>
      <c r="AC520">
        <v>850</v>
      </c>
      <c r="AD520">
        <v>1.5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f t="shared" si="26"/>
        <v>10.080000000000002</v>
      </c>
      <c r="AU520">
        <f t="shared" si="24"/>
        <v>3.333333333333333</v>
      </c>
      <c r="AV520">
        <f t="shared" si="25"/>
        <v>888</v>
      </c>
      <c r="AW520">
        <v>69</v>
      </c>
      <c r="AX520">
        <v>557</v>
      </c>
      <c r="AY520">
        <v>557</v>
      </c>
      <c r="AZ520">
        <v>21.3</v>
      </c>
      <c r="BC520" t="s">
        <v>137</v>
      </c>
    </row>
    <row r="521" spans="3:55" x14ac:dyDescent="0.45">
      <c r="C521">
        <v>55.5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6.8</v>
      </c>
      <c r="K521">
        <v>35</v>
      </c>
      <c r="L521">
        <v>0</v>
      </c>
      <c r="M521">
        <v>2.7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20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1000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f t="shared" si="26"/>
        <v>9.8000000000000007</v>
      </c>
      <c r="AU521">
        <f t="shared" si="24"/>
        <v>2.0333333333333332</v>
      </c>
      <c r="AV521">
        <f t="shared" si="25"/>
        <v>846.42000000000007</v>
      </c>
      <c r="AY521">
        <v>54.2</v>
      </c>
      <c r="AZ521">
        <v>1.04</v>
      </c>
      <c r="BA521">
        <v>20.100000000000001</v>
      </c>
      <c r="BC521" t="s">
        <v>131</v>
      </c>
    </row>
    <row r="522" spans="3:55" x14ac:dyDescent="0.45">
      <c r="C522">
        <v>55.5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6.8</v>
      </c>
      <c r="K522">
        <v>35</v>
      </c>
      <c r="L522">
        <v>0</v>
      </c>
      <c r="M522">
        <v>2.7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20</v>
      </c>
      <c r="X522">
        <v>50</v>
      </c>
      <c r="Y522">
        <v>0</v>
      </c>
      <c r="Z522">
        <v>1</v>
      </c>
      <c r="AA522">
        <v>0</v>
      </c>
      <c r="AB522">
        <v>0</v>
      </c>
      <c r="AC522">
        <v>1000</v>
      </c>
      <c r="AD522">
        <v>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f t="shared" si="26"/>
        <v>9.8000000000000007</v>
      </c>
      <c r="AU522">
        <f t="shared" si="24"/>
        <v>2.0333333333333332</v>
      </c>
      <c r="AV522">
        <f t="shared" si="25"/>
        <v>846.42000000000007</v>
      </c>
      <c r="AY522">
        <v>719</v>
      </c>
      <c r="AZ522">
        <v>16.8</v>
      </c>
      <c r="BA522">
        <v>51.3</v>
      </c>
      <c r="BC522" t="s">
        <v>138</v>
      </c>
    </row>
    <row r="523" spans="3:55" x14ac:dyDescent="0.45">
      <c r="C523">
        <v>55.5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6.8</v>
      </c>
      <c r="K523">
        <v>35</v>
      </c>
      <c r="L523">
        <v>0</v>
      </c>
      <c r="M523">
        <v>2.7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20</v>
      </c>
      <c r="X523">
        <v>90</v>
      </c>
      <c r="Y523">
        <v>0</v>
      </c>
      <c r="Z523">
        <v>1</v>
      </c>
      <c r="AA523">
        <v>0</v>
      </c>
      <c r="AB523">
        <v>0</v>
      </c>
      <c r="AC523">
        <v>1000</v>
      </c>
      <c r="AD523">
        <v>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f t="shared" si="26"/>
        <v>9.8000000000000007</v>
      </c>
      <c r="AU523">
        <f t="shared" si="24"/>
        <v>2.0333333333333332</v>
      </c>
      <c r="AV523">
        <f t="shared" si="25"/>
        <v>846.42000000000007</v>
      </c>
      <c r="AY523">
        <v>883</v>
      </c>
      <c r="AZ523">
        <v>14.9</v>
      </c>
      <c r="BA523">
        <v>47.1</v>
      </c>
      <c r="BC523" t="s">
        <v>139</v>
      </c>
    </row>
    <row r="524" spans="3:55" x14ac:dyDescent="0.45">
      <c r="C524">
        <v>63.96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3.76</v>
      </c>
      <c r="K524">
        <v>24.2</v>
      </c>
      <c r="L524">
        <v>0</v>
      </c>
      <c r="M524">
        <v>8.08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450</v>
      </c>
      <c r="AI524">
        <v>0.5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f t="shared" si="26"/>
        <v>6.7760000000000007</v>
      </c>
      <c r="AU524">
        <f t="shared" si="24"/>
        <v>3.32</v>
      </c>
      <c r="AV524">
        <f t="shared" si="25"/>
        <v>889.99200000000008</v>
      </c>
      <c r="AX524">
        <v>1033</v>
      </c>
      <c r="AY524">
        <v>1091</v>
      </c>
      <c r="AZ524">
        <v>12.4</v>
      </c>
      <c r="BC524" t="s">
        <v>108</v>
      </c>
    </row>
    <row r="525" spans="3:55" x14ac:dyDescent="0.45">
      <c r="C525">
        <v>63.96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3.76</v>
      </c>
      <c r="K525">
        <v>24.2</v>
      </c>
      <c r="L525">
        <v>0</v>
      </c>
      <c r="M525">
        <v>8.08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450</v>
      </c>
      <c r="AI525">
        <v>1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f t="shared" si="26"/>
        <v>6.7760000000000007</v>
      </c>
      <c r="AU525">
        <f t="shared" si="24"/>
        <v>3.32</v>
      </c>
      <c r="AV525">
        <f t="shared" si="25"/>
        <v>889.99200000000008</v>
      </c>
      <c r="AX525">
        <v>1120</v>
      </c>
      <c r="AY525">
        <v>1175</v>
      </c>
      <c r="AZ525">
        <v>12.2</v>
      </c>
      <c r="BC525" t="s">
        <v>108</v>
      </c>
    </row>
    <row r="526" spans="3:55" x14ac:dyDescent="0.45">
      <c r="C526">
        <v>63.96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3.76</v>
      </c>
      <c r="K526">
        <v>24.2</v>
      </c>
      <c r="L526">
        <v>0</v>
      </c>
      <c r="M526">
        <v>8.08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450</v>
      </c>
      <c r="AI526">
        <v>2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f t="shared" si="26"/>
        <v>6.7760000000000007</v>
      </c>
      <c r="AU526">
        <f t="shared" si="24"/>
        <v>3.32</v>
      </c>
      <c r="AV526">
        <f t="shared" si="25"/>
        <v>889.99200000000008</v>
      </c>
      <c r="AX526">
        <v>1180</v>
      </c>
      <c r="AY526">
        <v>1213</v>
      </c>
      <c r="AZ526">
        <v>12.4</v>
      </c>
      <c r="BC526" t="s">
        <v>108</v>
      </c>
    </row>
    <row r="527" spans="3:55" x14ac:dyDescent="0.45">
      <c r="C527">
        <v>63.96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3.76</v>
      </c>
      <c r="K527">
        <v>24.2</v>
      </c>
      <c r="L527">
        <v>0</v>
      </c>
      <c r="M527">
        <v>8.08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450</v>
      </c>
      <c r="AI527">
        <v>4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f t="shared" si="26"/>
        <v>6.7760000000000007</v>
      </c>
      <c r="AU527">
        <f t="shared" si="24"/>
        <v>3.32</v>
      </c>
      <c r="AV527">
        <f t="shared" si="25"/>
        <v>889.99200000000008</v>
      </c>
      <c r="AX527">
        <v>1192</v>
      </c>
      <c r="AY527">
        <v>1243</v>
      </c>
      <c r="AZ527">
        <v>12.8</v>
      </c>
      <c r="BC527" t="s">
        <v>108</v>
      </c>
    </row>
    <row r="528" spans="3:55" x14ac:dyDescent="0.45">
      <c r="C528">
        <v>63.96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3.76</v>
      </c>
      <c r="K528">
        <v>24.2</v>
      </c>
      <c r="L528">
        <v>0</v>
      </c>
      <c r="M528">
        <v>8.08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475</v>
      </c>
      <c r="AI528">
        <v>0.5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f t="shared" si="26"/>
        <v>6.7760000000000007</v>
      </c>
      <c r="AU528">
        <f t="shared" si="24"/>
        <v>3.32</v>
      </c>
      <c r="AV528">
        <f t="shared" si="25"/>
        <v>889.99200000000008</v>
      </c>
      <c r="AX528">
        <v>1028</v>
      </c>
      <c r="AY528">
        <v>1123</v>
      </c>
      <c r="AZ528">
        <v>16.100000000000001</v>
      </c>
      <c r="BC528" t="s">
        <v>108</v>
      </c>
    </row>
    <row r="529" spans="3:55" x14ac:dyDescent="0.45">
      <c r="C529">
        <v>63.96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3.76</v>
      </c>
      <c r="K529">
        <v>24.2</v>
      </c>
      <c r="L529">
        <v>0</v>
      </c>
      <c r="M529">
        <v>8.08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475</v>
      </c>
      <c r="AI529">
        <v>1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f t="shared" si="26"/>
        <v>6.7760000000000007</v>
      </c>
      <c r="AU529">
        <f t="shared" si="24"/>
        <v>3.32</v>
      </c>
      <c r="AV529">
        <f t="shared" si="25"/>
        <v>889.99200000000008</v>
      </c>
      <c r="AX529">
        <v>1108</v>
      </c>
      <c r="AY529">
        <v>1144</v>
      </c>
      <c r="AZ529">
        <v>12.3</v>
      </c>
      <c r="BC529" t="s">
        <v>108</v>
      </c>
    </row>
    <row r="530" spans="3:55" x14ac:dyDescent="0.45">
      <c r="C530">
        <v>63.96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3.76</v>
      </c>
      <c r="K530">
        <v>24.2</v>
      </c>
      <c r="L530">
        <v>0</v>
      </c>
      <c r="M530">
        <v>8.08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475</v>
      </c>
      <c r="AI530">
        <v>2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f t="shared" si="26"/>
        <v>6.7760000000000007</v>
      </c>
      <c r="AU530">
        <f t="shared" si="24"/>
        <v>3.32</v>
      </c>
      <c r="AV530">
        <f t="shared" si="25"/>
        <v>889.99200000000008</v>
      </c>
      <c r="AX530">
        <v>1174</v>
      </c>
      <c r="AY530">
        <v>1212</v>
      </c>
      <c r="AZ530">
        <v>10.5</v>
      </c>
      <c r="BC530" t="s">
        <v>108</v>
      </c>
    </row>
    <row r="531" spans="3:55" x14ac:dyDescent="0.45">
      <c r="C531">
        <v>63.96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3.76</v>
      </c>
      <c r="K531">
        <v>24.2</v>
      </c>
      <c r="L531">
        <v>0</v>
      </c>
      <c r="M531">
        <v>8.08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475</v>
      </c>
      <c r="AI531">
        <v>4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f t="shared" si="26"/>
        <v>6.7760000000000007</v>
      </c>
      <c r="AU531">
        <f t="shared" si="24"/>
        <v>3.32</v>
      </c>
      <c r="AV531">
        <f t="shared" si="25"/>
        <v>889.99200000000008</v>
      </c>
      <c r="AX531">
        <v>1109</v>
      </c>
      <c r="AY531">
        <v>1169</v>
      </c>
      <c r="AZ531">
        <v>14.1</v>
      </c>
      <c r="BC531" t="s">
        <v>108</v>
      </c>
    </row>
    <row r="532" spans="3:55" x14ac:dyDescent="0.45">
      <c r="C532">
        <v>63.96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3.76</v>
      </c>
      <c r="K532">
        <v>24.2</v>
      </c>
      <c r="L532">
        <v>0</v>
      </c>
      <c r="M532">
        <v>8.08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500</v>
      </c>
      <c r="AI532">
        <v>0.5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f t="shared" si="26"/>
        <v>6.7760000000000007</v>
      </c>
      <c r="AU532">
        <f t="shared" si="24"/>
        <v>3.32</v>
      </c>
      <c r="AV532">
        <f t="shared" si="25"/>
        <v>889.99200000000008</v>
      </c>
      <c r="AX532">
        <v>1048</v>
      </c>
      <c r="AY532">
        <v>1105</v>
      </c>
      <c r="AZ532">
        <v>13.4</v>
      </c>
      <c r="BC532" t="s">
        <v>108</v>
      </c>
    </row>
    <row r="533" spans="3:55" x14ac:dyDescent="0.45">
      <c r="C533">
        <v>63.96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3.76</v>
      </c>
      <c r="K533">
        <v>24.2</v>
      </c>
      <c r="L533">
        <v>0</v>
      </c>
      <c r="M533">
        <v>8.08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500</v>
      </c>
      <c r="AI533">
        <v>1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f t="shared" si="26"/>
        <v>6.7760000000000007</v>
      </c>
      <c r="AU533">
        <f t="shared" si="24"/>
        <v>3.32</v>
      </c>
      <c r="AV533">
        <f t="shared" si="25"/>
        <v>889.99200000000008</v>
      </c>
      <c r="AX533">
        <v>1039</v>
      </c>
      <c r="AY533">
        <v>1085</v>
      </c>
      <c r="AZ533">
        <v>15.1</v>
      </c>
      <c r="BB533" t="s">
        <v>250</v>
      </c>
      <c r="BC533" t="s">
        <v>108</v>
      </c>
    </row>
    <row r="534" spans="3:55" x14ac:dyDescent="0.45">
      <c r="C534">
        <v>63.96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3.76</v>
      </c>
      <c r="K534">
        <v>24.2</v>
      </c>
      <c r="L534">
        <v>0</v>
      </c>
      <c r="M534">
        <v>8.08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500</v>
      </c>
      <c r="AI534">
        <v>2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f t="shared" si="26"/>
        <v>6.7760000000000007</v>
      </c>
      <c r="AU534">
        <f t="shared" si="24"/>
        <v>3.32</v>
      </c>
      <c r="AV534">
        <f t="shared" si="25"/>
        <v>889.99200000000008</v>
      </c>
      <c r="AX534">
        <v>1069</v>
      </c>
      <c r="AY534">
        <v>1104</v>
      </c>
      <c r="AZ534">
        <v>14.7</v>
      </c>
      <c r="BB534" t="s">
        <v>250</v>
      </c>
      <c r="BC534" t="s">
        <v>108</v>
      </c>
    </row>
    <row r="535" spans="3:55" x14ac:dyDescent="0.45">
      <c r="C535">
        <v>63.96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3.76</v>
      </c>
      <c r="K535">
        <v>24.2</v>
      </c>
      <c r="L535">
        <v>0</v>
      </c>
      <c r="M535">
        <v>8.08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500</v>
      </c>
      <c r="AI535">
        <v>4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f t="shared" si="26"/>
        <v>6.7760000000000007</v>
      </c>
      <c r="AU535">
        <f t="shared" si="24"/>
        <v>3.32</v>
      </c>
      <c r="AV535">
        <f t="shared" si="25"/>
        <v>889.99200000000008</v>
      </c>
      <c r="AX535">
        <v>1111</v>
      </c>
      <c r="AY535">
        <v>1148</v>
      </c>
      <c r="AZ535">
        <v>15.5</v>
      </c>
      <c r="BB535" t="s">
        <v>282</v>
      </c>
      <c r="BC535" t="s">
        <v>108</v>
      </c>
    </row>
    <row r="536" spans="3:55" x14ac:dyDescent="0.45">
      <c r="C536">
        <v>63.96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3.76</v>
      </c>
      <c r="K536">
        <v>24.2</v>
      </c>
      <c r="L536">
        <v>0</v>
      </c>
      <c r="M536">
        <v>8.08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525</v>
      </c>
      <c r="AI536">
        <v>0.5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f t="shared" si="26"/>
        <v>6.7760000000000007</v>
      </c>
      <c r="AU536">
        <f t="shared" si="24"/>
        <v>3.32</v>
      </c>
      <c r="AV536">
        <f t="shared" si="25"/>
        <v>889.99200000000008</v>
      </c>
      <c r="AX536">
        <v>996</v>
      </c>
      <c r="AY536">
        <v>1043</v>
      </c>
      <c r="AZ536">
        <v>15.4</v>
      </c>
      <c r="BB536" t="s">
        <v>282</v>
      </c>
      <c r="BC536" t="s">
        <v>108</v>
      </c>
    </row>
    <row r="537" spans="3:55" x14ac:dyDescent="0.45">
      <c r="C537">
        <v>63.96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3.76</v>
      </c>
      <c r="K537">
        <v>24.2</v>
      </c>
      <c r="L537">
        <v>0</v>
      </c>
      <c r="M537">
        <v>8.08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525</v>
      </c>
      <c r="AI537">
        <v>1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f t="shared" si="26"/>
        <v>6.7760000000000007</v>
      </c>
      <c r="AU537">
        <f t="shared" si="24"/>
        <v>3.32</v>
      </c>
      <c r="AV537">
        <f t="shared" si="25"/>
        <v>889.99200000000008</v>
      </c>
      <c r="AX537">
        <v>969</v>
      </c>
      <c r="AY537">
        <v>1017</v>
      </c>
      <c r="AZ537">
        <v>15.6</v>
      </c>
      <c r="BB537" t="s">
        <v>282</v>
      </c>
      <c r="BC537" t="s">
        <v>108</v>
      </c>
    </row>
    <row r="538" spans="3:55" x14ac:dyDescent="0.45">
      <c r="C538">
        <v>63.96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3.76</v>
      </c>
      <c r="K538">
        <v>24.2</v>
      </c>
      <c r="L538">
        <v>0</v>
      </c>
      <c r="M538">
        <v>8.08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525</v>
      </c>
      <c r="AI538">
        <v>2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f t="shared" si="26"/>
        <v>6.7760000000000007</v>
      </c>
      <c r="AU538">
        <f t="shared" si="24"/>
        <v>3.32</v>
      </c>
      <c r="AV538">
        <f t="shared" si="25"/>
        <v>889.99200000000008</v>
      </c>
      <c r="AX538">
        <v>976</v>
      </c>
      <c r="AY538">
        <v>1024</v>
      </c>
      <c r="AZ538">
        <v>16.399999999999999</v>
      </c>
      <c r="BB538" t="s">
        <v>350</v>
      </c>
      <c r="BC538" t="s">
        <v>108</v>
      </c>
    </row>
    <row r="539" spans="3:55" x14ac:dyDescent="0.45">
      <c r="C539">
        <v>63.96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3.76</v>
      </c>
      <c r="K539">
        <v>24.2</v>
      </c>
      <c r="L539">
        <v>0</v>
      </c>
      <c r="M539">
        <v>8.08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525</v>
      </c>
      <c r="AI539">
        <v>4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f t="shared" si="26"/>
        <v>6.7760000000000007</v>
      </c>
      <c r="AU539">
        <f t="shared" si="24"/>
        <v>3.32</v>
      </c>
      <c r="AV539">
        <f t="shared" si="25"/>
        <v>889.99200000000008</v>
      </c>
      <c r="AX539">
        <v>1026</v>
      </c>
      <c r="AY539">
        <v>1059</v>
      </c>
      <c r="AZ539">
        <v>15.9</v>
      </c>
      <c r="BB539" t="s">
        <v>350</v>
      </c>
      <c r="BC539" t="s">
        <v>108</v>
      </c>
    </row>
    <row r="540" spans="3:55" x14ac:dyDescent="0.45">
      <c r="C540">
        <v>73.05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4.49</v>
      </c>
      <c r="K540">
        <v>21.09</v>
      </c>
      <c r="L540">
        <v>0</v>
      </c>
      <c r="M540">
        <v>1.37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f t="shared" si="26"/>
        <v>5.9052000000000007</v>
      </c>
      <c r="AU540">
        <f t="shared" si="24"/>
        <v>1.2050000000000001</v>
      </c>
      <c r="AV540">
        <f t="shared" si="25"/>
        <v>856.77300000000002</v>
      </c>
      <c r="AW540">
        <v>66.900000000000006</v>
      </c>
      <c r="AX540">
        <v>806</v>
      </c>
      <c r="BB540" t="s">
        <v>277</v>
      </c>
      <c r="BC540" t="s">
        <v>60</v>
      </c>
    </row>
    <row r="541" spans="3:55" x14ac:dyDescent="0.45">
      <c r="C541">
        <v>73.05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4.49</v>
      </c>
      <c r="K541">
        <v>21.09</v>
      </c>
      <c r="L541">
        <v>0</v>
      </c>
      <c r="M541">
        <v>1.37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f t="shared" si="26"/>
        <v>5.9052000000000007</v>
      </c>
      <c r="AU541">
        <f t="shared" si="24"/>
        <v>1.2050000000000001</v>
      </c>
      <c r="AV541">
        <f t="shared" si="25"/>
        <v>856.77300000000002</v>
      </c>
      <c r="AW541">
        <v>54.2</v>
      </c>
      <c r="AX541">
        <v>380</v>
      </c>
      <c r="BB541" t="s">
        <v>278</v>
      </c>
      <c r="BC541" t="s">
        <v>60</v>
      </c>
    </row>
    <row r="542" spans="3:55" x14ac:dyDescent="0.45">
      <c r="C542">
        <v>78.430000000000007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2.52</v>
      </c>
      <c r="K542">
        <v>15.190000000000001</v>
      </c>
      <c r="L542">
        <v>0</v>
      </c>
      <c r="M542">
        <v>3.8699999999999997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f t="shared" si="26"/>
        <v>4.2532000000000005</v>
      </c>
      <c r="AU542">
        <f t="shared" si="24"/>
        <v>1.7099999999999997</v>
      </c>
      <c r="AV542">
        <f t="shared" si="25"/>
        <v>880.86599999999999</v>
      </c>
      <c r="AW542">
        <v>50</v>
      </c>
      <c r="AX542">
        <v>350</v>
      </c>
      <c r="BB542" t="s">
        <v>279</v>
      </c>
      <c r="BC542" t="s">
        <v>60</v>
      </c>
    </row>
    <row r="543" spans="3:55" x14ac:dyDescent="0.45">
      <c r="C543">
        <v>78.83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2.4299999999999997</v>
      </c>
      <c r="K543">
        <v>15</v>
      </c>
      <c r="L543">
        <v>0</v>
      </c>
      <c r="M543">
        <v>3.74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f t="shared" si="26"/>
        <v>4.2</v>
      </c>
      <c r="AU543">
        <f t="shared" si="24"/>
        <v>1.6516666666666668</v>
      </c>
      <c r="AV543">
        <f t="shared" si="25"/>
        <v>880.94099999999992</v>
      </c>
      <c r="AW543">
        <v>59.2</v>
      </c>
      <c r="AX543">
        <v>282</v>
      </c>
      <c r="BB543" t="s">
        <v>280</v>
      </c>
      <c r="BC543" t="s">
        <v>60</v>
      </c>
    </row>
    <row r="544" spans="3:55" x14ac:dyDescent="0.45">
      <c r="C544">
        <v>78.23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2.5700000000000003</v>
      </c>
      <c r="K544">
        <v>15.22</v>
      </c>
      <c r="L544">
        <v>0</v>
      </c>
      <c r="M544">
        <v>3.9800000000000004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f t="shared" si="26"/>
        <v>4.2616000000000005</v>
      </c>
      <c r="AU544">
        <f t="shared" si="24"/>
        <v>1.7550000000000003</v>
      </c>
      <c r="AV544">
        <f t="shared" si="25"/>
        <v>880.98299999999995</v>
      </c>
      <c r="AW544">
        <v>61.6</v>
      </c>
      <c r="AX544">
        <v>380</v>
      </c>
      <c r="BB544" t="s">
        <v>281</v>
      </c>
      <c r="BC544" t="s">
        <v>60</v>
      </c>
    </row>
    <row r="545" spans="3:55" x14ac:dyDescent="0.45">
      <c r="C545">
        <v>78.180000000000007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2.59</v>
      </c>
      <c r="K545">
        <v>15.28</v>
      </c>
      <c r="L545">
        <v>0</v>
      </c>
      <c r="M545">
        <v>3.94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f t="shared" si="26"/>
        <v>4.2784000000000004</v>
      </c>
      <c r="AU545">
        <f t="shared" si="24"/>
        <v>1.7449999999999999</v>
      </c>
      <c r="AV545">
        <f t="shared" si="25"/>
        <v>880.67700000000002</v>
      </c>
      <c r="AW545">
        <v>47.8</v>
      </c>
      <c r="AX545">
        <v>515</v>
      </c>
      <c r="BB545" t="s">
        <v>282</v>
      </c>
      <c r="BC545" t="s">
        <v>60</v>
      </c>
    </row>
    <row r="546" spans="3:55" x14ac:dyDescent="0.45">
      <c r="C546">
        <v>78.61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2.4</v>
      </c>
      <c r="K546">
        <v>15.040000000000001</v>
      </c>
      <c r="L546">
        <v>0</v>
      </c>
      <c r="M546">
        <v>3.95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f t="shared" si="26"/>
        <v>4.2112000000000007</v>
      </c>
      <c r="AU546">
        <f t="shared" si="24"/>
        <v>1.7166666666666666</v>
      </c>
      <c r="AV546">
        <f t="shared" si="25"/>
        <v>882.03000000000009</v>
      </c>
      <c r="AW546">
        <v>53.2</v>
      </c>
      <c r="AX546">
        <v>649</v>
      </c>
      <c r="BB546" t="s">
        <v>283</v>
      </c>
      <c r="BC546" t="s">
        <v>60</v>
      </c>
    </row>
    <row r="547" spans="3:55" x14ac:dyDescent="0.45">
      <c r="C547">
        <v>83.84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1.51</v>
      </c>
      <c r="K547">
        <v>14.04</v>
      </c>
      <c r="L547">
        <v>0</v>
      </c>
      <c r="M547">
        <v>0.61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f t="shared" si="26"/>
        <v>3.9312</v>
      </c>
      <c r="AU547">
        <f t="shared" si="24"/>
        <v>0.45499999999999996</v>
      </c>
      <c r="AV547">
        <f t="shared" si="25"/>
        <v>874.14300000000003</v>
      </c>
      <c r="AW547">
        <v>75</v>
      </c>
      <c r="AX547">
        <v>499</v>
      </c>
      <c r="BB547" t="s">
        <v>284</v>
      </c>
      <c r="BC547" t="s">
        <v>60</v>
      </c>
    </row>
    <row r="548" spans="3:55" x14ac:dyDescent="0.45">
      <c r="C548">
        <v>61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9</v>
      </c>
      <c r="K548">
        <v>18.3</v>
      </c>
      <c r="L548">
        <v>0</v>
      </c>
      <c r="M548">
        <v>11.7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f t="shared" si="26"/>
        <v>5.1240000000000006</v>
      </c>
      <c r="AU548">
        <f t="shared" si="24"/>
        <v>5.4</v>
      </c>
      <c r="AV548">
        <f t="shared" si="25"/>
        <v>869.04</v>
      </c>
      <c r="AW548">
        <v>56</v>
      </c>
    </row>
    <row r="549" spans="3:55" x14ac:dyDescent="0.45">
      <c r="C549">
        <v>54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17.2</v>
      </c>
      <c r="K549">
        <v>17.600000000000001</v>
      </c>
      <c r="L549">
        <v>0</v>
      </c>
      <c r="M549">
        <v>11.2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f t="shared" si="26"/>
        <v>4.9280000000000008</v>
      </c>
      <c r="AU549">
        <f t="shared" si="24"/>
        <v>6.6</v>
      </c>
      <c r="AV549">
        <f t="shared" si="25"/>
        <v>810.3599999999999</v>
      </c>
      <c r="AW549">
        <v>63</v>
      </c>
    </row>
    <row r="550" spans="3:55" x14ac:dyDescent="0.45">
      <c r="C550">
        <v>56.1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8.1</v>
      </c>
      <c r="K550">
        <v>25.2</v>
      </c>
      <c r="L550">
        <v>0</v>
      </c>
      <c r="M550">
        <v>10.6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f t="shared" si="26"/>
        <v>7.056</v>
      </c>
      <c r="AU550">
        <f t="shared" si="24"/>
        <v>4.8833333333333329</v>
      </c>
      <c r="AV550">
        <f t="shared" si="25"/>
        <v>870.63</v>
      </c>
      <c r="AW550">
        <v>59</v>
      </c>
    </row>
    <row r="551" spans="3:55" x14ac:dyDescent="0.45">
      <c r="C551">
        <v>49.8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15.8</v>
      </c>
      <c r="K551">
        <v>24.2</v>
      </c>
      <c r="L551">
        <v>0</v>
      </c>
      <c r="M551">
        <v>10.199999999999999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f t="shared" si="26"/>
        <v>6.7760000000000007</v>
      </c>
      <c r="AU551">
        <f t="shared" si="24"/>
        <v>6.0333333333333332</v>
      </c>
      <c r="AV551">
        <f t="shared" si="25"/>
        <v>815.82</v>
      </c>
      <c r="AW551">
        <v>64</v>
      </c>
    </row>
    <row r="552" spans="3:55" x14ac:dyDescent="0.45">
      <c r="C552">
        <v>78.16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15.38</v>
      </c>
      <c r="K552">
        <v>2.52</v>
      </c>
      <c r="L552">
        <v>0</v>
      </c>
      <c r="M552">
        <v>3.94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f t="shared" si="26"/>
        <v>0.70560000000000012</v>
      </c>
      <c r="AU552">
        <f t="shared" si="24"/>
        <v>3.8766666666666669</v>
      </c>
      <c r="AV552">
        <f t="shared" si="25"/>
        <v>792.42599999999993</v>
      </c>
      <c r="AW552">
        <v>53</v>
      </c>
    </row>
    <row r="553" spans="3:55" x14ac:dyDescent="0.45">
      <c r="C553">
        <v>73.05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4.49</v>
      </c>
      <c r="K553">
        <v>21.09</v>
      </c>
      <c r="L553">
        <v>0</v>
      </c>
      <c r="M553">
        <v>1.37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f t="shared" si="26"/>
        <v>5.9052000000000007</v>
      </c>
      <c r="AU553">
        <f t="shared" si="24"/>
        <v>1.2050000000000001</v>
      </c>
      <c r="AV553">
        <f t="shared" si="25"/>
        <v>856.77300000000002</v>
      </c>
      <c r="AW553">
        <v>54.2</v>
      </c>
    </row>
    <row r="554" spans="3:55" x14ac:dyDescent="0.45">
      <c r="C554">
        <v>76.47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5.88</v>
      </c>
      <c r="K554">
        <v>11.78</v>
      </c>
      <c r="L554">
        <v>0</v>
      </c>
      <c r="M554">
        <v>5.87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f t="shared" si="26"/>
        <v>3.2984</v>
      </c>
      <c r="AU554">
        <f t="shared" si="24"/>
        <v>2.9366666666666665</v>
      </c>
      <c r="AV554">
        <f t="shared" si="25"/>
        <v>866.08199999999999</v>
      </c>
      <c r="AW554">
        <v>56</v>
      </c>
    </row>
    <row r="555" spans="3:55" x14ac:dyDescent="0.45">
      <c r="C555">
        <v>72.22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5.56</v>
      </c>
      <c r="K555">
        <v>16.66</v>
      </c>
      <c r="L555">
        <v>0</v>
      </c>
      <c r="M555">
        <v>5.56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f t="shared" si="26"/>
        <v>4.6648000000000005</v>
      </c>
      <c r="AU555">
        <f t="shared" si="24"/>
        <v>2.78</v>
      </c>
      <c r="AV555">
        <f t="shared" si="25"/>
        <v>866.98799999999994</v>
      </c>
      <c r="AW555">
        <v>59</v>
      </c>
    </row>
    <row r="556" spans="3:55" x14ac:dyDescent="0.45">
      <c r="C556">
        <v>66.67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11.11</v>
      </c>
      <c r="K556">
        <v>16.66</v>
      </c>
      <c r="L556">
        <v>0</v>
      </c>
      <c r="M556">
        <v>5.56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f t="shared" si="26"/>
        <v>4.6648000000000005</v>
      </c>
      <c r="AU556">
        <f t="shared" si="24"/>
        <v>3.7050000000000001</v>
      </c>
      <c r="AV556">
        <f t="shared" si="25"/>
        <v>828.69299999999998</v>
      </c>
      <c r="AW556">
        <v>64</v>
      </c>
    </row>
    <row r="557" spans="3:55" x14ac:dyDescent="0.45">
      <c r="C557">
        <v>72.22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5.56</v>
      </c>
      <c r="K557">
        <v>16.66</v>
      </c>
      <c r="L557">
        <v>0</v>
      </c>
      <c r="M557">
        <v>5.56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f t="shared" si="26"/>
        <v>4.6648000000000005</v>
      </c>
      <c r="AU557">
        <f t="shared" si="24"/>
        <v>2.78</v>
      </c>
      <c r="AV557">
        <f t="shared" si="25"/>
        <v>866.98799999999994</v>
      </c>
      <c r="AW557">
        <v>59</v>
      </c>
    </row>
    <row r="558" spans="3:55" x14ac:dyDescent="0.45">
      <c r="C558">
        <v>66.67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11.11</v>
      </c>
      <c r="K558">
        <v>16.66</v>
      </c>
      <c r="L558">
        <v>0</v>
      </c>
      <c r="M558">
        <v>5.56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f t="shared" si="26"/>
        <v>4.6648000000000005</v>
      </c>
      <c r="AU558">
        <f t="shared" si="24"/>
        <v>3.7050000000000001</v>
      </c>
      <c r="AV558">
        <f t="shared" si="25"/>
        <v>828.69299999999998</v>
      </c>
      <c r="AW558">
        <v>64</v>
      </c>
    </row>
    <row r="559" spans="3:55" x14ac:dyDescent="0.45">
      <c r="C559">
        <v>72.22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5.56</v>
      </c>
      <c r="K559">
        <v>16.66</v>
      </c>
      <c r="L559">
        <v>0</v>
      </c>
      <c r="M559">
        <v>5.56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f t="shared" si="26"/>
        <v>4.6648000000000005</v>
      </c>
      <c r="AU559">
        <f t="shared" si="24"/>
        <v>2.78</v>
      </c>
      <c r="AV559">
        <f t="shared" si="25"/>
        <v>866.98799999999994</v>
      </c>
      <c r="AW559">
        <v>59</v>
      </c>
    </row>
    <row r="560" spans="3:55" x14ac:dyDescent="0.45">
      <c r="C560">
        <v>66.67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11.11</v>
      </c>
      <c r="K560">
        <v>16.66</v>
      </c>
      <c r="L560">
        <v>0</v>
      </c>
      <c r="M560">
        <v>5.56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f t="shared" si="26"/>
        <v>4.6648000000000005</v>
      </c>
      <c r="AU560">
        <f t="shared" si="24"/>
        <v>3.7050000000000001</v>
      </c>
      <c r="AV560">
        <f t="shared" si="25"/>
        <v>828.69299999999998</v>
      </c>
      <c r="AW560">
        <v>64</v>
      </c>
    </row>
    <row r="561" spans="3:55" x14ac:dyDescent="0.45">
      <c r="C561">
        <v>76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2.64</v>
      </c>
      <c r="K561">
        <v>15.53</v>
      </c>
      <c r="L561">
        <v>0</v>
      </c>
      <c r="M561">
        <v>5.83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f t="shared" si="26"/>
        <v>4.3483999999999998</v>
      </c>
      <c r="AU561">
        <f t="shared" si="24"/>
        <v>2.3833333333333333</v>
      </c>
      <c r="AV561">
        <f t="shared" si="25"/>
        <v>888.27</v>
      </c>
      <c r="AW561">
        <v>88</v>
      </c>
    </row>
    <row r="562" spans="3:55" x14ac:dyDescent="0.45">
      <c r="C562">
        <v>75.540000000000006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5.24</v>
      </c>
      <c r="K562">
        <v>15.44</v>
      </c>
      <c r="L562">
        <v>0</v>
      </c>
      <c r="M562">
        <v>3.78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f t="shared" si="26"/>
        <v>4.3231999999999999</v>
      </c>
      <c r="AU562">
        <f t="shared" si="24"/>
        <v>2.1333333333333333</v>
      </c>
      <c r="AV562">
        <f t="shared" si="25"/>
        <v>861.72</v>
      </c>
      <c r="AW562">
        <v>79</v>
      </c>
    </row>
    <row r="563" spans="3:55" x14ac:dyDescent="0.45">
      <c r="C563">
        <v>77.14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2.59</v>
      </c>
      <c r="K563">
        <v>16.53</v>
      </c>
      <c r="L563">
        <v>0</v>
      </c>
      <c r="M563">
        <v>3.74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f t="shared" si="26"/>
        <v>4.628400000000001</v>
      </c>
      <c r="AU563">
        <f t="shared" si="24"/>
        <v>1.6783333333333335</v>
      </c>
      <c r="AV563">
        <f t="shared" si="25"/>
        <v>879.83699999999999</v>
      </c>
      <c r="AW563">
        <v>61</v>
      </c>
    </row>
    <row r="564" spans="3:55" x14ac:dyDescent="0.45">
      <c r="C564">
        <v>74.400000000000006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2.66</v>
      </c>
      <c r="K564">
        <v>17.04</v>
      </c>
      <c r="L564">
        <v>0</v>
      </c>
      <c r="M564">
        <v>5.9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f t="shared" si="26"/>
        <v>4.7712000000000003</v>
      </c>
      <c r="AU564">
        <f t="shared" si="24"/>
        <v>2.41</v>
      </c>
      <c r="AV564">
        <f t="shared" si="25"/>
        <v>888.42599999999993</v>
      </c>
      <c r="AW564">
        <v>54</v>
      </c>
    </row>
    <row r="565" spans="3:55" x14ac:dyDescent="0.45">
      <c r="C565">
        <v>79.099999999999994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2.57</v>
      </c>
      <c r="K565">
        <v>12.64</v>
      </c>
      <c r="L565">
        <v>0</v>
      </c>
      <c r="M565">
        <v>5.69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f t="shared" si="26"/>
        <v>3.5392000000000006</v>
      </c>
      <c r="AU565">
        <f t="shared" si="24"/>
        <v>2.3250000000000002</v>
      </c>
      <c r="AV565">
        <f t="shared" si="25"/>
        <v>888.16500000000008</v>
      </c>
      <c r="AW565">
        <v>77</v>
      </c>
    </row>
    <row r="566" spans="3:55" x14ac:dyDescent="0.45">
      <c r="C566">
        <v>80.16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2.5299999999999998</v>
      </c>
      <c r="K566">
        <v>13.66</v>
      </c>
      <c r="L566">
        <v>0</v>
      </c>
      <c r="M566">
        <v>3.65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f t="shared" si="26"/>
        <v>3.8248000000000002</v>
      </c>
      <c r="AU566">
        <f t="shared" si="24"/>
        <v>1.6383333333333332</v>
      </c>
      <c r="AV566">
        <f t="shared" si="25"/>
        <v>879.87300000000005</v>
      </c>
      <c r="AW566">
        <v>61</v>
      </c>
    </row>
    <row r="567" spans="3:55" x14ac:dyDescent="0.45">
      <c r="C567">
        <v>79.73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2.52</v>
      </c>
      <c r="K567">
        <v>16.059999999999999</v>
      </c>
      <c r="L567">
        <v>0</v>
      </c>
      <c r="M567">
        <v>1.69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f t="shared" si="26"/>
        <v>4.4968000000000004</v>
      </c>
      <c r="AU567">
        <f t="shared" si="24"/>
        <v>0.98333333333333339</v>
      </c>
      <c r="AV567">
        <f t="shared" si="25"/>
        <v>871.70999999999992</v>
      </c>
      <c r="AW567">
        <v>69</v>
      </c>
    </row>
    <row r="568" spans="3:55" x14ac:dyDescent="0.45">
      <c r="C568">
        <v>81.62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2.5</v>
      </c>
      <c r="K568">
        <v>12.28</v>
      </c>
      <c r="L568">
        <v>0</v>
      </c>
      <c r="M568">
        <v>3.6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f t="shared" si="26"/>
        <v>3.4384000000000001</v>
      </c>
      <c r="AU568">
        <f t="shared" si="24"/>
        <v>1.6166666666666667</v>
      </c>
      <c r="AV568">
        <f t="shared" si="25"/>
        <v>879.87</v>
      </c>
      <c r="AW568">
        <v>73</v>
      </c>
    </row>
    <row r="569" spans="3:55" x14ac:dyDescent="0.45">
      <c r="C569">
        <v>58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6</v>
      </c>
      <c r="K569">
        <v>31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600</v>
      </c>
      <c r="X569">
        <v>75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f t="shared" si="26"/>
        <v>13.680000000000001</v>
      </c>
      <c r="AU569">
        <f t="shared" si="24"/>
        <v>1</v>
      </c>
      <c r="AV569">
        <f t="shared" si="25"/>
        <v>793.1</v>
      </c>
      <c r="AY569">
        <v>672</v>
      </c>
      <c r="AZ569">
        <v>26.7</v>
      </c>
      <c r="BC569" t="s">
        <v>140</v>
      </c>
    </row>
    <row r="570" spans="3:55" x14ac:dyDescent="0.45">
      <c r="C570">
        <v>58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6</v>
      </c>
      <c r="K570">
        <v>31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600</v>
      </c>
      <c r="X570">
        <v>75</v>
      </c>
      <c r="Y570">
        <v>0</v>
      </c>
      <c r="Z570">
        <v>1</v>
      </c>
      <c r="AA570">
        <v>0</v>
      </c>
      <c r="AB570">
        <v>0</v>
      </c>
      <c r="AC570">
        <v>800</v>
      </c>
      <c r="AD570">
        <v>0.5</v>
      </c>
      <c r="AE570">
        <v>1</v>
      </c>
      <c r="AF570">
        <v>0</v>
      </c>
      <c r="AG570">
        <v>0</v>
      </c>
      <c r="AH570">
        <v>300</v>
      </c>
      <c r="AI570">
        <v>2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f t="shared" si="26"/>
        <v>13.680000000000001</v>
      </c>
      <c r="AU570">
        <f t="shared" si="24"/>
        <v>1</v>
      </c>
      <c r="AV570">
        <f t="shared" si="25"/>
        <v>793.1</v>
      </c>
      <c r="AY570">
        <v>747</v>
      </c>
      <c r="AZ570">
        <v>20.6</v>
      </c>
      <c r="BC570" t="s">
        <v>140</v>
      </c>
    </row>
    <row r="571" spans="3:55" x14ac:dyDescent="0.45">
      <c r="C571">
        <v>60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4</v>
      </c>
      <c r="K571">
        <v>31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600</v>
      </c>
      <c r="X571">
        <v>75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f t="shared" si="26"/>
        <v>13.680000000000001</v>
      </c>
      <c r="AU571">
        <f t="shared" si="24"/>
        <v>0.66666666666666663</v>
      </c>
      <c r="AV571">
        <f t="shared" si="25"/>
        <v>806.9</v>
      </c>
      <c r="AY571">
        <v>672</v>
      </c>
      <c r="AZ571">
        <v>26.7</v>
      </c>
      <c r="BC571" t="s">
        <v>141</v>
      </c>
    </row>
    <row r="572" spans="3:55" x14ac:dyDescent="0.45">
      <c r="C572">
        <v>60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</v>
      </c>
      <c r="K572">
        <v>31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600</v>
      </c>
      <c r="X572">
        <v>75</v>
      </c>
      <c r="Y572">
        <v>0</v>
      </c>
      <c r="Z572">
        <v>1</v>
      </c>
      <c r="AA572">
        <v>0</v>
      </c>
      <c r="AB572">
        <v>0</v>
      </c>
      <c r="AC572">
        <v>800</v>
      </c>
      <c r="AD572">
        <v>0.5</v>
      </c>
      <c r="AE572">
        <v>1</v>
      </c>
      <c r="AF572">
        <v>0</v>
      </c>
      <c r="AG572">
        <v>0</v>
      </c>
      <c r="AH572">
        <v>300</v>
      </c>
      <c r="AI572">
        <v>2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f t="shared" si="26"/>
        <v>13.680000000000001</v>
      </c>
      <c r="AU572">
        <f t="shared" si="24"/>
        <v>0.66666666666666663</v>
      </c>
      <c r="AV572">
        <f t="shared" si="25"/>
        <v>806.9</v>
      </c>
      <c r="AY572">
        <v>747</v>
      </c>
      <c r="AZ572">
        <v>20.6</v>
      </c>
      <c r="BC572" t="s">
        <v>142</v>
      </c>
    </row>
    <row r="573" spans="3:55" x14ac:dyDescent="0.45">
      <c r="C573">
        <v>69.510000000000005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8.1100000000000012</v>
      </c>
      <c r="K573">
        <v>17.239999999999998</v>
      </c>
      <c r="L573">
        <v>5.1400000000000006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f t="shared" si="26"/>
        <v>9.9672000000000018</v>
      </c>
      <c r="AU573">
        <f t="shared" si="24"/>
        <v>1.3516666666666668</v>
      </c>
      <c r="AV573">
        <f t="shared" si="25"/>
        <v>777.2109999999999</v>
      </c>
      <c r="AW573">
        <v>66.599999999999994</v>
      </c>
      <c r="AX573">
        <v>754.7</v>
      </c>
      <c r="BC573" t="s">
        <v>60</v>
      </c>
    </row>
    <row r="574" spans="3:55" x14ac:dyDescent="0.45">
      <c r="C574">
        <v>51.71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29.080000000000002</v>
      </c>
      <c r="K574">
        <v>17.760000000000002</v>
      </c>
      <c r="L574">
        <v>1.46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f t="shared" si="26"/>
        <v>6.4328000000000012</v>
      </c>
      <c r="AU574">
        <f t="shared" si="24"/>
        <v>4.8466666666666667</v>
      </c>
      <c r="AV574">
        <f t="shared" si="25"/>
        <v>667.47799999999995</v>
      </c>
      <c r="AW574">
        <v>64.2</v>
      </c>
      <c r="AX574">
        <v>714</v>
      </c>
      <c r="BC574" t="s">
        <v>60</v>
      </c>
    </row>
    <row r="575" spans="3:55" x14ac:dyDescent="0.45">
      <c r="C575">
        <v>82.13000000000001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3.9600000000000004</v>
      </c>
      <c r="K575">
        <v>5.93</v>
      </c>
      <c r="L575">
        <v>7.9799999999999995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f t="shared" si="26"/>
        <v>9.6403999999999996</v>
      </c>
      <c r="AU575">
        <f t="shared" si="24"/>
        <v>0.66</v>
      </c>
      <c r="AV575">
        <f t="shared" si="25"/>
        <v>778.8660000000001</v>
      </c>
      <c r="AW575">
        <v>72</v>
      </c>
      <c r="AX575">
        <v>899</v>
      </c>
      <c r="BC575" t="s">
        <v>60</v>
      </c>
    </row>
    <row r="576" spans="3:55" x14ac:dyDescent="0.45">
      <c r="C576">
        <v>84.11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2.97</v>
      </c>
      <c r="K576">
        <v>4.9399999999999995</v>
      </c>
      <c r="L576">
        <v>7.9799999999999995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f t="shared" si="26"/>
        <v>9.3631999999999991</v>
      </c>
      <c r="AU576">
        <f t="shared" si="24"/>
        <v>0.49500000000000005</v>
      </c>
      <c r="AV576">
        <f t="shared" si="25"/>
        <v>785.697</v>
      </c>
      <c r="AW576">
        <v>69</v>
      </c>
      <c r="AX576">
        <v>947</v>
      </c>
      <c r="BC576" t="s">
        <v>60</v>
      </c>
    </row>
    <row r="577" spans="3:55" x14ac:dyDescent="0.45">
      <c r="C577">
        <v>84.04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5.0200000000000005</v>
      </c>
      <c r="K577">
        <v>2.96</v>
      </c>
      <c r="L577">
        <v>7.9799999999999995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f t="shared" si="26"/>
        <v>8.8087999999999997</v>
      </c>
      <c r="AU577">
        <f t="shared" si="24"/>
        <v>0.83666666666666678</v>
      </c>
      <c r="AV577">
        <f t="shared" si="25"/>
        <v>771.55200000000002</v>
      </c>
      <c r="AW577">
        <v>52</v>
      </c>
      <c r="AX577">
        <v>483</v>
      </c>
      <c r="BC577" t="s">
        <v>60</v>
      </c>
    </row>
    <row r="578" spans="3:55" x14ac:dyDescent="0.45">
      <c r="C578">
        <v>81.099999999999994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6.3</v>
      </c>
      <c r="K578">
        <v>6.3</v>
      </c>
      <c r="L578">
        <v>6.3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f t="shared" si="26"/>
        <v>8.0640000000000001</v>
      </c>
      <c r="AU578">
        <f t="shared" ref="AU578:AU641" si="27">D578+J578/6+M578/3+(T578+S578)/10</f>
        <v>1.05</v>
      </c>
      <c r="AV578">
        <f t="shared" ref="AV578:AV641" si="28">882+2.1*D578-9.5*L578+4.2*M578-6.9*J578-11.8*E578-12.1*F578-15.4*H578+23.3*Q578+123*T578</f>
        <v>778.68</v>
      </c>
      <c r="AW578">
        <v>75</v>
      </c>
    </row>
    <row r="579" spans="3:55" x14ac:dyDescent="0.45">
      <c r="C579">
        <v>74.900000000000006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12.5</v>
      </c>
      <c r="K579">
        <v>6.3</v>
      </c>
      <c r="L579">
        <v>6.3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f t="shared" ref="AT579:AT642" si="29">L579+0.67*E579+0.44*P579+0.28*K579+0.22*O579+2.9*H579+1.6*F579+1.7*G579-D579</f>
        <v>8.0640000000000001</v>
      </c>
      <c r="AU579">
        <f t="shared" si="27"/>
        <v>2.0833333333333335</v>
      </c>
      <c r="AV579">
        <f t="shared" si="28"/>
        <v>735.9</v>
      </c>
      <c r="AW579">
        <v>68</v>
      </c>
    </row>
    <row r="580" spans="3:55" x14ac:dyDescent="0.45">
      <c r="C580">
        <v>68.7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18.7</v>
      </c>
      <c r="K580">
        <v>6.3</v>
      </c>
      <c r="L580">
        <v>6.3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f t="shared" si="29"/>
        <v>8.0640000000000001</v>
      </c>
      <c r="AU580">
        <f t="shared" si="27"/>
        <v>3.1166666666666667</v>
      </c>
      <c r="AV580">
        <f t="shared" si="28"/>
        <v>693.12</v>
      </c>
      <c r="AW580">
        <v>79</v>
      </c>
    </row>
    <row r="581" spans="3:55" x14ac:dyDescent="0.45">
      <c r="C581">
        <v>69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10.1</v>
      </c>
      <c r="K581">
        <v>10.3</v>
      </c>
      <c r="L581">
        <v>10.6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f t="shared" si="29"/>
        <v>13.484</v>
      </c>
      <c r="AU581">
        <f t="shared" si="27"/>
        <v>1.6833333333333333</v>
      </c>
      <c r="AV581">
        <f t="shared" si="28"/>
        <v>711.6099999999999</v>
      </c>
      <c r="AW581">
        <v>75</v>
      </c>
    </row>
    <row r="582" spans="3:55" x14ac:dyDescent="0.45">
      <c r="C582">
        <v>60.8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19.3</v>
      </c>
      <c r="K582">
        <v>9.8000000000000007</v>
      </c>
      <c r="L582">
        <v>10.1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f t="shared" si="29"/>
        <v>12.844000000000001</v>
      </c>
      <c r="AU582">
        <f t="shared" si="27"/>
        <v>3.2166666666666668</v>
      </c>
      <c r="AV582">
        <f t="shared" si="28"/>
        <v>652.87999999999988</v>
      </c>
      <c r="AW582">
        <v>68</v>
      </c>
    </row>
    <row r="583" spans="3:55" x14ac:dyDescent="0.45">
      <c r="C583">
        <v>63.3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17.7</v>
      </c>
      <c r="K583">
        <v>9.4</v>
      </c>
      <c r="L583">
        <v>9.6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f t="shared" si="29"/>
        <v>12.231999999999999</v>
      </c>
      <c r="AU583">
        <f t="shared" si="27"/>
        <v>2.9499999999999997</v>
      </c>
      <c r="AV583">
        <f t="shared" si="28"/>
        <v>668.67</v>
      </c>
      <c r="AW583">
        <v>79</v>
      </c>
    </row>
    <row r="584" spans="3:55" x14ac:dyDescent="0.45">
      <c r="C584">
        <v>62.5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9.1999999999999993</v>
      </c>
      <c r="K584">
        <v>18.7</v>
      </c>
      <c r="L584">
        <v>9.6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f t="shared" si="29"/>
        <v>14.836</v>
      </c>
      <c r="AU584">
        <f t="shared" si="27"/>
        <v>1.5333333333333332</v>
      </c>
      <c r="AV584">
        <f t="shared" si="28"/>
        <v>727.31999999999994</v>
      </c>
      <c r="AW584">
        <v>72</v>
      </c>
    </row>
    <row r="585" spans="3:55" x14ac:dyDescent="0.45">
      <c r="C585">
        <v>55.3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17.600000000000001</v>
      </c>
      <c r="K585">
        <v>17.899999999999999</v>
      </c>
      <c r="L585">
        <v>9.1999999999999993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f t="shared" si="29"/>
        <v>14.212</v>
      </c>
      <c r="AU585">
        <f t="shared" si="27"/>
        <v>2.9333333333333336</v>
      </c>
      <c r="AV585">
        <f t="shared" si="28"/>
        <v>673.16</v>
      </c>
      <c r="AW585">
        <v>70</v>
      </c>
    </row>
    <row r="586" spans="3:55" x14ac:dyDescent="0.45">
      <c r="C586">
        <v>57.2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8.4</v>
      </c>
      <c r="K586">
        <v>25.6</v>
      </c>
      <c r="L586">
        <v>8.8000000000000007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f t="shared" si="29"/>
        <v>15.968000000000002</v>
      </c>
      <c r="AU586">
        <f t="shared" si="27"/>
        <v>1.4000000000000001</v>
      </c>
      <c r="AV586">
        <f t="shared" si="28"/>
        <v>740.43999999999994</v>
      </c>
      <c r="AW586">
        <v>70</v>
      </c>
    </row>
    <row r="587" spans="3:55" x14ac:dyDescent="0.45">
      <c r="C587">
        <v>50.8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16.100000000000001</v>
      </c>
      <c r="K587">
        <v>24.6</v>
      </c>
      <c r="L587">
        <v>8.5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f t="shared" si="29"/>
        <v>15.388000000000002</v>
      </c>
      <c r="AU587">
        <f t="shared" si="27"/>
        <v>2.6833333333333336</v>
      </c>
      <c r="AV587">
        <f t="shared" si="28"/>
        <v>690.16</v>
      </c>
      <c r="AW587">
        <v>69</v>
      </c>
    </row>
    <row r="588" spans="3:55" x14ac:dyDescent="0.45">
      <c r="C588">
        <v>38.5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38.5</v>
      </c>
      <c r="K588">
        <v>15</v>
      </c>
      <c r="L588">
        <v>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f t="shared" si="29"/>
        <v>12.2</v>
      </c>
      <c r="AU588">
        <f t="shared" si="27"/>
        <v>6.416666666666667</v>
      </c>
      <c r="AV588">
        <f t="shared" si="28"/>
        <v>540.34999999999991</v>
      </c>
      <c r="AW588">
        <v>96</v>
      </c>
    </row>
    <row r="589" spans="3:55" x14ac:dyDescent="0.45">
      <c r="C589">
        <v>37.5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37.5</v>
      </c>
      <c r="K589">
        <v>15</v>
      </c>
      <c r="L589">
        <v>10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f t="shared" si="29"/>
        <v>14.2</v>
      </c>
      <c r="AU589">
        <f t="shared" si="27"/>
        <v>6.25</v>
      </c>
      <c r="AV589">
        <f t="shared" si="28"/>
        <v>528.25</v>
      </c>
      <c r="AW589">
        <v>97</v>
      </c>
    </row>
    <row r="590" spans="3:55" x14ac:dyDescent="0.45">
      <c r="C590">
        <v>36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36</v>
      </c>
      <c r="K590">
        <v>15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f t="shared" si="29"/>
        <v>17.2</v>
      </c>
      <c r="AU590">
        <f t="shared" si="27"/>
        <v>6</v>
      </c>
      <c r="AV590">
        <f t="shared" si="28"/>
        <v>510.1</v>
      </c>
      <c r="AW590">
        <v>104</v>
      </c>
    </row>
    <row r="591" spans="3:55" x14ac:dyDescent="0.45">
      <c r="C591">
        <v>35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35</v>
      </c>
      <c r="K591">
        <v>15</v>
      </c>
      <c r="L591">
        <v>15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f t="shared" si="29"/>
        <v>19.2</v>
      </c>
      <c r="AU591">
        <f t="shared" si="27"/>
        <v>5.833333333333333</v>
      </c>
      <c r="AV591">
        <f t="shared" si="28"/>
        <v>498</v>
      </c>
      <c r="AW591">
        <v>105</v>
      </c>
    </row>
    <row r="592" spans="3:55" x14ac:dyDescent="0.45">
      <c r="C592">
        <v>71.930000000000007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9.93</v>
      </c>
      <c r="K592">
        <v>16.25</v>
      </c>
      <c r="L592">
        <v>1.89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f t="shared" si="29"/>
        <v>6.44</v>
      </c>
      <c r="AU592">
        <f t="shared" si="27"/>
        <v>1.655</v>
      </c>
      <c r="AV592">
        <f t="shared" si="28"/>
        <v>795.52800000000002</v>
      </c>
      <c r="AW592">
        <v>75</v>
      </c>
    </row>
    <row r="593" spans="3:55" x14ac:dyDescent="0.45">
      <c r="C593">
        <v>84.72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</v>
      </c>
      <c r="K593">
        <v>8.85</v>
      </c>
      <c r="L593">
        <v>3.43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f t="shared" si="29"/>
        <v>5.9080000000000004</v>
      </c>
      <c r="AU593">
        <f t="shared" si="27"/>
        <v>0.5</v>
      </c>
      <c r="AV593">
        <f t="shared" si="28"/>
        <v>828.71499999999992</v>
      </c>
      <c r="AW593">
        <v>84</v>
      </c>
      <c r="BB593" t="s">
        <v>285</v>
      </c>
    </row>
    <row r="594" spans="3:55" x14ac:dyDescent="0.45">
      <c r="C594">
        <v>79.760000000000005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3.13</v>
      </c>
      <c r="K594">
        <v>15.33</v>
      </c>
      <c r="L594">
        <v>1.78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f t="shared" si="29"/>
        <v>6.0724000000000009</v>
      </c>
      <c r="AU594">
        <f t="shared" si="27"/>
        <v>0.52166666666666661</v>
      </c>
      <c r="AV594">
        <f t="shared" si="28"/>
        <v>843.49300000000005</v>
      </c>
      <c r="AW594">
        <v>67</v>
      </c>
      <c r="BB594" t="s">
        <v>285</v>
      </c>
    </row>
    <row r="595" spans="3:55" x14ac:dyDescent="0.45">
      <c r="C595">
        <v>69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25</v>
      </c>
      <c r="L595">
        <v>2</v>
      </c>
      <c r="M595">
        <v>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20</v>
      </c>
      <c r="X595">
        <v>70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f t="shared" si="29"/>
        <v>9</v>
      </c>
      <c r="AU595">
        <f t="shared" si="27"/>
        <v>1.3333333333333333</v>
      </c>
      <c r="AV595">
        <f t="shared" si="28"/>
        <v>879.8</v>
      </c>
      <c r="AY595">
        <v>813</v>
      </c>
      <c r="AZ595">
        <v>5.22</v>
      </c>
      <c r="BB595" t="s">
        <v>285</v>
      </c>
      <c r="BC595" t="s">
        <v>143</v>
      </c>
    </row>
    <row r="596" spans="3:55" x14ac:dyDescent="0.45">
      <c r="C596">
        <v>69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25</v>
      </c>
      <c r="L596">
        <v>2</v>
      </c>
      <c r="M596">
        <v>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20</v>
      </c>
      <c r="X596">
        <v>70</v>
      </c>
      <c r="Y596">
        <v>0</v>
      </c>
      <c r="Z596">
        <v>1</v>
      </c>
      <c r="AA596">
        <v>0</v>
      </c>
      <c r="AB596">
        <v>0</v>
      </c>
      <c r="AC596">
        <v>475</v>
      </c>
      <c r="AD596">
        <v>0.25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f t="shared" si="29"/>
        <v>9</v>
      </c>
      <c r="AU596">
        <f t="shared" si="27"/>
        <v>1.3333333333333333</v>
      </c>
      <c r="AV596">
        <f t="shared" si="28"/>
        <v>879.8</v>
      </c>
      <c r="AY596">
        <v>1113</v>
      </c>
      <c r="AZ596">
        <v>3.62</v>
      </c>
      <c r="BB596" t="s">
        <v>286</v>
      </c>
      <c r="BC596" t="s">
        <v>143</v>
      </c>
    </row>
    <row r="597" spans="3:55" x14ac:dyDescent="0.45">
      <c r="C597">
        <v>78.72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18.72</v>
      </c>
      <c r="L597">
        <v>0.6</v>
      </c>
      <c r="M597">
        <v>1.95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f t="shared" si="29"/>
        <v>5.8415999999999997</v>
      </c>
      <c r="AU597">
        <f t="shared" si="27"/>
        <v>0.65</v>
      </c>
      <c r="AV597">
        <f t="shared" si="28"/>
        <v>884.49</v>
      </c>
      <c r="AW597">
        <v>46</v>
      </c>
      <c r="AX597">
        <v>130</v>
      </c>
      <c r="BC597" t="s">
        <v>60</v>
      </c>
    </row>
    <row r="598" spans="3:55" x14ac:dyDescent="0.45">
      <c r="C598">
        <v>78.72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18.72</v>
      </c>
      <c r="L598">
        <v>0.6</v>
      </c>
      <c r="M598">
        <v>1.95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f t="shared" si="29"/>
        <v>5.8415999999999997</v>
      </c>
      <c r="AU598">
        <f t="shared" si="27"/>
        <v>0.65</v>
      </c>
      <c r="AV598">
        <f t="shared" si="28"/>
        <v>884.49</v>
      </c>
      <c r="AW598">
        <v>45</v>
      </c>
      <c r="AX598">
        <v>220</v>
      </c>
      <c r="BC598" t="s">
        <v>60</v>
      </c>
    </row>
    <row r="599" spans="3:55" x14ac:dyDescent="0.45">
      <c r="C599">
        <v>81.67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15.24</v>
      </c>
      <c r="L599">
        <v>1.18</v>
      </c>
      <c r="M599">
        <v>1.91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f t="shared" si="29"/>
        <v>5.4472000000000005</v>
      </c>
      <c r="AU599">
        <f t="shared" si="27"/>
        <v>0.6366666666666666</v>
      </c>
      <c r="AV599">
        <f t="shared" si="28"/>
        <v>878.81200000000001</v>
      </c>
      <c r="AW599">
        <v>53.1</v>
      </c>
      <c r="AX599">
        <v>361</v>
      </c>
      <c r="BC599" t="s">
        <v>60</v>
      </c>
    </row>
    <row r="600" spans="3:55" x14ac:dyDescent="0.45">
      <c r="C600">
        <v>69.599999999999994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19.399999999999999</v>
      </c>
      <c r="L600">
        <v>4.9000000000000004</v>
      </c>
      <c r="M600">
        <v>6.1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f t="shared" si="29"/>
        <v>10.332000000000001</v>
      </c>
      <c r="AU600">
        <f t="shared" si="27"/>
        <v>2.0333333333333332</v>
      </c>
      <c r="AV600">
        <f t="shared" si="28"/>
        <v>861.07</v>
      </c>
      <c r="AW600">
        <v>51</v>
      </c>
    </row>
    <row r="601" spans="3:55" x14ac:dyDescent="0.45">
      <c r="C601">
        <v>82.35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11.78</v>
      </c>
      <c r="L601">
        <v>2.94</v>
      </c>
      <c r="M601">
        <v>2.93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f t="shared" si="29"/>
        <v>6.2384000000000004</v>
      </c>
      <c r="AU601">
        <f t="shared" si="27"/>
        <v>0.97666666666666668</v>
      </c>
      <c r="AV601">
        <f t="shared" si="28"/>
        <v>866.37600000000009</v>
      </c>
      <c r="AW601">
        <v>51</v>
      </c>
    </row>
    <row r="602" spans="3:55" x14ac:dyDescent="0.45">
      <c r="C602">
        <v>82.35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11.76</v>
      </c>
      <c r="L602">
        <v>2.94</v>
      </c>
      <c r="M602">
        <v>2.95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f t="shared" si="29"/>
        <v>6.2328000000000001</v>
      </c>
      <c r="AU602">
        <f t="shared" si="27"/>
        <v>0.98333333333333339</v>
      </c>
      <c r="AV602">
        <f t="shared" si="28"/>
        <v>866.46</v>
      </c>
      <c r="AW602">
        <v>51</v>
      </c>
    </row>
    <row r="603" spans="3:55" x14ac:dyDescent="0.45">
      <c r="C603">
        <v>85.5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7.5</v>
      </c>
      <c r="L603">
        <v>4</v>
      </c>
      <c r="M603">
        <v>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f t="shared" si="29"/>
        <v>6.1</v>
      </c>
      <c r="AU603">
        <f t="shared" si="27"/>
        <v>1</v>
      </c>
      <c r="AV603">
        <f t="shared" si="28"/>
        <v>856.6</v>
      </c>
      <c r="AW603">
        <v>46</v>
      </c>
    </row>
    <row r="604" spans="3:55" x14ac:dyDescent="0.45">
      <c r="C604">
        <v>84.5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7.5</v>
      </c>
      <c r="L604">
        <v>4</v>
      </c>
      <c r="M604">
        <v>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f t="shared" si="29"/>
        <v>6.1</v>
      </c>
      <c r="AU604">
        <f t="shared" si="27"/>
        <v>1.3333333333333333</v>
      </c>
      <c r="AV604">
        <f t="shared" si="28"/>
        <v>860.8</v>
      </c>
      <c r="AW604">
        <v>87</v>
      </c>
    </row>
    <row r="605" spans="3:55" x14ac:dyDescent="0.45">
      <c r="C605">
        <v>70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26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20</v>
      </c>
      <c r="X605">
        <v>84</v>
      </c>
      <c r="Y605">
        <v>0</v>
      </c>
      <c r="Z605">
        <v>1</v>
      </c>
      <c r="AA605">
        <v>0</v>
      </c>
      <c r="AB605">
        <v>0</v>
      </c>
      <c r="AC605">
        <v>800</v>
      </c>
      <c r="AD605">
        <v>1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f t="shared" si="29"/>
        <v>13.080000000000002</v>
      </c>
      <c r="AU605">
        <f t="shared" si="27"/>
        <v>0.66666666666666663</v>
      </c>
      <c r="AV605">
        <f t="shared" si="28"/>
        <v>859.6</v>
      </c>
      <c r="AY605">
        <v>679</v>
      </c>
      <c r="AZ605">
        <v>25.04</v>
      </c>
      <c r="BC605" t="s">
        <v>96</v>
      </c>
    </row>
    <row r="606" spans="3:55" x14ac:dyDescent="0.45">
      <c r="C606">
        <v>68</v>
      </c>
      <c r="D606">
        <v>0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26</v>
      </c>
      <c r="L606">
        <v>0</v>
      </c>
      <c r="M606">
        <v>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20</v>
      </c>
      <c r="X606">
        <v>84</v>
      </c>
      <c r="Y606">
        <v>0</v>
      </c>
      <c r="Z606">
        <v>1</v>
      </c>
      <c r="AA606">
        <v>0</v>
      </c>
      <c r="AB606">
        <v>0</v>
      </c>
      <c r="AC606">
        <v>800</v>
      </c>
      <c r="AD606">
        <v>1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f t="shared" si="29"/>
        <v>13.080000000000002</v>
      </c>
      <c r="AU606">
        <f t="shared" si="27"/>
        <v>1.3333333333333333</v>
      </c>
      <c r="AV606">
        <f t="shared" si="28"/>
        <v>868</v>
      </c>
      <c r="AY606">
        <v>622</v>
      </c>
      <c r="AZ606">
        <v>19.16</v>
      </c>
      <c r="BC606" t="s">
        <v>96</v>
      </c>
    </row>
    <row r="607" spans="3:55" x14ac:dyDescent="0.45">
      <c r="C607">
        <v>66</v>
      </c>
      <c r="D607">
        <v>0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0</v>
      </c>
      <c r="K607">
        <v>26</v>
      </c>
      <c r="L607">
        <v>0</v>
      </c>
      <c r="M607">
        <v>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20</v>
      </c>
      <c r="X607">
        <v>84</v>
      </c>
      <c r="Y607">
        <v>0</v>
      </c>
      <c r="Z607">
        <v>1</v>
      </c>
      <c r="AA607">
        <v>0</v>
      </c>
      <c r="AB607">
        <v>0</v>
      </c>
      <c r="AC607">
        <v>800</v>
      </c>
      <c r="AD607">
        <v>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f t="shared" si="29"/>
        <v>13.080000000000002</v>
      </c>
      <c r="AU607">
        <f t="shared" si="27"/>
        <v>2</v>
      </c>
      <c r="AV607">
        <f t="shared" si="28"/>
        <v>876.40000000000009</v>
      </c>
      <c r="AY607">
        <v>577</v>
      </c>
      <c r="AZ607">
        <v>28.81</v>
      </c>
      <c r="BC607" t="s">
        <v>96</v>
      </c>
    </row>
    <row r="608" spans="3:55" x14ac:dyDescent="0.45">
      <c r="C608">
        <v>64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0</v>
      </c>
      <c r="K608">
        <v>26</v>
      </c>
      <c r="L608">
        <v>0</v>
      </c>
      <c r="M608">
        <v>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20</v>
      </c>
      <c r="X608">
        <v>84</v>
      </c>
      <c r="Y608">
        <v>0</v>
      </c>
      <c r="Z608">
        <v>1</v>
      </c>
      <c r="AA608">
        <v>0</v>
      </c>
      <c r="AB608">
        <v>0</v>
      </c>
      <c r="AC608">
        <v>800</v>
      </c>
      <c r="AD608">
        <v>1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f t="shared" si="29"/>
        <v>13.080000000000002</v>
      </c>
      <c r="AU608">
        <f t="shared" si="27"/>
        <v>2.6666666666666665</v>
      </c>
      <c r="AV608">
        <f t="shared" si="28"/>
        <v>884.80000000000007</v>
      </c>
      <c r="AY608">
        <v>582</v>
      </c>
      <c r="AZ608">
        <v>23.83</v>
      </c>
      <c r="BC608" t="s">
        <v>96</v>
      </c>
    </row>
    <row r="609" spans="3:55" x14ac:dyDescent="0.45">
      <c r="C609">
        <v>70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26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20</v>
      </c>
      <c r="X609">
        <v>84</v>
      </c>
      <c r="Y609">
        <v>0</v>
      </c>
      <c r="Z609">
        <v>1</v>
      </c>
      <c r="AA609">
        <v>0</v>
      </c>
      <c r="AB609">
        <v>0</v>
      </c>
      <c r="AC609">
        <v>800</v>
      </c>
      <c r="AD609">
        <v>1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f t="shared" si="29"/>
        <v>13.080000000000002</v>
      </c>
      <c r="AU609">
        <f t="shared" si="27"/>
        <v>0.66666666666666663</v>
      </c>
      <c r="AV609">
        <f t="shared" si="28"/>
        <v>859.6</v>
      </c>
      <c r="AY609">
        <v>679</v>
      </c>
      <c r="AZ609">
        <v>25.15</v>
      </c>
      <c r="BC609" t="s">
        <v>144</v>
      </c>
    </row>
    <row r="610" spans="3:55" x14ac:dyDescent="0.45">
      <c r="C610">
        <v>68</v>
      </c>
      <c r="D610">
        <v>0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26</v>
      </c>
      <c r="L610">
        <v>0</v>
      </c>
      <c r="M610">
        <v>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20</v>
      </c>
      <c r="X610">
        <v>84</v>
      </c>
      <c r="Y610">
        <v>0</v>
      </c>
      <c r="Z610">
        <v>1</v>
      </c>
      <c r="AA610">
        <v>0</v>
      </c>
      <c r="AB610">
        <v>0</v>
      </c>
      <c r="AC610">
        <v>800</v>
      </c>
      <c r="AD610">
        <v>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f t="shared" si="29"/>
        <v>13.080000000000002</v>
      </c>
      <c r="AU610">
        <f t="shared" si="27"/>
        <v>1.3333333333333333</v>
      </c>
      <c r="AV610">
        <f t="shared" si="28"/>
        <v>868</v>
      </c>
      <c r="AY610">
        <v>622</v>
      </c>
      <c r="AZ610">
        <v>19.04</v>
      </c>
      <c r="BC610" t="s">
        <v>145</v>
      </c>
    </row>
    <row r="611" spans="3:55" x14ac:dyDescent="0.45">
      <c r="C611">
        <v>66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0</v>
      </c>
      <c r="J611">
        <v>0</v>
      </c>
      <c r="K611">
        <v>26</v>
      </c>
      <c r="L611">
        <v>0</v>
      </c>
      <c r="M611">
        <v>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20</v>
      </c>
      <c r="X611">
        <v>84</v>
      </c>
      <c r="Y611">
        <v>0</v>
      </c>
      <c r="Z611">
        <v>1</v>
      </c>
      <c r="AA611">
        <v>0</v>
      </c>
      <c r="AB611">
        <v>0</v>
      </c>
      <c r="AC611">
        <v>800</v>
      </c>
      <c r="AD611">
        <v>1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f t="shared" si="29"/>
        <v>13.080000000000002</v>
      </c>
      <c r="AU611">
        <f t="shared" si="27"/>
        <v>2</v>
      </c>
      <c r="AV611">
        <f t="shared" si="28"/>
        <v>876.40000000000009</v>
      </c>
      <c r="AY611">
        <v>577</v>
      </c>
      <c r="AZ611">
        <v>28.77</v>
      </c>
      <c r="BC611" t="s">
        <v>146</v>
      </c>
    </row>
    <row r="612" spans="3:55" x14ac:dyDescent="0.45">
      <c r="C612">
        <v>64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0</v>
      </c>
      <c r="J612">
        <v>0</v>
      </c>
      <c r="K612">
        <v>26</v>
      </c>
      <c r="L612">
        <v>0</v>
      </c>
      <c r="M612">
        <v>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20</v>
      </c>
      <c r="X612">
        <v>84</v>
      </c>
      <c r="Y612">
        <v>0</v>
      </c>
      <c r="Z612">
        <v>1</v>
      </c>
      <c r="AA612">
        <v>0</v>
      </c>
      <c r="AB612">
        <v>0</v>
      </c>
      <c r="AC612">
        <v>800</v>
      </c>
      <c r="AD612">
        <v>1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f t="shared" si="29"/>
        <v>13.080000000000002</v>
      </c>
      <c r="AU612">
        <f t="shared" si="27"/>
        <v>2.6666666666666665</v>
      </c>
      <c r="AV612">
        <f t="shared" si="28"/>
        <v>884.80000000000007</v>
      </c>
      <c r="AY612">
        <v>582</v>
      </c>
      <c r="AZ612">
        <v>23.78</v>
      </c>
      <c r="BC612" t="s">
        <v>147</v>
      </c>
    </row>
    <row r="613" spans="3:55" x14ac:dyDescent="0.45">
      <c r="C613">
        <v>83.76</v>
      </c>
      <c r="D613">
        <v>0</v>
      </c>
      <c r="E613">
        <v>0</v>
      </c>
      <c r="F613">
        <v>0</v>
      </c>
      <c r="G613">
        <v>0</v>
      </c>
      <c r="H613">
        <v>2.56</v>
      </c>
      <c r="I613">
        <v>0</v>
      </c>
      <c r="J613">
        <v>0</v>
      </c>
      <c r="K613">
        <v>11</v>
      </c>
      <c r="L613">
        <v>0</v>
      </c>
      <c r="M613">
        <v>2.68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f t="shared" si="29"/>
        <v>10.504</v>
      </c>
      <c r="AU613">
        <f t="shared" si="27"/>
        <v>0.89333333333333342</v>
      </c>
      <c r="AV613">
        <f t="shared" si="28"/>
        <v>853.83199999999999</v>
      </c>
      <c r="AW613">
        <v>71</v>
      </c>
      <c r="AX613">
        <v>765</v>
      </c>
      <c r="BC613" t="s">
        <v>60</v>
      </c>
    </row>
    <row r="614" spans="3:55" x14ac:dyDescent="0.45">
      <c r="C614">
        <v>87.5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5</v>
      </c>
      <c r="M614">
        <v>2.5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1000</v>
      </c>
      <c r="AD614">
        <v>1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f t="shared" si="29"/>
        <v>0</v>
      </c>
      <c r="AU614">
        <f t="shared" si="27"/>
        <v>5.833333333333333</v>
      </c>
      <c r="AV614">
        <f t="shared" si="28"/>
        <v>855.5</v>
      </c>
      <c r="AY614">
        <v>1016</v>
      </c>
      <c r="AZ614">
        <v>5.8</v>
      </c>
      <c r="BC614" t="s">
        <v>114</v>
      </c>
    </row>
    <row r="615" spans="3:55" x14ac:dyDescent="0.45">
      <c r="C615">
        <v>82.5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10</v>
      </c>
      <c r="M615">
        <v>2.5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1000</v>
      </c>
      <c r="AD615">
        <v>1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f t="shared" si="29"/>
        <v>5</v>
      </c>
      <c r="AU615">
        <f t="shared" si="27"/>
        <v>5.833333333333333</v>
      </c>
      <c r="AV615">
        <f t="shared" si="28"/>
        <v>808</v>
      </c>
      <c r="AY615">
        <v>1260</v>
      </c>
      <c r="AZ615">
        <v>8.4</v>
      </c>
      <c r="BC615" t="s">
        <v>114</v>
      </c>
    </row>
    <row r="616" spans="3:55" x14ac:dyDescent="0.45">
      <c r="C616">
        <v>77.5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15</v>
      </c>
      <c r="M616">
        <v>2.5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1000</v>
      </c>
      <c r="AD616">
        <v>1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f t="shared" si="29"/>
        <v>10</v>
      </c>
      <c r="AU616">
        <f t="shared" si="27"/>
        <v>5.833333333333333</v>
      </c>
      <c r="AV616">
        <f t="shared" si="28"/>
        <v>760.5</v>
      </c>
      <c r="AY616">
        <v>724</v>
      </c>
      <c r="AZ616">
        <v>9.3000000000000007</v>
      </c>
      <c r="BC616" t="s">
        <v>114</v>
      </c>
    </row>
    <row r="617" spans="3:55" x14ac:dyDescent="0.45">
      <c r="C617">
        <v>87.5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5</v>
      </c>
      <c r="M617">
        <v>2.5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f t="shared" si="29"/>
        <v>0</v>
      </c>
      <c r="AU617">
        <f t="shared" si="27"/>
        <v>5.833333333333333</v>
      </c>
      <c r="AV617">
        <f t="shared" si="28"/>
        <v>855.5</v>
      </c>
      <c r="AX617">
        <v>966</v>
      </c>
      <c r="AY617">
        <v>1016</v>
      </c>
      <c r="AZ617">
        <v>5.8</v>
      </c>
      <c r="BA617">
        <v>342</v>
      </c>
      <c r="BC617" t="s">
        <v>98</v>
      </c>
    </row>
    <row r="618" spans="3:55" x14ac:dyDescent="0.45">
      <c r="C618">
        <v>82.5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10</v>
      </c>
      <c r="M618">
        <v>2.5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f t="shared" si="29"/>
        <v>5</v>
      </c>
      <c r="AU618">
        <f t="shared" si="27"/>
        <v>5.833333333333333</v>
      </c>
      <c r="AV618">
        <f t="shared" si="28"/>
        <v>808</v>
      </c>
      <c r="AX618">
        <v>1198</v>
      </c>
      <c r="AY618">
        <v>1260</v>
      </c>
      <c r="AZ618">
        <v>8.4</v>
      </c>
      <c r="BA618">
        <v>388</v>
      </c>
      <c r="BC618" t="s">
        <v>98</v>
      </c>
    </row>
    <row r="619" spans="3:55" x14ac:dyDescent="0.45">
      <c r="C619">
        <v>77.5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15</v>
      </c>
      <c r="M619">
        <v>2.5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f t="shared" si="29"/>
        <v>10</v>
      </c>
      <c r="AU619">
        <f t="shared" si="27"/>
        <v>5.833333333333333</v>
      </c>
      <c r="AV619">
        <f t="shared" si="28"/>
        <v>760.5</v>
      </c>
      <c r="AX619">
        <v>711</v>
      </c>
      <c r="AY619">
        <v>724</v>
      </c>
      <c r="AZ619">
        <v>9.3000000000000007</v>
      </c>
      <c r="BA619">
        <v>275</v>
      </c>
      <c r="BB619" t="s">
        <v>351</v>
      </c>
      <c r="BC619" t="s">
        <v>98</v>
      </c>
    </row>
    <row r="620" spans="3:55" x14ac:dyDescent="0.45">
      <c r="C620">
        <v>90.1</v>
      </c>
      <c r="D620">
        <v>7.1</v>
      </c>
      <c r="E620">
        <v>1.2</v>
      </c>
      <c r="F620">
        <v>0</v>
      </c>
      <c r="G620">
        <v>0</v>
      </c>
      <c r="H620">
        <v>0</v>
      </c>
      <c r="I620">
        <v>0</v>
      </c>
      <c r="J620">
        <v>1.6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f t="shared" si="29"/>
        <v>-6.2959999999999994</v>
      </c>
      <c r="AU620">
        <f t="shared" si="27"/>
        <v>7.3666666666666663</v>
      </c>
      <c r="AV620">
        <f t="shared" si="28"/>
        <v>871.71</v>
      </c>
      <c r="AY620">
        <v>787.75</v>
      </c>
      <c r="AZ620">
        <v>13.42</v>
      </c>
      <c r="BB620" t="s">
        <v>351</v>
      </c>
      <c r="BC620" t="s">
        <v>148</v>
      </c>
    </row>
    <row r="621" spans="3:55" x14ac:dyDescent="0.45">
      <c r="C621">
        <v>87.9</v>
      </c>
      <c r="D621">
        <v>6.8</v>
      </c>
      <c r="E621">
        <v>2.4</v>
      </c>
      <c r="F621">
        <v>0</v>
      </c>
      <c r="G621">
        <v>0</v>
      </c>
      <c r="H621">
        <v>0</v>
      </c>
      <c r="I621">
        <v>0</v>
      </c>
      <c r="J621">
        <v>2.9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f t="shared" si="29"/>
        <v>-5.1920000000000002</v>
      </c>
      <c r="AU621">
        <f t="shared" si="27"/>
        <v>7.2833333333333332</v>
      </c>
      <c r="AV621">
        <f t="shared" si="28"/>
        <v>847.94999999999993</v>
      </c>
      <c r="AY621">
        <v>840.86</v>
      </c>
      <c r="AZ621">
        <v>10.41</v>
      </c>
      <c r="BC621" t="s">
        <v>148</v>
      </c>
    </row>
    <row r="622" spans="3:55" x14ac:dyDescent="0.45">
      <c r="C622">
        <v>85.8</v>
      </c>
      <c r="D622">
        <v>6.5</v>
      </c>
      <c r="E622">
        <v>3.5</v>
      </c>
      <c r="F622">
        <v>0</v>
      </c>
      <c r="G622">
        <v>0</v>
      </c>
      <c r="H622">
        <v>0</v>
      </c>
      <c r="I622">
        <v>0</v>
      </c>
      <c r="J622">
        <v>4.2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f t="shared" si="29"/>
        <v>-4.1549999999999994</v>
      </c>
      <c r="AU622">
        <f t="shared" si="27"/>
        <v>7.2</v>
      </c>
      <c r="AV622">
        <f t="shared" si="28"/>
        <v>825.37</v>
      </c>
      <c r="AY622">
        <v>963.77</v>
      </c>
      <c r="AZ622">
        <v>7.18</v>
      </c>
      <c r="BC622" t="s">
        <v>148</v>
      </c>
    </row>
    <row r="623" spans="3:55" x14ac:dyDescent="0.45">
      <c r="C623">
        <v>83.6</v>
      </c>
      <c r="D623">
        <v>6.2</v>
      </c>
      <c r="E623">
        <v>4.5999999999999996</v>
      </c>
      <c r="F623">
        <v>0</v>
      </c>
      <c r="G623">
        <v>0</v>
      </c>
      <c r="H623">
        <v>0</v>
      </c>
      <c r="I623">
        <v>0</v>
      </c>
      <c r="J623">
        <v>5.6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f t="shared" si="29"/>
        <v>-3.1180000000000003</v>
      </c>
      <c r="AU623">
        <f t="shared" si="27"/>
        <v>7.1333333333333337</v>
      </c>
      <c r="AV623">
        <f t="shared" si="28"/>
        <v>802.1</v>
      </c>
      <c r="AY623">
        <v>1070.49</v>
      </c>
      <c r="AZ623">
        <v>5.13</v>
      </c>
      <c r="BC623" t="s">
        <v>148</v>
      </c>
    </row>
    <row r="624" spans="3:55" x14ac:dyDescent="0.45">
      <c r="C624">
        <v>81.599999999999994</v>
      </c>
      <c r="D624">
        <v>5.9</v>
      </c>
      <c r="E624">
        <v>5.7</v>
      </c>
      <c r="F624">
        <v>0</v>
      </c>
      <c r="G624">
        <v>0</v>
      </c>
      <c r="H624">
        <v>0</v>
      </c>
      <c r="I624">
        <v>0</v>
      </c>
      <c r="J624">
        <v>6.8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f t="shared" si="29"/>
        <v>-2.081</v>
      </c>
      <c r="AU624">
        <f t="shared" si="27"/>
        <v>7.0333333333333332</v>
      </c>
      <c r="AV624">
        <f t="shared" si="28"/>
        <v>780.21</v>
      </c>
      <c r="AY624">
        <v>1193.4000000000001</v>
      </c>
      <c r="AZ624">
        <v>1.79</v>
      </c>
      <c r="BC624" t="s">
        <v>148</v>
      </c>
    </row>
    <row r="625" spans="3:55" x14ac:dyDescent="0.45">
      <c r="C625">
        <v>79.5</v>
      </c>
      <c r="D625">
        <v>5.6</v>
      </c>
      <c r="E625">
        <v>6.8</v>
      </c>
      <c r="F625">
        <v>0</v>
      </c>
      <c r="G625">
        <v>0</v>
      </c>
      <c r="H625">
        <v>0</v>
      </c>
      <c r="I625">
        <v>0</v>
      </c>
      <c r="J625">
        <v>8.1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f t="shared" si="29"/>
        <v>-1.0439999999999996</v>
      </c>
      <c r="AU625">
        <f t="shared" si="27"/>
        <v>6.9499999999999993</v>
      </c>
      <c r="AV625">
        <f t="shared" si="28"/>
        <v>757.63</v>
      </c>
      <c r="AY625">
        <v>1293</v>
      </c>
      <c r="AZ625">
        <v>2.0099999999999998</v>
      </c>
      <c r="BC625" t="s">
        <v>148</v>
      </c>
    </row>
    <row r="626" spans="3:55" x14ac:dyDescent="0.45">
      <c r="C626">
        <v>77.599999999999994</v>
      </c>
      <c r="D626">
        <v>5.3</v>
      </c>
      <c r="E626">
        <v>7.8</v>
      </c>
      <c r="F626">
        <v>0</v>
      </c>
      <c r="G626">
        <v>0</v>
      </c>
      <c r="H626">
        <v>0</v>
      </c>
      <c r="I626">
        <v>0</v>
      </c>
      <c r="J626">
        <v>9.3000000000000007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f t="shared" si="29"/>
        <v>-7.3999999999999844E-2</v>
      </c>
      <c r="AU626">
        <f t="shared" si="27"/>
        <v>6.85</v>
      </c>
      <c r="AV626">
        <f t="shared" si="28"/>
        <v>736.92000000000007</v>
      </c>
      <c r="AY626">
        <v>1253.07</v>
      </c>
      <c r="AZ626">
        <v>4.79</v>
      </c>
      <c r="BC626" t="s">
        <v>148</v>
      </c>
    </row>
    <row r="627" spans="3:55" x14ac:dyDescent="0.45">
      <c r="C627">
        <v>90.1</v>
      </c>
      <c r="D627">
        <v>7.1</v>
      </c>
      <c r="E627">
        <v>1.2</v>
      </c>
      <c r="F627">
        <v>0</v>
      </c>
      <c r="G627">
        <v>0</v>
      </c>
      <c r="H627">
        <v>0</v>
      </c>
      <c r="I627">
        <v>0</v>
      </c>
      <c r="J627">
        <v>1.6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f t="shared" si="29"/>
        <v>-6.2959999999999994</v>
      </c>
      <c r="AU627">
        <f t="shared" si="27"/>
        <v>7.3666666666666663</v>
      </c>
      <c r="AV627">
        <f t="shared" si="28"/>
        <v>871.71</v>
      </c>
      <c r="AY627">
        <v>787.75</v>
      </c>
      <c r="AZ627">
        <v>14</v>
      </c>
      <c r="BC627" t="s">
        <v>149</v>
      </c>
    </row>
    <row r="628" spans="3:55" x14ac:dyDescent="0.45">
      <c r="C628">
        <v>87.9</v>
      </c>
      <c r="D628">
        <v>6.8</v>
      </c>
      <c r="E628">
        <v>2.4</v>
      </c>
      <c r="F628">
        <v>0</v>
      </c>
      <c r="G628">
        <v>0</v>
      </c>
      <c r="H628">
        <v>0</v>
      </c>
      <c r="I628">
        <v>0</v>
      </c>
      <c r="J628">
        <v>2.9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f t="shared" si="29"/>
        <v>-5.1920000000000002</v>
      </c>
      <c r="AU628">
        <f t="shared" si="27"/>
        <v>7.2833333333333332</v>
      </c>
      <c r="AV628">
        <f t="shared" si="28"/>
        <v>847.94999999999993</v>
      </c>
      <c r="AY628">
        <v>840.86</v>
      </c>
      <c r="AZ628">
        <v>10.44</v>
      </c>
      <c r="BC628" t="s">
        <v>149</v>
      </c>
    </row>
    <row r="629" spans="3:55" x14ac:dyDescent="0.45">
      <c r="C629">
        <v>85.8</v>
      </c>
      <c r="D629">
        <v>6.5</v>
      </c>
      <c r="E629">
        <v>3.5</v>
      </c>
      <c r="F629">
        <v>0</v>
      </c>
      <c r="G629">
        <v>0</v>
      </c>
      <c r="H629">
        <v>0</v>
      </c>
      <c r="I629">
        <v>0</v>
      </c>
      <c r="J629">
        <v>4.2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f t="shared" si="29"/>
        <v>-4.1549999999999994</v>
      </c>
      <c r="AU629">
        <f t="shared" si="27"/>
        <v>7.2</v>
      </c>
      <c r="AV629">
        <f t="shared" si="28"/>
        <v>825.37</v>
      </c>
      <c r="AY629">
        <v>963.77</v>
      </c>
      <c r="AZ629">
        <v>7.2</v>
      </c>
      <c r="BB629" t="s">
        <v>251</v>
      </c>
      <c r="BC629" t="s">
        <v>149</v>
      </c>
    </row>
    <row r="630" spans="3:55" x14ac:dyDescent="0.45">
      <c r="C630">
        <v>83.6</v>
      </c>
      <c r="D630">
        <v>6.2</v>
      </c>
      <c r="E630">
        <v>4.5999999999999996</v>
      </c>
      <c r="F630">
        <v>0</v>
      </c>
      <c r="G630">
        <v>0</v>
      </c>
      <c r="H630">
        <v>0</v>
      </c>
      <c r="I630">
        <v>0</v>
      </c>
      <c r="J630">
        <v>5.6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f t="shared" si="29"/>
        <v>-3.1180000000000003</v>
      </c>
      <c r="AU630">
        <f t="shared" si="27"/>
        <v>7.1333333333333337</v>
      </c>
      <c r="AV630">
        <f t="shared" si="28"/>
        <v>802.1</v>
      </c>
      <c r="AY630">
        <v>1070.49</v>
      </c>
      <c r="AZ630">
        <v>5.24</v>
      </c>
      <c r="BB630" t="s">
        <v>251</v>
      </c>
      <c r="BC630" t="s">
        <v>149</v>
      </c>
    </row>
    <row r="631" spans="3:55" x14ac:dyDescent="0.45">
      <c r="C631">
        <v>81.599999999999994</v>
      </c>
      <c r="D631">
        <v>5.9</v>
      </c>
      <c r="E631">
        <v>5.7</v>
      </c>
      <c r="F631">
        <v>0</v>
      </c>
      <c r="G631">
        <v>0</v>
      </c>
      <c r="H631">
        <v>0</v>
      </c>
      <c r="I631">
        <v>0</v>
      </c>
      <c r="J631">
        <v>6.8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f t="shared" si="29"/>
        <v>-2.081</v>
      </c>
      <c r="AU631">
        <f t="shared" si="27"/>
        <v>7.0333333333333332</v>
      </c>
      <c r="AV631">
        <f t="shared" si="28"/>
        <v>780.21</v>
      </c>
      <c r="AY631">
        <v>1193.4000000000001</v>
      </c>
      <c r="AZ631">
        <v>1.81</v>
      </c>
      <c r="BB631" t="s">
        <v>251</v>
      </c>
      <c r="BC631" t="s">
        <v>149</v>
      </c>
    </row>
    <row r="632" spans="3:55" x14ac:dyDescent="0.45">
      <c r="C632">
        <v>79.5</v>
      </c>
      <c r="D632">
        <v>5.6</v>
      </c>
      <c r="E632">
        <v>6.8</v>
      </c>
      <c r="F632">
        <v>0</v>
      </c>
      <c r="G632">
        <v>0</v>
      </c>
      <c r="H632">
        <v>0</v>
      </c>
      <c r="I632">
        <v>0</v>
      </c>
      <c r="J632">
        <v>8.1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f t="shared" si="29"/>
        <v>-1.0439999999999996</v>
      </c>
      <c r="AU632">
        <f t="shared" si="27"/>
        <v>6.9499999999999993</v>
      </c>
      <c r="AV632">
        <f t="shared" si="28"/>
        <v>757.63</v>
      </c>
      <c r="AY632">
        <v>1293</v>
      </c>
      <c r="AZ632">
        <v>2</v>
      </c>
      <c r="BB632" t="s">
        <v>251</v>
      </c>
      <c r="BC632" t="s">
        <v>149</v>
      </c>
    </row>
    <row r="633" spans="3:55" x14ac:dyDescent="0.45">
      <c r="C633">
        <v>77.599999999999994</v>
      </c>
      <c r="D633">
        <v>5.3</v>
      </c>
      <c r="E633">
        <v>7.8</v>
      </c>
      <c r="F633">
        <v>0</v>
      </c>
      <c r="G633">
        <v>0</v>
      </c>
      <c r="H633">
        <v>0</v>
      </c>
      <c r="I633">
        <v>0</v>
      </c>
      <c r="J633">
        <v>9.3000000000000007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f t="shared" si="29"/>
        <v>-7.3999999999999844E-2</v>
      </c>
      <c r="AU633">
        <f t="shared" si="27"/>
        <v>6.85</v>
      </c>
      <c r="AV633">
        <f t="shared" si="28"/>
        <v>736.92000000000007</v>
      </c>
      <c r="AY633">
        <v>1253.07</v>
      </c>
      <c r="AZ633">
        <v>4.63</v>
      </c>
      <c r="BB633" t="s">
        <v>287</v>
      </c>
      <c r="BC633" t="s">
        <v>149</v>
      </c>
    </row>
    <row r="634" spans="3:55" x14ac:dyDescent="0.45">
      <c r="C634">
        <v>69.33</v>
      </c>
      <c r="D634">
        <v>9.92</v>
      </c>
      <c r="E634">
        <v>3.15</v>
      </c>
      <c r="F634">
        <v>0</v>
      </c>
      <c r="G634">
        <v>0</v>
      </c>
      <c r="H634">
        <v>0</v>
      </c>
      <c r="I634">
        <v>0</v>
      </c>
      <c r="J634">
        <v>17.599999999999998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f t="shared" si="29"/>
        <v>-7.8094999999999999</v>
      </c>
      <c r="AU634">
        <f t="shared" si="27"/>
        <v>12.853333333333333</v>
      </c>
      <c r="AV634">
        <f t="shared" si="28"/>
        <v>744.22200000000009</v>
      </c>
      <c r="AW634">
        <v>97</v>
      </c>
      <c r="AX634">
        <v>1181</v>
      </c>
      <c r="BB634" t="s">
        <v>288</v>
      </c>
      <c r="BC634" t="s">
        <v>60</v>
      </c>
    </row>
    <row r="635" spans="3:55" x14ac:dyDescent="0.45">
      <c r="C635">
        <v>57.69</v>
      </c>
      <c r="D635">
        <v>10.89</v>
      </c>
      <c r="E635">
        <v>1.1499999999999999</v>
      </c>
      <c r="F635">
        <v>0</v>
      </c>
      <c r="G635">
        <v>0</v>
      </c>
      <c r="H635">
        <v>0</v>
      </c>
      <c r="I635">
        <v>0</v>
      </c>
      <c r="J635">
        <v>30.270000000000003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f t="shared" si="29"/>
        <v>-10.1195</v>
      </c>
      <c r="AU635">
        <f t="shared" si="27"/>
        <v>15.935000000000002</v>
      </c>
      <c r="AV635">
        <f t="shared" si="28"/>
        <v>682.43599999999992</v>
      </c>
      <c r="AW635">
        <v>72</v>
      </c>
      <c r="AX635">
        <v>740</v>
      </c>
      <c r="BB635" t="s">
        <v>289</v>
      </c>
      <c r="BC635" t="s">
        <v>60</v>
      </c>
    </row>
    <row r="636" spans="3:55" x14ac:dyDescent="0.45">
      <c r="C636">
        <v>56.220000000000006</v>
      </c>
      <c r="D636">
        <v>10.84</v>
      </c>
      <c r="E636">
        <v>3.45</v>
      </c>
      <c r="F636">
        <v>0</v>
      </c>
      <c r="G636">
        <v>0</v>
      </c>
      <c r="H636">
        <v>0</v>
      </c>
      <c r="I636">
        <v>0</v>
      </c>
      <c r="J636">
        <v>29.5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f t="shared" si="29"/>
        <v>-8.5284999999999993</v>
      </c>
      <c r="AU636">
        <f t="shared" si="27"/>
        <v>15.756666666666668</v>
      </c>
      <c r="AV636">
        <f t="shared" si="28"/>
        <v>660.50399999999991</v>
      </c>
      <c r="AW636">
        <v>68</v>
      </c>
      <c r="AX636">
        <v>690</v>
      </c>
      <c r="BB636" t="s">
        <v>290</v>
      </c>
      <c r="BC636" t="s">
        <v>60</v>
      </c>
    </row>
    <row r="637" spans="3:55" x14ac:dyDescent="0.45">
      <c r="C637">
        <v>54.76</v>
      </c>
      <c r="D637">
        <v>10.79</v>
      </c>
      <c r="E637">
        <v>5.72</v>
      </c>
      <c r="F637">
        <v>0</v>
      </c>
      <c r="G637">
        <v>0</v>
      </c>
      <c r="H637">
        <v>0</v>
      </c>
      <c r="I637">
        <v>0</v>
      </c>
      <c r="J637">
        <v>28.73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f t="shared" si="29"/>
        <v>-6.9575999999999993</v>
      </c>
      <c r="AU637">
        <f t="shared" si="27"/>
        <v>15.578333333333333</v>
      </c>
      <c r="AV637">
        <f t="shared" si="28"/>
        <v>638.92600000000004</v>
      </c>
      <c r="AW637">
        <v>73</v>
      </c>
      <c r="AX637">
        <v>955</v>
      </c>
      <c r="BC637" t="s">
        <v>60</v>
      </c>
    </row>
    <row r="638" spans="3:55" x14ac:dyDescent="0.45">
      <c r="C638">
        <v>53.31</v>
      </c>
      <c r="D638">
        <v>10.75</v>
      </c>
      <c r="E638">
        <v>7.9699999999999989</v>
      </c>
      <c r="F638">
        <v>0</v>
      </c>
      <c r="G638">
        <v>0</v>
      </c>
      <c r="H638">
        <v>0</v>
      </c>
      <c r="I638">
        <v>0</v>
      </c>
      <c r="J638">
        <v>27.97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f t="shared" si="29"/>
        <v>-5.4101000000000008</v>
      </c>
      <c r="AU638">
        <f t="shared" si="27"/>
        <v>15.411666666666665</v>
      </c>
      <c r="AV638">
        <f t="shared" si="28"/>
        <v>617.53600000000006</v>
      </c>
      <c r="AW638">
        <v>81</v>
      </c>
      <c r="AX638">
        <v>1065</v>
      </c>
      <c r="BB638" t="s">
        <v>252</v>
      </c>
      <c r="BC638" t="s">
        <v>60</v>
      </c>
    </row>
    <row r="639" spans="3:55" x14ac:dyDescent="0.45">
      <c r="C639">
        <v>89.02</v>
      </c>
      <c r="D639">
        <v>5.07</v>
      </c>
      <c r="E639">
        <v>2.96</v>
      </c>
      <c r="F639">
        <v>0</v>
      </c>
      <c r="G639">
        <v>0</v>
      </c>
      <c r="H639">
        <v>0</v>
      </c>
      <c r="I639">
        <v>0</v>
      </c>
      <c r="J639">
        <v>2.95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700</v>
      </c>
      <c r="AD639">
        <v>1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f t="shared" si="29"/>
        <v>-3.0868000000000002</v>
      </c>
      <c r="AU639">
        <f t="shared" si="27"/>
        <v>5.5616666666666674</v>
      </c>
      <c r="AV639">
        <f t="shared" si="28"/>
        <v>837.36400000000003</v>
      </c>
      <c r="AX639">
        <v>832.57899999999995</v>
      </c>
      <c r="AY639">
        <v>904.97699999999998</v>
      </c>
      <c r="AZ639">
        <v>17.3749</v>
      </c>
      <c r="BB639" t="s">
        <v>252</v>
      </c>
      <c r="BC639" t="s">
        <v>108</v>
      </c>
    </row>
    <row r="640" spans="3:55" x14ac:dyDescent="0.45">
      <c r="C640">
        <v>89.02</v>
      </c>
      <c r="D640">
        <v>5.07</v>
      </c>
      <c r="E640">
        <v>2.96</v>
      </c>
      <c r="F640">
        <v>0</v>
      </c>
      <c r="G640">
        <v>0</v>
      </c>
      <c r="H640">
        <v>0</v>
      </c>
      <c r="I640">
        <v>0</v>
      </c>
      <c r="J640">
        <v>2.95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750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f t="shared" si="29"/>
        <v>-3.0868000000000002</v>
      </c>
      <c r="AU640">
        <f t="shared" si="27"/>
        <v>5.5616666666666674</v>
      </c>
      <c r="AV640">
        <f t="shared" si="28"/>
        <v>837.36400000000003</v>
      </c>
      <c r="AX640">
        <v>744.34400000000005</v>
      </c>
      <c r="AY640">
        <v>839.36699999999996</v>
      </c>
      <c r="AZ640">
        <v>18.279499999999999</v>
      </c>
      <c r="BB640" t="s">
        <v>252</v>
      </c>
      <c r="BC640" t="s">
        <v>108</v>
      </c>
    </row>
    <row r="641" spans="3:55" x14ac:dyDescent="0.45">
      <c r="C641">
        <v>89.02</v>
      </c>
      <c r="D641">
        <v>5.07</v>
      </c>
      <c r="E641">
        <v>2.96</v>
      </c>
      <c r="F641">
        <v>0</v>
      </c>
      <c r="G641">
        <v>0</v>
      </c>
      <c r="H641">
        <v>0</v>
      </c>
      <c r="I641">
        <v>0</v>
      </c>
      <c r="J641">
        <v>2.95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800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f t="shared" si="29"/>
        <v>-3.0868000000000002</v>
      </c>
      <c r="AU641">
        <f t="shared" si="27"/>
        <v>5.5616666666666674</v>
      </c>
      <c r="AV641">
        <f t="shared" si="28"/>
        <v>837.36400000000003</v>
      </c>
      <c r="AX641">
        <v>721.71900000000005</v>
      </c>
      <c r="AY641">
        <v>823.529</v>
      </c>
      <c r="AZ641">
        <v>18.341200000000001</v>
      </c>
      <c r="BB641" t="s">
        <v>291</v>
      </c>
      <c r="BC641" t="s">
        <v>108</v>
      </c>
    </row>
    <row r="642" spans="3:55" x14ac:dyDescent="0.45">
      <c r="C642">
        <v>89.02</v>
      </c>
      <c r="D642">
        <v>5.07</v>
      </c>
      <c r="E642">
        <v>2.96</v>
      </c>
      <c r="F642">
        <v>0</v>
      </c>
      <c r="G642">
        <v>0</v>
      </c>
      <c r="H642">
        <v>0</v>
      </c>
      <c r="I642">
        <v>0</v>
      </c>
      <c r="J642">
        <v>2.95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900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f t="shared" si="29"/>
        <v>-3.0868000000000002</v>
      </c>
      <c r="AU642">
        <f t="shared" ref="AU642:AU705" si="30">D642+J642/6+M642/3+(T642+S642)/10</f>
        <v>5.5616666666666674</v>
      </c>
      <c r="AV642">
        <f t="shared" ref="AV642:AV705" si="31">882+2.1*D642-9.5*L642+4.2*M642-6.9*J642-11.8*E642-12.1*F642-15.4*H642+23.3*Q642+123*T642</f>
        <v>837.36400000000003</v>
      </c>
      <c r="AX642">
        <v>721.71900000000005</v>
      </c>
      <c r="AY642">
        <v>841.62900000000002</v>
      </c>
      <c r="AZ642">
        <v>18.224599999999999</v>
      </c>
      <c r="BB642" t="s">
        <v>292</v>
      </c>
      <c r="BC642" t="s">
        <v>108</v>
      </c>
    </row>
    <row r="643" spans="3:55" x14ac:dyDescent="0.45">
      <c r="C643">
        <v>89.02</v>
      </c>
      <c r="D643">
        <v>5.07</v>
      </c>
      <c r="E643">
        <v>2.96</v>
      </c>
      <c r="F643">
        <v>0</v>
      </c>
      <c r="G643">
        <v>0</v>
      </c>
      <c r="H643">
        <v>0</v>
      </c>
      <c r="I643">
        <v>0</v>
      </c>
      <c r="J643">
        <v>2.95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950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f t="shared" ref="AT643:AT706" si="32">L643+0.67*E643+0.44*P643+0.28*K643+0.22*O643+2.9*H643+1.6*F643+1.7*G643-D643</f>
        <v>-3.0868000000000002</v>
      </c>
      <c r="AU643">
        <f t="shared" si="30"/>
        <v>5.5616666666666674</v>
      </c>
      <c r="AV643">
        <f t="shared" si="31"/>
        <v>837.36400000000003</v>
      </c>
      <c r="AX643">
        <v>676.471</v>
      </c>
      <c r="AY643">
        <v>837.10400000000004</v>
      </c>
      <c r="AZ643">
        <v>14.2483</v>
      </c>
      <c r="BB643" t="s">
        <v>293</v>
      </c>
      <c r="BC643" t="s">
        <v>108</v>
      </c>
    </row>
    <row r="644" spans="3:55" x14ac:dyDescent="0.45">
      <c r="C644">
        <v>64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30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1000</v>
      </c>
      <c r="X644">
        <v>70</v>
      </c>
      <c r="Y644">
        <v>0</v>
      </c>
      <c r="Z644">
        <v>1</v>
      </c>
      <c r="AA644">
        <v>0</v>
      </c>
      <c r="AB644">
        <v>0</v>
      </c>
      <c r="AC644">
        <v>850</v>
      </c>
      <c r="AD644">
        <v>1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f t="shared" si="32"/>
        <v>4</v>
      </c>
      <c r="AU644">
        <f t="shared" si="30"/>
        <v>6</v>
      </c>
      <c r="AV644">
        <f t="shared" si="31"/>
        <v>629.6</v>
      </c>
      <c r="AY644">
        <v>762</v>
      </c>
      <c r="AZ644">
        <v>18.32</v>
      </c>
      <c r="BB644" t="s">
        <v>294</v>
      </c>
      <c r="BC644" t="s">
        <v>150</v>
      </c>
    </row>
    <row r="645" spans="3:55" x14ac:dyDescent="0.45">
      <c r="C645">
        <v>62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30</v>
      </c>
      <c r="K645">
        <v>0</v>
      </c>
      <c r="L645">
        <v>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1000</v>
      </c>
      <c r="X645">
        <v>70</v>
      </c>
      <c r="Y645">
        <v>0</v>
      </c>
      <c r="Z645">
        <v>1</v>
      </c>
      <c r="AA645">
        <v>0</v>
      </c>
      <c r="AB645">
        <v>0</v>
      </c>
      <c r="AC645">
        <v>850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f t="shared" si="32"/>
        <v>4</v>
      </c>
      <c r="AU645">
        <f t="shared" si="30"/>
        <v>7</v>
      </c>
      <c r="AV645">
        <f t="shared" si="31"/>
        <v>622.20000000000005</v>
      </c>
      <c r="AY645">
        <v>723</v>
      </c>
      <c r="AZ645">
        <v>33.32</v>
      </c>
      <c r="BB645" t="s">
        <v>294</v>
      </c>
      <c r="BC645" t="s">
        <v>151</v>
      </c>
    </row>
    <row r="646" spans="3:55" x14ac:dyDescent="0.45">
      <c r="C646">
        <v>60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30</v>
      </c>
      <c r="K646">
        <v>0</v>
      </c>
      <c r="L646">
        <v>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1000</v>
      </c>
      <c r="X646">
        <v>70</v>
      </c>
      <c r="Y646">
        <v>0</v>
      </c>
      <c r="Z646">
        <v>1</v>
      </c>
      <c r="AA646">
        <v>0</v>
      </c>
      <c r="AB646">
        <v>0</v>
      </c>
      <c r="AC646">
        <v>850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f t="shared" si="32"/>
        <v>4</v>
      </c>
      <c r="AU646">
        <f t="shared" si="30"/>
        <v>8</v>
      </c>
      <c r="AV646">
        <f t="shared" si="31"/>
        <v>614.79999999999995</v>
      </c>
      <c r="AY646">
        <v>782</v>
      </c>
      <c r="AZ646">
        <v>18.850000000000001</v>
      </c>
      <c r="BB646" t="s">
        <v>294</v>
      </c>
      <c r="BC646" t="s">
        <v>152</v>
      </c>
    </row>
    <row r="647" spans="3:55" x14ac:dyDescent="0.45">
      <c r="C647">
        <v>88.05</v>
      </c>
      <c r="D647">
        <v>6.5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1.9</v>
      </c>
      <c r="K647">
        <v>0</v>
      </c>
      <c r="L647">
        <v>3.3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f t="shared" si="32"/>
        <v>-3.2</v>
      </c>
      <c r="AU647">
        <f t="shared" si="30"/>
        <v>6.8166666666666664</v>
      </c>
      <c r="AV647">
        <f t="shared" si="31"/>
        <v>851.18999999999994</v>
      </c>
      <c r="BB647" t="s">
        <v>294</v>
      </c>
      <c r="BC647" t="s">
        <v>154</v>
      </c>
    </row>
    <row r="648" spans="3:55" x14ac:dyDescent="0.45">
      <c r="C648">
        <v>88.05</v>
      </c>
      <c r="D648">
        <v>6.5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1.9</v>
      </c>
      <c r="K648">
        <v>0</v>
      </c>
      <c r="L648">
        <v>3.3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530</v>
      </c>
      <c r="AD648">
        <v>6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f t="shared" si="32"/>
        <v>-3.2</v>
      </c>
      <c r="AU648">
        <f t="shared" si="30"/>
        <v>6.8166666666666664</v>
      </c>
      <c r="AV648">
        <f t="shared" si="31"/>
        <v>851.18999999999994</v>
      </c>
      <c r="BB648" t="s">
        <v>294</v>
      </c>
      <c r="BC648" t="s">
        <v>154</v>
      </c>
    </row>
    <row r="649" spans="3:55" x14ac:dyDescent="0.45">
      <c r="C649">
        <v>88.05</v>
      </c>
      <c r="D649">
        <v>6.5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1.9</v>
      </c>
      <c r="K649">
        <v>0</v>
      </c>
      <c r="L649">
        <v>3.3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700</v>
      </c>
      <c r="AD649">
        <v>6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f t="shared" si="32"/>
        <v>-3.2</v>
      </c>
      <c r="AU649">
        <f t="shared" si="30"/>
        <v>6.8166666666666664</v>
      </c>
      <c r="AV649">
        <f t="shared" si="31"/>
        <v>851.18999999999994</v>
      </c>
      <c r="BB649" t="s">
        <v>295</v>
      </c>
      <c r="BC649" t="s">
        <v>154</v>
      </c>
    </row>
    <row r="650" spans="3:55" x14ac:dyDescent="0.45">
      <c r="C650">
        <v>88.05</v>
      </c>
      <c r="D650">
        <v>6.5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1.9</v>
      </c>
      <c r="K650">
        <v>0</v>
      </c>
      <c r="L650">
        <v>3.3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960</v>
      </c>
      <c r="AD650">
        <v>1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f t="shared" si="32"/>
        <v>-3.2</v>
      </c>
      <c r="AU650">
        <f t="shared" si="30"/>
        <v>6.8166666666666664</v>
      </c>
      <c r="AV650">
        <f t="shared" si="31"/>
        <v>851.18999999999994</v>
      </c>
      <c r="BB650" t="s">
        <v>296</v>
      </c>
      <c r="BC650" t="s">
        <v>154</v>
      </c>
    </row>
    <row r="651" spans="3:55" x14ac:dyDescent="0.45">
      <c r="C651">
        <v>88.05</v>
      </c>
      <c r="D651">
        <v>6.5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1.9</v>
      </c>
      <c r="K651">
        <v>0</v>
      </c>
      <c r="L651">
        <v>3.3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960</v>
      </c>
      <c r="AD651">
        <v>1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f t="shared" si="32"/>
        <v>-3.2</v>
      </c>
      <c r="AU651">
        <f t="shared" si="30"/>
        <v>6.8166666666666664</v>
      </c>
      <c r="AV651">
        <f t="shared" si="31"/>
        <v>851.18999999999994</v>
      </c>
      <c r="BB651" t="s">
        <v>297</v>
      </c>
      <c r="BC651" t="s">
        <v>154</v>
      </c>
    </row>
    <row r="652" spans="3:55" x14ac:dyDescent="0.45">
      <c r="C652">
        <v>88.05</v>
      </c>
      <c r="D652">
        <v>6.5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1.9</v>
      </c>
      <c r="K652">
        <v>0</v>
      </c>
      <c r="L652">
        <v>3.3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960</v>
      </c>
      <c r="AD652">
        <v>24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f t="shared" si="32"/>
        <v>-3.2</v>
      </c>
      <c r="AU652">
        <f t="shared" si="30"/>
        <v>6.8166666666666664</v>
      </c>
      <c r="AV652">
        <f t="shared" si="31"/>
        <v>851.18999999999994</v>
      </c>
      <c r="BB652" t="s">
        <v>298</v>
      </c>
      <c r="BC652" t="s">
        <v>154</v>
      </c>
    </row>
    <row r="653" spans="3:55" x14ac:dyDescent="0.45">
      <c r="C653">
        <v>88.2</v>
      </c>
      <c r="D653">
        <v>6.5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1.5</v>
      </c>
      <c r="K653">
        <v>0</v>
      </c>
      <c r="L653">
        <v>3.5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940</v>
      </c>
      <c r="AD653">
        <v>1</v>
      </c>
      <c r="AE653">
        <v>0</v>
      </c>
      <c r="AF653">
        <v>1</v>
      </c>
      <c r="AG653">
        <v>0</v>
      </c>
      <c r="AH653">
        <v>530</v>
      </c>
      <c r="AI653">
        <v>6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f t="shared" si="32"/>
        <v>-3</v>
      </c>
      <c r="AU653">
        <f t="shared" si="30"/>
        <v>6.75</v>
      </c>
      <c r="AV653">
        <f t="shared" si="31"/>
        <v>852.05</v>
      </c>
      <c r="AZ653">
        <v>17.673300000000001</v>
      </c>
      <c r="BB653" t="s">
        <v>299</v>
      </c>
      <c r="BC653" t="s">
        <v>108</v>
      </c>
    </row>
    <row r="654" spans="3:55" x14ac:dyDescent="0.45">
      <c r="C654">
        <v>88.2</v>
      </c>
      <c r="D654">
        <v>6.5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1.5</v>
      </c>
      <c r="K654">
        <v>0</v>
      </c>
      <c r="L654">
        <v>3.5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940</v>
      </c>
      <c r="AD654">
        <v>1</v>
      </c>
      <c r="AE654">
        <v>1</v>
      </c>
      <c r="AF654">
        <v>0</v>
      </c>
      <c r="AG654">
        <v>0</v>
      </c>
      <c r="AH654">
        <v>530</v>
      </c>
      <c r="AI654">
        <v>6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f t="shared" si="32"/>
        <v>-3</v>
      </c>
      <c r="AU654">
        <f t="shared" si="30"/>
        <v>6.75</v>
      </c>
      <c r="AV654">
        <f t="shared" si="31"/>
        <v>852.05</v>
      </c>
      <c r="AZ654">
        <v>7.1818299999999997</v>
      </c>
      <c r="BB654" t="s">
        <v>300</v>
      </c>
      <c r="BC654" t="s">
        <v>108</v>
      </c>
    </row>
    <row r="655" spans="3:55" x14ac:dyDescent="0.45">
      <c r="C655">
        <v>88.2</v>
      </c>
      <c r="D655">
        <v>6.5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1.5</v>
      </c>
      <c r="K655">
        <v>0</v>
      </c>
      <c r="L655">
        <v>3.5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960</v>
      </c>
      <c r="AD655">
        <v>1</v>
      </c>
      <c r="AE655">
        <v>0</v>
      </c>
      <c r="AF655">
        <v>1</v>
      </c>
      <c r="AG655">
        <v>0</v>
      </c>
      <c r="AH655">
        <v>530</v>
      </c>
      <c r="AI655">
        <v>6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f t="shared" si="32"/>
        <v>-3</v>
      </c>
      <c r="AU655">
        <f t="shared" si="30"/>
        <v>6.75</v>
      </c>
      <c r="AV655">
        <f t="shared" si="31"/>
        <v>852.05</v>
      </c>
      <c r="AZ655">
        <v>15.350300000000001</v>
      </c>
      <c r="BC655" t="s">
        <v>108</v>
      </c>
    </row>
    <row r="656" spans="3:55" x14ac:dyDescent="0.45">
      <c r="C656">
        <v>88.2</v>
      </c>
      <c r="D656">
        <v>6.5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1.5</v>
      </c>
      <c r="K656">
        <v>0</v>
      </c>
      <c r="L656">
        <v>3.5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960</v>
      </c>
      <c r="AD656">
        <v>1</v>
      </c>
      <c r="AE656">
        <v>0</v>
      </c>
      <c r="AF656">
        <v>1</v>
      </c>
      <c r="AG656">
        <v>0</v>
      </c>
      <c r="AH656">
        <v>530</v>
      </c>
      <c r="AI656">
        <v>6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f t="shared" si="32"/>
        <v>-3</v>
      </c>
      <c r="AU656">
        <f t="shared" si="30"/>
        <v>6.75</v>
      </c>
      <c r="AV656">
        <f t="shared" si="31"/>
        <v>852.05</v>
      </c>
      <c r="AZ656">
        <v>15.9556</v>
      </c>
      <c r="BC656" t="s">
        <v>108</v>
      </c>
    </row>
    <row r="657" spans="3:55" x14ac:dyDescent="0.45">
      <c r="C657">
        <v>88.2</v>
      </c>
      <c r="D657">
        <v>6.5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1.5</v>
      </c>
      <c r="K657">
        <v>0</v>
      </c>
      <c r="L657">
        <v>3.5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960</v>
      </c>
      <c r="AD657">
        <v>1</v>
      </c>
      <c r="AE657">
        <v>1</v>
      </c>
      <c r="AF657">
        <v>0</v>
      </c>
      <c r="AG657">
        <v>0</v>
      </c>
      <c r="AH657">
        <v>530</v>
      </c>
      <c r="AI657">
        <v>6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f t="shared" si="32"/>
        <v>-3</v>
      </c>
      <c r="AU657">
        <f t="shared" si="30"/>
        <v>6.75</v>
      </c>
      <c r="AV657">
        <f t="shared" si="31"/>
        <v>852.05</v>
      </c>
      <c r="AZ657">
        <v>6.68804</v>
      </c>
      <c r="BC657" t="s">
        <v>108</v>
      </c>
    </row>
    <row r="658" spans="3:55" x14ac:dyDescent="0.45">
      <c r="C658">
        <v>88.2</v>
      </c>
      <c r="D658">
        <v>6.5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1.5</v>
      </c>
      <c r="K658">
        <v>0</v>
      </c>
      <c r="L658">
        <v>3.5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980</v>
      </c>
      <c r="AD658">
        <v>1</v>
      </c>
      <c r="AE658">
        <v>0</v>
      </c>
      <c r="AF658">
        <v>1</v>
      </c>
      <c r="AG658">
        <v>0</v>
      </c>
      <c r="AH658">
        <v>530</v>
      </c>
      <c r="AI658">
        <v>6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f t="shared" si="32"/>
        <v>-3</v>
      </c>
      <c r="AU658">
        <f t="shared" si="30"/>
        <v>6.75</v>
      </c>
      <c r="AV658">
        <f t="shared" si="31"/>
        <v>852.05</v>
      </c>
      <c r="AZ658">
        <v>15.8582</v>
      </c>
      <c r="BC658" t="s">
        <v>108</v>
      </c>
    </row>
    <row r="659" spans="3:55" x14ac:dyDescent="0.45">
      <c r="C659">
        <v>88.2</v>
      </c>
      <c r="D659">
        <v>6.5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1.5</v>
      </c>
      <c r="K659">
        <v>0</v>
      </c>
      <c r="L659">
        <v>3.5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960</v>
      </c>
      <c r="AD659">
        <v>1</v>
      </c>
      <c r="AE659">
        <v>0</v>
      </c>
      <c r="AF659">
        <v>1</v>
      </c>
      <c r="AG659">
        <v>0</v>
      </c>
      <c r="AH659">
        <v>530</v>
      </c>
      <c r="AI659">
        <v>1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f t="shared" si="32"/>
        <v>-3</v>
      </c>
      <c r="AU659">
        <f t="shared" si="30"/>
        <v>6.75</v>
      </c>
      <c r="AV659">
        <f t="shared" si="31"/>
        <v>852.05</v>
      </c>
      <c r="AZ659">
        <v>16.339600000000001</v>
      </c>
      <c r="BC659" t="s">
        <v>108</v>
      </c>
    </row>
    <row r="660" spans="3:55" x14ac:dyDescent="0.45">
      <c r="C660">
        <v>88.2</v>
      </c>
      <c r="D660">
        <v>6.5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1.5</v>
      </c>
      <c r="K660">
        <v>0</v>
      </c>
      <c r="L660">
        <v>3.5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960</v>
      </c>
      <c r="AD660">
        <v>1</v>
      </c>
      <c r="AE660">
        <v>0</v>
      </c>
      <c r="AF660">
        <v>1</v>
      </c>
      <c r="AG660">
        <v>0</v>
      </c>
      <c r="AH660">
        <v>530</v>
      </c>
      <c r="AI660">
        <v>2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f t="shared" si="32"/>
        <v>-3</v>
      </c>
      <c r="AU660">
        <f t="shared" si="30"/>
        <v>6.75</v>
      </c>
      <c r="AV660">
        <f t="shared" si="31"/>
        <v>852.05</v>
      </c>
      <c r="AZ660">
        <v>18.302</v>
      </c>
      <c r="BC660" t="s">
        <v>108</v>
      </c>
    </row>
    <row r="661" spans="3:55" x14ac:dyDescent="0.45">
      <c r="C661">
        <v>88.2</v>
      </c>
      <c r="D661">
        <v>6.5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1.5</v>
      </c>
      <c r="K661">
        <v>0</v>
      </c>
      <c r="L661">
        <v>3.5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960</v>
      </c>
      <c r="AD661">
        <v>1</v>
      </c>
      <c r="AE661">
        <v>0</v>
      </c>
      <c r="AF661">
        <v>1</v>
      </c>
      <c r="AG661">
        <v>0</v>
      </c>
      <c r="AH661">
        <v>530</v>
      </c>
      <c r="AI661">
        <v>4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f t="shared" si="32"/>
        <v>-3</v>
      </c>
      <c r="AU661">
        <f t="shared" si="30"/>
        <v>6.75</v>
      </c>
      <c r="AV661">
        <f t="shared" si="31"/>
        <v>852.05</v>
      </c>
      <c r="AZ661">
        <v>16.680900000000001</v>
      </c>
      <c r="BC661" t="s">
        <v>108</v>
      </c>
    </row>
    <row r="662" spans="3:55" x14ac:dyDescent="0.45">
      <c r="C662">
        <v>88.2</v>
      </c>
      <c r="D662">
        <v>6.5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1.5</v>
      </c>
      <c r="K662">
        <v>0</v>
      </c>
      <c r="L662">
        <v>3.5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960</v>
      </c>
      <c r="AD662">
        <v>1</v>
      </c>
      <c r="AE662">
        <v>0</v>
      </c>
      <c r="AF662">
        <v>1</v>
      </c>
      <c r="AG662">
        <v>0</v>
      </c>
      <c r="AH662">
        <v>530</v>
      </c>
      <c r="AI662">
        <v>12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f t="shared" si="32"/>
        <v>-3</v>
      </c>
      <c r="AU662">
        <f t="shared" si="30"/>
        <v>6.75</v>
      </c>
      <c r="AV662">
        <f t="shared" si="31"/>
        <v>852.05</v>
      </c>
      <c r="AZ662">
        <v>15.4863</v>
      </c>
      <c r="BC662" t="s">
        <v>108</v>
      </c>
    </row>
    <row r="663" spans="3:55" x14ac:dyDescent="0.45">
      <c r="C663">
        <v>88.2</v>
      </c>
      <c r="D663">
        <v>6.5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1.5</v>
      </c>
      <c r="K663">
        <v>0</v>
      </c>
      <c r="L663">
        <v>3.5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960</v>
      </c>
      <c r="AD663">
        <v>1</v>
      </c>
      <c r="AE663">
        <v>0</v>
      </c>
      <c r="AF663">
        <v>1</v>
      </c>
      <c r="AG663">
        <v>0</v>
      </c>
      <c r="AH663">
        <v>530</v>
      </c>
      <c r="AI663">
        <v>24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f t="shared" si="32"/>
        <v>-3</v>
      </c>
      <c r="AU663">
        <f t="shared" si="30"/>
        <v>6.75</v>
      </c>
      <c r="AV663">
        <f t="shared" si="31"/>
        <v>852.05</v>
      </c>
      <c r="AZ663">
        <v>16.382300000000001</v>
      </c>
      <c r="BC663" t="s">
        <v>108</v>
      </c>
    </row>
    <row r="664" spans="3:55" x14ac:dyDescent="0.45">
      <c r="C664">
        <v>88.2</v>
      </c>
      <c r="D664">
        <v>6.5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1.5</v>
      </c>
      <c r="K664">
        <v>0</v>
      </c>
      <c r="L664">
        <v>3.5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980</v>
      </c>
      <c r="AD664">
        <v>1</v>
      </c>
      <c r="AE664">
        <v>1</v>
      </c>
      <c r="AF664">
        <v>0</v>
      </c>
      <c r="AG664">
        <v>0</v>
      </c>
      <c r="AH664">
        <v>700</v>
      </c>
      <c r="AI664">
        <v>6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f t="shared" si="32"/>
        <v>-3</v>
      </c>
      <c r="AU664">
        <f t="shared" si="30"/>
        <v>6.75</v>
      </c>
      <c r="AV664">
        <f t="shared" si="31"/>
        <v>852.05</v>
      </c>
      <c r="AX664">
        <v>1046</v>
      </c>
      <c r="AY664">
        <v>1217</v>
      </c>
      <c r="AZ664">
        <v>10.656499999999999</v>
      </c>
      <c r="BC664" t="s">
        <v>108</v>
      </c>
    </row>
    <row r="665" spans="3:55" x14ac:dyDescent="0.45">
      <c r="C665">
        <v>88.2</v>
      </c>
      <c r="D665">
        <v>6.5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1.5</v>
      </c>
      <c r="K665">
        <v>0</v>
      </c>
      <c r="L665">
        <v>3.5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980</v>
      </c>
      <c r="AD665">
        <v>1</v>
      </c>
      <c r="AE665">
        <v>1</v>
      </c>
      <c r="AF665">
        <v>0</v>
      </c>
      <c r="AG665">
        <v>0</v>
      </c>
      <c r="AH665">
        <v>750</v>
      </c>
      <c r="AI665">
        <v>6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f t="shared" si="32"/>
        <v>-3</v>
      </c>
      <c r="AU665">
        <f t="shared" si="30"/>
        <v>6.75</v>
      </c>
      <c r="AV665">
        <f t="shared" si="31"/>
        <v>852.05</v>
      </c>
      <c r="AX665">
        <v>1034</v>
      </c>
      <c r="AY665">
        <v>1095</v>
      </c>
      <c r="AZ665">
        <v>13.5304</v>
      </c>
      <c r="BB665" t="s">
        <v>301</v>
      </c>
      <c r="BC665" t="s">
        <v>108</v>
      </c>
    </row>
    <row r="666" spans="3:55" x14ac:dyDescent="0.45">
      <c r="C666">
        <v>88.2</v>
      </c>
      <c r="D666">
        <v>6.5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1.5</v>
      </c>
      <c r="K666">
        <v>0</v>
      </c>
      <c r="L666">
        <v>3.5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980</v>
      </c>
      <c r="AD666">
        <v>1</v>
      </c>
      <c r="AE666">
        <v>1</v>
      </c>
      <c r="AF666">
        <v>0</v>
      </c>
      <c r="AG666">
        <v>0</v>
      </c>
      <c r="AH666">
        <v>800</v>
      </c>
      <c r="AI666">
        <v>6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f t="shared" si="32"/>
        <v>-3</v>
      </c>
      <c r="AU666">
        <f t="shared" si="30"/>
        <v>6.75</v>
      </c>
      <c r="AV666">
        <f t="shared" si="31"/>
        <v>852.05</v>
      </c>
      <c r="AX666">
        <v>937</v>
      </c>
      <c r="AY666">
        <v>1008</v>
      </c>
      <c r="AZ666">
        <v>15.642200000000001</v>
      </c>
      <c r="BB666" t="s">
        <v>302</v>
      </c>
      <c r="BC666" t="s">
        <v>108</v>
      </c>
    </row>
    <row r="667" spans="3:55" x14ac:dyDescent="0.45">
      <c r="C667">
        <v>88.2</v>
      </c>
      <c r="D667">
        <v>6.5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1.5</v>
      </c>
      <c r="K667">
        <v>0</v>
      </c>
      <c r="L667">
        <v>3.5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990</v>
      </c>
      <c r="AD667">
        <v>1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f t="shared" si="32"/>
        <v>-3</v>
      </c>
      <c r="AU667">
        <f t="shared" si="30"/>
        <v>6.75</v>
      </c>
      <c r="AV667">
        <f t="shared" si="31"/>
        <v>852.05</v>
      </c>
      <c r="AZ667">
        <v>14.747299999999999</v>
      </c>
      <c r="BB667" t="s">
        <v>303</v>
      </c>
      <c r="BC667" t="s">
        <v>108</v>
      </c>
    </row>
    <row r="668" spans="3:55" x14ac:dyDescent="0.45">
      <c r="C668">
        <v>88.2</v>
      </c>
      <c r="D668">
        <v>6.5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1.5</v>
      </c>
      <c r="K668">
        <v>0</v>
      </c>
      <c r="L668">
        <v>3.5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990</v>
      </c>
      <c r="AD668">
        <v>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f t="shared" si="32"/>
        <v>-3</v>
      </c>
      <c r="AU668">
        <f t="shared" si="30"/>
        <v>6.75</v>
      </c>
      <c r="AV668">
        <f t="shared" si="31"/>
        <v>852.05</v>
      </c>
      <c r="AZ668">
        <v>16.362400000000001</v>
      </c>
      <c r="BC668" t="s">
        <v>108</v>
      </c>
    </row>
    <row r="669" spans="3:55" x14ac:dyDescent="0.45">
      <c r="C669">
        <v>88.2</v>
      </c>
      <c r="D669">
        <v>6.5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1.5</v>
      </c>
      <c r="K669">
        <v>0</v>
      </c>
      <c r="L669">
        <v>3.5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990</v>
      </c>
      <c r="AD669">
        <v>1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f t="shared" si="32"/>
        <v>-3</v>
      </c>
      <c r="AU669">
        <f t="shared" si="30"/>
        <v>6.75</v>
      </c>
      <c r="AV669">
        <f t="shared" si="31"/>
        <v>852.05</v>
      </c>
      <c r="AZ669">
        <v>17.0229</v>
      </c>
      <c r="BC669" t="s">
        <v>108</v>
      </c>
    </row>
    <row r="670" spans="3:55" x14ac:dyDescent="0.45">
      <c r="C670">
        <v>88.2</v>
      </c>
      <c r="D670">
        <v>6.5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1.5</v>
      </c>
      <c r="K670">
        <v>0</v>
      </c>
      <c r="L670">
        <v>3.5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970</v>
      </c>
      <c r="AD670">
        <v>1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f t="shared" si="32"/>
        <v>-3</v>
      </c>
      <c r="AU670">
        <f t="shared" si="30"/>
        <v>6.75</v>
      </c>
      <c r="AV670">
        <f t="shared" si="31"/>
        <v>852.05</v>
      </c>
      <c r="AZ670">
        <v>15.694800000000001</v>
      </c>
      <c r="BC670" t="s">
        <v>108</v>
      </c>
    </row>
    <row r="671" spans="3:55" x14ac:dyDescent="0.45">
      <c r="C671">
        <v>88.2</v>
      </c>
      <c r="D671">
        <v>6.5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1.5</v>
      </c>
      <c r="K671">
        <v>0</v>
      </c>
      <c r="L671">
        <v>3.5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970</v>
      </c>
      <c r="AD671">
        <v>1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f t="shared" si="32"/>
        <v>-3</v>
      </c>
      <c r="AU671">
        <f t="shared" si="30"/>
        <v>6.75</v>
      </c>
      <c r="AV671">
        <f t="shared" si="31"/>
        <v>852.05</v>
      </c>
      <c r="AZ671">
        <v>16.764399999999998</v>
      </c>
      <c r="BC671" t="s">
        <v>108</v>
      </c>
    </row>
    <row r="672" spans="3:55" x14ac:dyDescent="0.45">
      <c r="C672">
        <v>88.2</v>
      </c>
      <c r="D672">
        <v>6.5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1.5</v>
      </c>
      <c r="K672">
        <v>0</v>
      </c>
      <c r="L672">
        <v>3.5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970</v>
      </c>
      <c r="AD672">
        <v>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f t="shared" si="32"/>
        <v>-3</v>
      </c>
      <c r="AU672">
        <f t="shared" si="30"/>
        <v>6.75</v>
      </c>
      <c r="AV672">
        <f t="shared" si="31"/>
        <v>852.05</v>
      </c>
      <c r="AZ672">
        <v>17.355399999999999</v>
      </c>
      <c r="BC672" t="s">
        <v>108</v>
      </c>
    </row>
    <row r="673" spans="3:55" x14ac:dyDescent="0.45">
      <c r="C673">
        <v>88.055000000000007</v>
      </c>
      <c r="D673">
        <v>5.87</v>
      </c>
      <c r="E673">
        <v>4.7699999999999996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0.56000000000000005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700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f t="shared" si="32"/>
        <v>-2.5173000000000001</v>
      </c>
      <c r="AU673">
        <f t="shared" si="30"/>
        <v>5.87</v>
      </c>
      <c r="AV673">
        <f t="shared" si="31"/>
        <v>838.04099999999994</v>
      </c>
      <c r="BC673" t="s">
        <v>155</v>
      </c>
    </row>
    <row r="674" spans="3:55" x14ac:dyDescent="0.45">
      <c r="C674">
        <v>88.055000000000007</v>
      </c>
      <c r="D674">
        <v>5.87</v>
      </c>
      <c r="E674">
        <v>4.7699999999999996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0.56000000000000005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800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f t="shared" si="32"/>
        <v>-2.5173000000000001</v>
      </c>
      <c r="AU674">
        <f t="shared" si="30"/>
        <v>5.87</v>
      </c>
      <c r="AV674">
        <f t="shared" si="31"/>
        <v>838.04099999999994</v>
      </c>
      <c r="BC674" t="s">
        <v>155</v>
      </c>
    </row>
    <row r="675" spans="3:55" x14ac:dyDescent="0.45">
      <c r="C675">
        <v>88.055000000000007</v>
      </c>
      <c r="D675">
        <v>5.87</v>
      </c>
      <c r="E675">
        <v>4.7699999999999996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0.56000000000000005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900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f t="shared" si="32"/>
        <v>-2.5173000000000001</v>
      </c>
      <c r="AU675">
        <f t="shared" si="30"/>
        <v>5.87</v>
      </c>
      <c r="AV675">
        <f t="shared" si="31"/>
        <v>838.04099999999994</v>
      </c>
      <c r="BC675" t="s">
        <v>155</v>
      </c>
    </row>
    <row r="676" spans="3:55" x14ac:dyDescent="0.45">
      <c r="C676">
        <v>88.055000000000007</v>
      </c>
      <c r="D676">
        <v>5.87</v>
      </c>
      <c r="E676">
        <v>4.7699999999999996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0.56000000000000005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1000</v>
      </c>
      <c r="AD676">
        <v>1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f t="shared" si="32"/>
        <v>-2.5173000000000001</v>
      </c>
      <c r="AU676">
        <f t="shared" si="30"/>
        <v>5.87</v>
      </c>
      <c r="AV676">
        <f t="shared" si="31"/>
        <v>838.04099999999994</v>
      </c>
      <c r="BC676" t="s">
        <v>155</v>
      </c>
    </row>
    <row r="677" spans="3:55" x14ac:dyDescent="0.45">
      <c r="C677">
        <v>86.19</v>
      </c>
      <c r="D677">
        <v>4.7</v>
      </c>
      <c r="E677">
        <v>0</v>
      </c>
      <c r="F677">
        <v>2.85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6.26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890</v>
      </c>
      <c r="AD677">
        <v>0.5</v>
      </c>
      <c r="AE677">
        <v>1</v>
      </c>
      <c r="AF677">
        <v>0</v>
      </c>
      <c r="AG677">
        <v>0</v>
      </c>
      <c r="AH677">
        <v>760</v>
      </c>
      <c r="AI677">
        <v>0.5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f t="shared" si="32"/>
        <v>6.12</v>
      </c>
      <c r="AU677">
        <f t="shared" si="30"/>
        <v>4.7</v>
      </c>
      <c r="AV677">
        <f t="shared" si="31"/>
        <v>797.91499999999996</v>
      </c>
      <c r="AX677">
        <v>370.3</v>
      </c>
      <c r="AY677">
        <v>993.4</v>
      </c>
      <c r="AZ677">
        <v>21.8</v>
      </c>
      <c r="BC677" t="s">
        <v>91</v>
      </c>
    </row>
    <row r="678" spans="3:55" x14ac:dyDescent="0.45">
      <c r="C678">
        <v>86.19</v>
      </c>
      <c r="D678">
        <v>4.7</v>
      </c>
      <c r="E678">
        <v>0</v>
      </c>
      <c r="F678">
        <v>2.85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6.26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890</v>
      </c>
      <c r="AD678">
        <v>0.5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f t="shared" si="32"/>
        <v>6.12</v>
      </c>
      <c r="AU678">
        <f t="shared" si="30"/>
        <v>4.7</v>
      </c>
      <c r="AV678">
        <f t="shared" si="31"/>
        <v>797.91499999999996</v>
      </c>
      <c r="AX678">
        <v>343</v>
      </c>
      <c r="AY678">
        <v>1145.4000000000001</v>
      </c>
      <c r="AZ678">
        <v>20.5</v>
      </c>
      <c r="BC678" t="s">
        <v>157</v>
      </c>
    </row>
    <row r="679" spans="3:55" x14ac:dyDescent="0.45">
      <c r="C679">
        <v>86.19</v>
      </c>
      <c r="D679">
        <v>4.7</v>
      </c>
      <c r="E679">
        <v>0</v>
      </c>
      <c r="F679">
        <v>2.85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6.26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780</v>
      </c>
      <c r="AD679">
        <v>0.5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f t="shared" si="32"/>
        <v>6.12</v>
      </c>
      <c r="AU679">
        <f t="shared" si="30"/>
        <v>4.7</v>
      </c>
      <c r="AV679">
        <f t="shared" si="31"/>
        <v>797.91499999999996</v>
      </c>
      <c r="AX679">
        <v>937</v>
      </c>
      <c r="AY679">
        <v>1085.7</v>
      </c>
      <c r="AZ679">
        <v>19.5</v>
      </c>
      <c r="BC679" t="s">
        <v>157</v>
      </c>
    </row>
    <row r="680" spans="3:55" x14ac:dyDescent="0.45">
      <c r="C680">
        <v>74.63</v>
      </c>
      <c r="D680">
        <v>0</v>
      </c>
      <c r="E680">
        <v>0</v>
      </c>
      <c r="F680">
        <v>2.15</v>
      </c>
      <c r="G680">
        <v>0</v>
      </c>
      <c r="H680">
        <v>7.0000000000000009</v>
      </c>
      <c r="I680">
        <v>0</v>
      </c>
      <c r="J680">
        <v>0</v>
      </c>
      <c r="K680">
        <v>16.220000000000002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f t="shared" si="32"/>
        <v>28.281600000000001</v>
      </c>
      <c r="AU680">
        <f t="shared" si="30"/>
        <v>0</v>
      </c>
      <c r="AV680">
        <f t="shared" si="31"/>
        <v>748.18499999999995</v>
      </c>
      <c r="AW680">
        <v>99</v>
      </c>
      <c r="AX680">
        <v>1097</v>
      </c>
      <c r="BC680" t="s">
        <v>60</v>
      </c>
    </row>
    <row r="681" spans="3:55" x14ac:dyDescent="0.45">
      <c r="C681">
        <v>72.44</v>
      </c>
      <c r="D681">
        <v>0</v>
      </c>
      <c r="E681">
        <v>0</v>
      </c>
      <c r="F681">
        <v>4.3</v>
      </c>
      <c r="G681">
        <v>0</v>
      </c>
      <c r="H681">
        <v>7.01</v>
      </c>
      <c r="I681">
        <v>0</v>
      </c>
      <c r="J681">
        <v>0</v>
      </c>
      <c r="K681">
        <v>16.25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f t="shared" si="32"/>
        <v>31.758999999999997</v>
      </c>
      <c r="AU681">
        <f t="shared" si="30"/>
        <v>0</v>
      </c>
      <c r="AV681">
        <f t="shared" si="31"/>
        <v>722.01600000000008</v>
      </c>
      <c r="AW681">
        <v>81</v>
      </c>
      <c r="AX681">
        <v>947</v>
      </c>
      <c r="BC681" t="s">
        <v>60</v>
      </c>
    </row>
    <row r="682" spans="3:55" x14ac:dyDescent="0.45">
      <c r="C682">
        <v>70.23</v>
      </c>
      <c r="D682">
        <v>0</v>
      </c>
      <c r="E682">
        <v>0</v>
      </c>
      <c r="F682">
        <v>6.47</v>
      </c>
      <c r="G682">
        <v>0</v>
      </c>
      <c r="H682">
        <v>7.02</v>
      </c>
      <c r="I682">
        <v>0</v>
      </c>
      <c r="J682">
        <v>0</v>
      </c>
      <c r="K682">
        <v>16.28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f t="shared" si="32"/>
        <v>35.2684</v>
      </c>
      <c r="AU682">
        <f t="shared" si="30"/>
        <v>0</v>
      </c>
      <c r="AV682">
        <f t="shared" si="31"/>
        <v>695.60500000000002</v>
      </c>
      <c r="AW682">
        <v>77</v>
      </c>
      <c r="AX682">
        <v>922</v>
      </c>
      <c r="BC682" t="s">
        <v>60</v>
      </c>
    </row>
    <row r="683" spans="3:55" x14ac:dyDescent="0.45">
      <c r="C683">
        <v>68.010000000000005</v>
      </c>
      <c r="D683">
        <v>0</v>
      </c>
      <c r="E683">
        <v>0</v>
      </c>
      <c r="F683">
        <v>8.64</v>
      </c>
      <c r="G683">
        <v>0</v>
      </c>
      <c r="H683">
        <v>7.04</v>
      </c>
      <c r="I683">
        <v>0</v>
      </c>
      <c r="J683">
        <v>0</v>
      </c>
      <c r="K683">
        <v>16.309999999999999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f t="shared" si="32"/>
        <v>38.806800000000003</v>
      </c>
      <c r="AU683">
        <f t="shared" si="30"/>
        <v>0</v>
      </c>
      <c r="AV683">
        <f t="shared" si="31"/>
        <v>669.04</v>
      </c>
      <c r="AW683">
        <v>72</v>
      </c>
      <c r="AX683">
        <v>941</v>
      </c>
      <c r="BC683" t="s">
        <v>60</v>
      </c>
    </row>
    <row r="684" spans="3:55" x14ac:dyDescent="0.45">
      <c r="C684">
        <v>79.099999999999994</v>
      </c>
      <c r="D684">
        <v>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2.7</v>
      </c>
      <c r="L684">
        <v>15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850</v>
      </c>
      <c r="AD684">
        <v>0.58333333300000001</v>
      </c>
      <c r="AE684">
        <v>1</v>
      </c>
      <c r="AF684">
        <v>0</v>
      </c>
      <c r="AG684">
        <v>0</v>
      </c>
      <c r="AH684">
        <v>520</v>
      </c>
      <c r="AI684">
        <v>8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f t="shared" si="32"/>
        <v>12.756</v>
      </c>
      <c r="AU684">
        <f t="shared" si="30"/>
        <v>3</v>
      </c>
      <c r="AV684">
        <f t="shared" si="31"/>
        <v>745.8</v>
      </c>
      <c r="AX684">
        <v>1183.6400000000001</v>
      </c>
      <c r="AY684">
        <v>1307.3499999999999</v>
      </c>
      <c r="AZ684">
        <v>6.5414099999999999</v>
      </c>
      <c r="BC684" t="s">
        <v>108</v>
      </c>
    </row>
    <row r="685" spans="3:55" x14ac:dyDescent="0.45">
      <c r="C685">
        <v>79.099999999999994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2.7</v>
      </c>
      <c r="L685">
        <v>15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900</v>
      </c>
      <c r="AD685">
        <v>0.58333333300000001</v>
      </c>
      <c r="AE685">
        <v>1</v>
      </c>
      <c r="AF685">
        <v>0</v>
      </c>
      <c r="AG685">
        <v>0</v>
      </c>
      <c r="AH685">
        <v>520</v>
      </c>
      <c r="AI685">
        <v>8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f t="shared" si="32"/>
        <v>12.756</v>
      </c>
      <c r="AU685">
        <f t="shared" si="30"/>
        <v>3</v>
      </c>
      <c r="AV685">
        <f t="shared" si="31"/>
        <v>745.8</v>
      </c>
      <c r="AX685">
        <v>1216.29</v>
      </c>
      <c r="AY685">
        <v>1309.0899999999999</v>
      </c>
      <c r="AZ685">
        <v>6.0193000000000003</v>
      </c>
      <c r="BC685" t="s">
        <v>108</v>
      </c>
    </row>
    <row r="686" spans="3:55" x14ac:dyDescent="0.45">
      <c r="C686">
        <v>79.099999999999994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2.7</v>
      </c>
      <c r="L686">
        <v>15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950</v>
      </c>
      <c r="AD686">
        <v>0.58333333300000001</v>
      </c>
      <c r="AE686">
        <v>1</v>
      </c>
      <c r="AF686">
        <v>0</v>
      </c>
      <c r="AG686">
        <v>0</v>
      </c>
      <c r="AH686">
        <v>520</v>
      </c>
      <c r="AI686">
        <v>8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f t="shared" si="32"/>
        <v>12.756</v>
      </c>
      <c r="AU686">
        <f t="shared" si="30"/>
        <v>3</v>
      </c>
      <c r="AV686">
        <f t="shared" si="31"/>
        <v>745.8</v>
      </c>
      <c r="AX686">
        <v>1210.6099999999999</v>
      </c>
      <c r="AY686">
        <v>1303.3900000000001</v>
      </c>
      <c r="AZ686">
        <v>6.5129099999999998</v>
      </c>
      <c r="BC686" t="s">
        <v>108</v>
      </c>
    </row>
    <row r="687" spans="3:55" x14ac:dyDescent="0.45">
      <c r="C687">
        <v>79.099999999999994</v>
      </c>
      <c r="D687">
        <v>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2.7</v>
      </c>
      <c r="L687">
        <v>15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750</v>
      </c>
      <c r="AD687">
        <v>0.58333333300000001</v>
      </c>
      <c r="AE687">
        <v>1</v>
      </c>
      <c r="AF687">
        <v>0</v>
      </c>
      <c r="AG687">
        <v>0</v>
      </c>
      <c r="AH687">
        <v>420</v>
      </c>
      <c r="AI687">
        <v>8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f t="shared" si="32"/>
        <v>12.756</v>
      </c>
      <c r="AU687">
        <f t="shared" si="30"/>
        <v>3</v>
      </c>
      <c r="AV687">
        <f t="shared" si="31"/>
        <v>745.8</v>
      </c>
      <c r="AX687">
        <v>957.37699999999995</v>
      </c>
      <c r="AY687">
        <v>1078.21</v>
      </c>
      <c r="AZ687">
        <v>10.9091</v>
      </c>
      <c r="BC687" t="s">
        <v>108</v>
      </c>
    </row>
    <row r="688" spans="3:55" x14ac:dyDescent="0.45">
      <c r="C688">
        <v>79.099999999999994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2.7</v>
      </c>
      <c r="L688">
        <v>15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750</v>
      </c>
      <c r="AD688">
        <v>0.58333333300000001</v>
      </c>
      <c r="AE688">
        <v>1</v>
      </c>
      <c r="AF688">
        <v>0</v>
      </c>
      <c r="AG688">
        <v>0</v>
      </c>
      <c r="AH688">
        <v>470</v>
      </c>
      <c r="AI688">
        <v>8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f t="shared" si="32"/>
        <v>12.756</v>
      </c>
      <c r="AU688">
        <f t="shared" si="30"/>
        <v>3</v>
      </c>
      <c r="AV688">
        <f t="shared" si="31"/>
        <v>745.8</v>
      </c>
      <c r="AX688">
        <v>987.79399999999998</v>
      </c>
      <c r="AY688">
        <v>1143</v>
      </c>
      <c r="AZ688">
        <v>7.3140499999999999</v>
      </c>
      <c r="BC688" t="s">
        <v>108</v>
      </c>
    </row>
    <row r="689" spans="3:55" x14ac:dyDescent="0.45">
      <c r="C689">
        <v>79.099999999999994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2.7</v>
      </c>
      <c r="L689">
        <v>15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750</v>
      </c>
      <c r="AD689">
        <v>0.58333333300000001</v>
      </c>
      <c r="AE689">
        <v>1</v>
      </c>
      <c r="AF689">
        <v>0</v>
      </c>
      <c r="AG689">
        <v>0</v>
      </c>
      <c r="AH689">
        <v>570</v>
      </c>
      <c r="AI689">
        <v>8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f t="shared" si="32"/>
        <v>12.756</v>
      </c>
      <c r="AU689">
        <f t="shared" si="30"/>
        <v>3</v>
      </c>
      <c r="AV689">
        <f t="shared" si="31"/>
        <v>745.8</v>
      </c>
      <c r="AX689">
        <v>1054.8800000000001</v>
      </c>
      <c r="AY689">
        <v>1174.67</v>
      </c>
      <c r="AZ689">
        <v>6.69421</v>
      </c>
      <c r="BC689" t="s">
        <v>108</v>
      </c>
    </row>
    <row r="690" spans="3:55" x14ac:dyDescent="0.45">
      <c r="C690">
        <v>79.099999999999994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2.7</v>
      </c>
      <c r="L690">
        <v>15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750</v>
      </c>
      <c r="AD690">
        <v>0.58333333300000001</v>
      </c>
      <c r="AE690">
        <v>1</v>
      </c>
      <c r="AF690">
        <v>0</v>
      </c>
      <c r="AG690">
        <v>0</v>
      </c>
      <c r="AH690">
        <v>620</v>
      </c>
      <c r="AI690">
        <v>8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f t="shared" si="32"/>
        <v>12.756</v>
      </c>
      <c r="AU690">
        <f t="shared" si="30"/>
        <v>3</v>
      </c>
      <c r="AV690">
        <f t="shared" si="31"/>
        <v>745.8</v>
      </c>
      <c r="AX690">
        <v>885.29399999999998</v>
      </c>
      <c r="AY690">
        <v>901.96400000000006</v>
      </c>
      <c r="AZ690">
        <v>14.504099999999999</v>
      </c>
      <c r="BC690" t="s">
        <v>108</v>
      </c>
    </row>
    <row r="691" spans="3:55" x14ac:dyDescent="0.45">
      <c r="C691">
        <v>79.099999999999994</v>
      </c>
      <c r="D691">
        <v>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2.7</v>
      </c>
      <c r="L691">
        <v>15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855</v>
      </c>
      <c r="AD691">
        <v>0.58333333300000001</v>
      </c>
      <c r="AE691">
        <v>1</v>
      </c>
      <c r="AF691">
        <v>0</v>
      </c>
      <c r="AG691">
        <v>0</v>
      </c>
      <c r="AH691">
        <v>520</v>
      </c>
      <c r="AI691">
        <v>4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f t="shared" si="32"/>
        <v>12.756</v>
      </c>
      <c r="AU691">
        <f t="shared" si="30"/>
        <v>3</v>
      </c>
      <c r="AV691">
        <f t="shared" si="31"/>
        <v>745.8</v>
      </c>
      <c r="AX691">
        <v>1137.5999999999999</v>
      </c>
      <c r="AY691">
        <v>1218.8599999999999</v>
      </c>
      <c r="AZ691">
        <v>6.1979199999999999</v>
      </c>
      <c r="BC691" t="s">
        <v>108</v>
      </c>
    </row>
    <row r="692" spans="3:55" x14ac:dyDescent="0.45">
      <c r="C692">
        <v>79.099999999999994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2.7</v>
      </c>
      <c r="L692">
        <v>15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855</v>
      </c>
      <c r="AD692">
        <v>0.58333333300000001</v>
      </c>
      <c r="AE692">
        <v>1</v>
      </c>
      <c r="AF692">
        <v>0</v>
      </c>
      <c r="AG692">
        <v>0</v>
      </c>
      <c r="AH692">
        <v>520</v>
      </c>
      <c r="AI692">
        <v>6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f t="shared" si="32"/>
        <v>12.756</v>
      </c>
      <c r="AU692">
        <f t="shared" si="30"/>
        <v>3</v>
      </c>
      <c r="AV692">
        <f t="shared" si="31"/>
        <v>745.8</v>
      </c>
      <c r="AX692">
        <v>1172.19</v>
      </c>
      <c r="AY692">
        <v>1258.6400000000001</v>
      </c>
      <c r="AZ692">
        <v>6.4895800000000001</v>
      </c>
      <c r="BC692" t="s">
        <v>108</v>
      </c>
    </row>
    <row r="693" spans="3:55" x14ac:dyDescent="0.45">
      <c r="C693">
        <v>79.099999999999994</v>
      </c>
      <c r="D693">
        <v>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2.7</v>
      </c>
      <c r="L693">
        <v>15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855</v>
      </c>
      <c r="AD693">
        <v>0.58333333300000001</v>
      </c>
      <c r="AE693">
        <v>1</v>
      </c>
      <c r="AF693">
        <v>0</v>
      </c>
      <c r="AG693">
        <v>0</v>
      </c>
      <c r="AH693">
        <v>520</v>
      </c>
      <c r="AI693">
        <v>8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f t="shared" si="32"/>
        <v>12.756</v>
      </c>
      <c r="AU693">
        <f t="shared" si="30"/>
        <v>3</v>
      </c>
      <c r="AV693">
        <f t="shared" si="31"/>
        <v>745.8</v>
      </c>
      <c r="AX693">
        <v>1185.94</v>
      </c>
      <c r="AY693">
        <v>1311.98</v>
      </c>
      <c r="AZ693">
        <v>6.1979199999999999</v>
      </c>
      <c r="BC693" t="s">
        <v>108</v>
      </c>
    </row>
    <row r="694" spans="3:55" x14ac:dyDescent="0.45">
      <c r="C694">
        <v>79.099999999999994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2.7</v>
      </c>
      <c r="L694">
        <v>15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855</v>
      </c>
      <c r="AD694">
        <v>0.58333333300000001</v>
      </c>
      <c r="AE694">
        <v>1</v>
      </c>
      <c r="AF694">
        <v>0</v>
      </c>
      <c r="AG694">
        <v>0</v>
      </c>
      <c r="AH694">
        <v>520</v>
      </c>
      <c r="AI694">
        <v>10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f t="shared" si="32"/>
        <v>12.756</v>
      </c>
      <c r="AU694">
        <f t="shared" si="30"/>
        <v>3</v>
      </c>
      <c r="AV694">
        <f t="shared" si="31"/>
        <v>745.8</v>
      </c>
      <c r="AX694">
        <v>1181.98</v>
      </c>
      <c r="AY694">
        <v>1263.23</v>
      </c>
      <c r="AZ694">
        <v>6.78125</v>
      </c>
      <c r="BC694" t="s">
        <v>108</v>
      </c>
    </row>
    <row r="695" spans="3:55" x14ac:dyDescent="0.45">
      <c r="C695">
        <v>79.099999999999994</v>
      </c>
      <c r="D695">
        <v>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2.7</v>
      </c>
      <c r="L695">
        <v>15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855</v>
      </c>
      <c r="AD695">
        <v>0.58333333300000001</v>
      </c>
      <c r="AE695">
        <v>1</v>
      </c>
      <c r="AF695">
        <v>0</v>
      </c>
      <c r="AG695">
        <v>0</v>
      </c>
      <c r="AH695">
        <v>520</v>
      </c>
      <c r="AI695">
        <v>12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f t="shared" si="32"/>
        <v>12.756</v>
      </c>
      <c r="AU695">
        <f t="shared" si="30"/>
        <v>3</v>
      </c>
      <c r="AV695">
        <f t="shared" si="31"/>
        <v>745.8</v>
      </c>
      <c r="AX695">
        <v>1193.6500000000001</v>
      </c>
      <c r="AY695">
        <v>1275.94</v>
      </c>
      <c r="AZ695">
        <v>5.25</v>
      </c>
      <c r="BC695" t="s">
        <v>108</v>
      </c>
    </row>
    <row r="696" spans="3:55" x14ac:dyDescent="0.45">
      <c r="C696">
        <v>86.63</v>
      </c>
      <c r="D696">
        <v>5</v>
      </c>
      <c r="E696">
        <v>0</v>
      </c>
      <c r="F696">
        <v>0</v>
      </c>
      <c r="G696">
        <v>0</v>
      </c>
      <c r="H696">
        <v>1.62</v>
      </c>
      <c r="I696">
        <v>0</v>
      </c>
      <c r="J696">
        <v>0</v>
      </c>
      <c r="K696">
        <v>0</v>
      </c>
      <c r="L696">
        <v>6.65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950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780</v>
      </c>
      <c r="AD696">
        <v>1</v>
      </c>
      <c r="AE696">
        <v>0</v>
      </c>
      <c r="AF696">
        <v>1</v>
      </c>
      <c r="AG696">
        <v>0</v>
      </c>
      <c r="AH696">
        <v>560</v>
      </c>
      <c r="AI696">
        <v>6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f t="shared" si="32"/>
        <v>6.3480000000000008</v>
      </c>
      <c r="AU696">
        <f t="shared" si="30"/>
        <v>5</v>
      </c>
      <c r="AV696">
        <f t="shared" si="31"/>
        <v>804.37700000000007</v>
      </c>
      <c r="AX696">
        <v>1129.55</v>
      </c>
      <c r="AY696">
        <v>1188.29</v>
      </c>
      <c r="AZ696">
        <v>12.140499999999999</v>
      </c>
      <c r="BC696" t="s">
        <v>108</v>
      </c>
    </row>
    <row r="697" spans="3:55" x14ac:dyDescent="0.45">
      <c r="C697">
        <v>77.91</v>
      </c>
      <c r="D697">
        <v>0</v>
      </c>
      <c r="E697">
        <v>0</v>
      </c>
      <c r="F697">
        <v>0</v>
      </c>
      <c r="G697">
        <v>0</v>
      </c>
      <c r="H697">
        <v>2.34</v>
      </c>
      <c r="I697">
        <v>0</v>
      </c>
      <c r="J697">
        <v>6.17</v>
      </c>
      <c r="K697">
        <v>13.58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f t="shared" si="32"/>
        <v>10.5884</v>
      </c>
      <c r="AU697">
        <f t="shared" si="30"/>
        <v>1.0283333333333333</v>
      </c>
      <c r="AV697">
        <f t="shared" si="31"/>
        <v>803.39100000000008</v>
      </c>
      <c r="AW697">
        <v>79</v>
      </c>
      <c r="AX697">
        <v>782</v>
      </c>
      <c r="BC697" t="s">
        <v>60</v>
      </c>
    </row>
    <row r="698" spans="3:55" x14ac:dyDescent="0.45">
      <c r="C698">
        <v>75.75</v>
      </c>
      <c r="D698">
        <v>0</v>
      </c>
      <c r="E698">
        <v>0</v>
      </c>
      <c r="F698">
        <v>0</v>
      </c>
      <c r="G698">
        <v>0</v>
      </c>
      <c r="H698">
        <v>1.5599999999999998</v>
      </c>
      <c r="I698">
        <v>0</v>
      </c>
      <c r="J698">
        <v>6.370000000000001</v>
      </c>
      <c r="K698">
        <v>16.32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f t="shared" si="32"/>
        <v>9.0935999999999986</v>
      </c>
      <c r="AU698">
        <f t="shared" si="30"/>
        <v>1.0616666666666668</v>
      </c>
      <c r="AV698">
        <f t="shared" si="31"/>
        <v>814.02300000000002</v>
      </c>
      <c r="AW698">
        <v>78</v>
      </c>
      <c r="AX698">
        <v>735</v>
      </c>
      <c r="BC698" t="s">
        <v>60</v>
      </c>
    </row>
    <row r="699" spans="3:55" x14ac:dyDescent="0.45">
      <c r="C699">
        <v>72.98</v>
      </c>
      <c r="D699">
        <v>0</v>
      </c>
      <c r="E699">
        <v>0</v>
      </c>
      <c r="F699">
        <v>0</v>
      </c>
      <c r="G699">
        <v>0</v>
      </c>
      <c r="H699">
        <v>1.38</v>
      </c>
      <c r="I699">
        <v>0</v>
      </c>
      <c r="J699">
        <v>6.64</v>
      </c>
      <c r="K699">
        <v>18.990000000000002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f t="shared" si="32"/>
        <v>9.3192000000000021</v>
      </c>
      <c r="AU699">
        <f t="shared" si="30"/>
        <v>1.1066666666666667</v>
      </c>
      <c r="AV699">
        <f t="shared" si="31"/>
        <v>814.93200000000002</v>
      </c>
      <c r="AW699">
        <v>77</v>
      </c>
      <c r="AX699">
        <v>672</v>
      </c>
      <c r="BC699" t="s">
        <v>60</v>
      </c>
    </row>
    <row r="700" spans="3:55" x14ac:dyDescent="0.45">
      <c r="C700">
        <v>86.22</v>
      </c>
      <c r="D700">
        <v>0</v>
      </c>
      <c r="E700">
        <v>0</v>
      </c>
      <c r="F700">
        <v>0</v>
      </c>
      <c r="G700">
        <v>0</v>
      </c>
      <c r="H700">
        <v>3.49</v>
      </c>
      <c r="I700">
        <v>0</v>
      </c>
      <c r="J700">
        <v>4.1000000000000005</v>
      </c>
      <c r="K700">
        <v>6.18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f t="shared" si="32"/>
        <v>11.8514</v>
      </c>
      <c r="AU700">
        <f t="shared" si="30"/>
        <v>0.68333333333333346</v>
      </c>
      <c r="AV700">
        <f t="shared" si="31"/>
        <v>799.96400000000006</v>
      </c>
      <c r="AW700">
        <v>90</v>
      </c>
      <c r="AX700">
        <v>1011</v>
      </c>
      <c r="BC700" t="s">
        <v>60</v>
      </c>
    </row>
    <row r="701" spans="3:55" x14ac:dyDescent="0.45">
      <c r="C701">
        <v>79.739999999999995</v>
      </c>
      <c r="D701">
        <v>0</v>
      </c>
      <c r="E701">
        <v>0</v>
      </c>
      <c r="F701">
        <v>0</v>
      </c>
      <c r="G701">
        <v>0</v>
      </c>
      <c r="H701">
        <v>2.7</v>
      </c>
      <c r="I701">
        <v>0</v>
      </c>
      <c r="J701">
        <v>6.1899999999999995</v>
      </c>
      <c r="K701">
        <v>11.37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f t="shared" si="32"/>
        <v>11.0136</v>
      </c>
      <c r="AU701">
        <f t="shared" si="30"/>
        <v>1.0316666666666665</v>
      </c>
      <c r="AV701">
        <f t="shared" si="31"/>
        <v>797.70899999999995</v>
      </c>
      <c r="AW701">
        <v>69</v>
      </c>
      <c r="AX701">
        <v>1027</v>
      </c>
      <c r="BC701" t="s">
        <v>60</v>
      </c>
    </row>
    <row r="702" spans="3:55" x14ac:dyDescent="0.45">
      <c r="C702">
        <v>72.36</v>
      </c>
      <c r="D702">
        <v>0</v>
      </c>
      <c r="E702">
        <v>0</v>
      </c>
      <c r="F702">
        <v>0</v>
      </c>
      <c r="G702">
        <v>0</v>
      </c>
      <c r="H702">
        <v>0.57000000000000006</v>
      </c>
      <c r="I702">
        <v>0</v>
      </c>
      <c r="J702">
        <v>8.68</v>
      </c>
      <c r="K702">
        <v>18.39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f t="shared" si="32"/>
        <v>6.8022000000000009</v>
      </c>
      <c r="AU702">
        <f t="shared" si="30"/>
        <v>1.4466666666666665</v>
      </c>
      <c r="AV702">
        <f t="shared" si="31"/>
        <v>813.32999999999993</v>
      </c>
      <c r="AW702">
        <v>58</v>
      </c>
      <c r="AX702">
        <v>780</v>
      </c>
      <c r="BC702" t="s">
        <v>60</v>
      </c>
    </row>
    <row r="703" spans="3:55" x14ac:dyDescent="0.45">
      <c r="C703">
        <v>81.42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11.600000000000001</v>
      </c>
      <c r="K703">
        <v>5.99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f t="shared" si="32"/>
        <v>4.5772000000000004</v>
      </c>
      <c r="AU703">
        <f t="shared" si="30"/>
        <v>1.9333333333333336</v>
      </c>
      <c r="AV703">
        <f t="shared" si="31"/>
        <v>786.56000000000006</v>
      </c>
      <c r="AW703">
        <v>59</v>
      </c>
      <c r="AX703">
        <v>553</v>
      </c>
      <c r="BC703" t="s">
        <v>60</v>
      </c>
    </row>
    <row r="704" spans="3:55" x14ac:dyDescent="0.45">
      <c r="C704">
        <v>74.48</v>
      </c>
      <c r="D704">
        <v>0</v>
      </c>
      <c r="E704">
        <v>0</v>
      </c>
      <c r="F704">
        <v>0</v>
      </c>
      <c r="G704">
        <v>0</v>
      </c>
      <c r="H704">
        <v>1.47</v>
      </c>
      <c r="I704">
        <v>0</v>
      </c>
      <c r="J704">
        <v>4</v>
      </c>
      <c r="K704">
        <v>20.04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f t="shared" si="32"/>
        <v>9.8742000000000001</v>
      </c>
      <c r="AU704">
        <f t="shared" si="30"/>
        <v>0.66666666666666663</v>
      </c>
      <c r="AV704">
        <f t="shared" si="31"/>
        <v>831.76199999999994</v>
      </c>
      <c r="AW704">
        <v>62</v>
      </c>
      <c r="AX704">
        <v>1038</v>
      </c>
      <c r="BC704" t="s">
        <v>60</v>
      </c>
    </row>
    <row r="705" spans="3:55" x14ac:dyDescent="0.45">
      <c r="C705">
        <v>65.86</v>
      </c>
      <c r="D705">
        <v>0</v>
      </c>
      <c r="E705">
        <v>0</v>
      </c>
      <c r="F705">
        <v>0</v>
      </c>
      <c r="G705">
        <v>0</v>
      </c>
      <c r="H705">
        <v>0.1</v>
      </c>
      <c r="I705">
        <v>0</v>
      </c>
      <c r="J705">
        <v>17.39</v>
      </c>
      <c r="K705">
        <v>16.64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f t="shared" si="32"/>
        <v>4.9492000000000003</v>
      </c>
      <c r="AU705">
        <f t="shared" si="30"/>
        <v>2.8983333333333334</v>
      </c>
      <c r="AV705">
        <f t="shared" si="31"/>
        <v>760.46900000000005</v>
      </c>
      <c r="AW705">
        <v>70</v>
      </c>
      <c r="AX705">
        <v>480</v>
      </c>
      <c r="BC705" t="s">
        <v>60</v>
      </c>
    </row>
    <row r="706" spans="3:55" x14ac:dyDescent="0.45">
      <c r="C706">
        <v>71.930000000000007</v>
      </c>
      <c r="D706">
        <v>0</v>
      </c>
      <c r="E706">
        <v>0</v>
      </c>
      <c r="F706">
        <v>0</v>
      </c>
      <c r="G706">
        <v>0</v>
      </c>
      <c r="H706">
        <v>0.97</v>
      </c>
      <c r="I706">
        <v>0</v>
      </c>
      <c r="J706">
        <v>5</v>
      </c>
      <c r="K706">
        <v>22.1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f t="shared" si="32"/>
        <v>9.0010000000000012</v>
      </c>
      <c r="AU706">
        <f t="shared" ref="AU706:AU769" si="33">D706+J706/6+M706/3+(T706+S706)/10</f>
        <v>0.83333333333333337</v>
      </c>
      <c r="AV706">
        <f t="shared" ref="AV706:AV769" si="34">882+2.1*D706-9.5*L706+4.2*M706-6.9*J706-11.8*E706-12.1*F706-15.4*H706+23.3*Q706+123*T706</f>
        <v>832.56200000000001</v>
      </c>
      <c r="AW706">
        <v>49</v>
      </c>
      <c r="AX706">
        <v>552</v>
      </c>
      <c r="BC706" t="s">
        <v>60</v>
      </c>
    </row>
    <row r="707" spans="3:55" x14ac:dyDescent="0.45">
      <c r="C707">
        <v>83.05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10.220000000000001</v>
      </c>
      <c r="L707">
        <v>2.4699999999999998</v>
      </c>
      <c r="M707">
        <v>0</v>
      </c>
      <c r="N707">
        <v>0</v>
      </c>
      <c r="O707">
        <v>4.26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f t="shared" ref="AT707:AT770" si="35">L707+0.67*E707+0.44*P707+0.28*K707+0.22*O707+2.9*H707+1.6*F707+1.7*G707-D707</f>
        <v>6.2687999999999997</v>
      </c>
      <c r="AU707">
        <f t="shared" si="33"/>
        <v>0</v>
      </c>
      <c r="AV707">
        <f t="shared" si="34"/>
        <v>858.53499999999997</v>
      </c>
      <c r="AW707">
        <v>50</v>
      </c>
      <c r="AX707">
        <v>557</v>
      </c>
      <c r="BC707" t="s">
        <v>60</v>
      </c>
    </row>
    <row r="708" spans="3:55" x14ac:dyDescent="0.45">
      <c r="C708">
        <v>72.599999999999994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20.09</v>
      </c>
      <c r="L708">
        <v>2.68</v>
      </c>
      <c r="M708">
        <v>0</v>
      </c>
      <c r="N708">
        <v>0</v>
      </c>
      <c r="O708">
        <v>4.62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f t="shared" si="35"/>
        <v>9.3216000000000001</v>
      </c>
      <c r="AU708">
        <f t="shared" si="33"/>
        <v>0</v>
      </c>
      <c r="AV708">
        <f t="shared" si="34"/>
        <v>856.54</v>
      </c>
      <c r="AW708">
        <v>53</v>
      </c>
      <c r="AX708">
        <v>599</v>
      </c>
      <c r="BC708" t="s">
        <v>60</v>
      </c>
    </row>
    <row r="709" spans="3:55" x14ac:dyDescent="0.45">
      <c r="C709">
        <v>72.599999999999994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20.09</v>
      </c>
      <c r="L709">
        <v>2.68</v>
      </c>
      <c r="M709">
        <v>0</v>
      </c>
      <c r="N709">
        <v>0</v>
      </c>
      <c r="O709">
        <v>4.63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f t="shared" si="35"/>
        <v>9.3238000000000003</v>
      </c>
      <c r="AU709">
        <f t="shared" si="33"/>
        <v>0</v>
      </c>
      <c r="AV709">
        <f t="shared" si="34"/>
        <v>856.54</v>
      </c>
      <c r="AW709">
        <v>51</v>
      </c>
    </row>
    <row r="710" spans="3:55" x14ac:dyDescent="0.45">
      <c r="C710">
        <v>74.48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19.869999999999997</v>
      </c>
      <c r="L710">
        <v>0</v>
      </c>
      <c r="M710">
        <v>1.0699999999999998</v>
      </c>
      <c r="N710">
        <v>0</v>
      </c>
      <c r="O710">
        <v>4.5699999999999994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f t="shared" si="35"/>
        <v>6.569</v>
      </c>
      <c r="AU710">
        <f t="shared" si="33"/>
        <v>0.35666666666666663</v>
      </c>
      <c r="AV710">
        <f t="shared" si="34"/>
        <v>886.49400000000003</v>
      </c>
      <c r="AW710">
        <v>48</v>
      </c>
      <c r="AX710">
        <v>432</v>
      </c>
      <c r="BC710" t="s">
        <v>60</v>
      </c>
    </row>
    <row r="711" spans="3:55" x14ac:dyDescent="0.45">
      <c r="C711">
        <v>72.52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20.29</v>
      </c>
      <c r="L711">
        <v>0</v>
      </c>
      <c r="M711">
        <v>2.52</v>
      </c>
      <c r="N711">
        <v>0</v>
      </c>
      <c r="O711">
        <v>4.67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f t="shared" si="35"/>
        <v>6.7086000000000006</v>
      </c>
      <c r="AU711">
        <f t="shared" si="33"/>
        <v>0.84</v>
      </c>
      <c r="AV711">
        <f t="shared" si="34"/>
        <v>892.58399999999995</v>
      </c>
      <c r="AW711">
        <v>55</v>
      </c>
      <c r="AX711">
        <v>367</v>
      </c>
      <c r="BC711" t="s">
        <v>60</v>
      </c>
    </row>
    <row r="712" spans="3:55" x14ac:dyDescent="0.45">
      <c r="C712">
        <v>71.430000000000007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20.52</v>
      </c>
      <c r="L712">
        <v>0</v>
      </c>
      <c r="M712">
        <v>3.32</v>
      </c>
      <c r="N712">
        <v>0</v>
      </c>
      <c r="O712">
        <v>4.72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f t="shared" si="35"/>
        <v>6.7840000000000007</v>
      </c>
      <c r="AU712">
        <f t="shared" si="33"/>
        <v>1.1066666666666667</v>
      </c>
      <c r="AV712">
        <f t="shared" si="34"/>
        <v>895.94399999999996</v>
      </c>
      <c r="AW712">
        <v>69</v>
      </c>
      <c r="AX712">
        <v>501</v>
      </c>
      <c r="BC712" t="s">
        <v>60</v>
      </c>
    </row>
    <row r="713" spans="3:55" x14ac:dyDescent="0.45">
      <c r="C713">
        <v>74.48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19.87</v>
      </c>
      <c r="L713">
        <v>0</v>
      </c>
      <c r="M713">
        <v>1.07</v>
      </c>
      <c r="N713">
        <v>0</v>
      </c>
      <c r="O713">
        <v>4.58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f t="shared" si="35"/>
        <v>6.571200000000001</v>
      </c>
      <c r="AU713">
        <f t="shared" si="33"/>
        <v>0.35666666666666669</v>
      </c>
      <c r="AV713">
        <f t="shared" si="34"/>
        <v>886.49400000000003</v>
      </c>
      <c r="AW713">
        <v>69</v>
      </c>
    </row>
    <row r="714" spans="3:55" x14ac:dyDescent="0.45">
      <c r="C714">
        <v>74.050000000000011</v>
      </c>
      <c r="D714">
        <v>0</v>
      </c>
      <c r="E714">
        <v>0</v>
      </c>
      <c r="F714">
        <v>2.1999999999999997</v>
      </c>
      <c r="G714">
        <v>0</v>
      </c>
      <c r="H714">
        <v>3.0700000000000003</v>
      </c>
      <c r="I714">
        <v>0</v>
      </c>
      <c r="J714">
        <v>20.68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f t="shared" si="35"/>
        <v>12.423</v>
      </c>
      <c r="AU714">
        <f t="shared" si="33"/>
        <v>3.4466666666666668</v>
      </c>
      <c r="AV714">
        <f t="shared" si="34"/>
        <v>665.41</v>
      </c>
      <c r="AW714">
        <v>140</v>
      </c>
      <c r="AX714">
        <v>1049</v>
      </c>
      <c r="BC714" t="s">
        <v>60</v>
      </c>
    </row>
    <row r="715" spans="3:55" x14ac:dyDescent="0.45">
      <c r="C715">
        <v>71.91</v>
      </c>
      <c r="D715">
        <v>0</v>
      </c>
      <c r="E715">
        <v>0</v>
      </c>
      <c r="F715">
        <v>2.21</v>
      </c>
      <c r="G715">
        <v>0</v>
      </c>
      <c r="H715">
        <v>5.1400000000000006</v>
      </c>
      <c r="I715">
        <v>0</v>
      </c>
      <c r="J715">
        <v>20.75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f t="shared" si="35"/>
        <v>18.442</v>
      </c>
      <c r="AU715">
        <f t="shared" si="33"/>
        <v>3.4583333333333335</v>
      </c>
      <c r="AV715">
        <f t="shared" si="34"/>
        <v>632.92800000000011</v>
      </c>
      <c r="AW715">
        <v>145</v>
      </c>
      <c r="AX715">
        <v>1130</v>
      </c>
      <c r="BC715" t="s">
        <v>60</v>
      </c>
    </row>
    <row r="716" spans="3:55" x14ac:dyDescent="0.45">
      <c r="C716">
        <v>69.75</v>
      </c>
      <c r="D716">
        <v>0</v>
      </c>
      <c r="E716">
        <v>0</v>
      </c>
      <c r="F716">
        <v>2.21</v>
      </c>
      <c r="G716">
        <v>0</v>
      </c>
      <c r="H716">
        <v>7.22</v>
      </c>
      <c r="I716">
        <v>0</v>
      </c>
      <c r="J716">
        <v>20.82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f t="shared" si="35"/>
        <v>24.474</v>
      </c>
      <c r="AU716">
        <f t="shared" si="33"/>
        <v>3.47</v>
      </c>
      <c r="AV716">
        <f t="shared" si="34"/>
        <v>600.41300000000001</v>
      </c>
      <c r="AW716">
        <v>157</v>
      </c>
      <c r="AX716">
        <v>1239</v>
      </c>
      <c r="BC716" t="s">
        <v>60</v>
      </c>
    </row>
    <row r="717" spans="3:55" x14ac:dyDescent="0.45">
      <c r="C717">
        <v>71.8</v>
      </c>
      <c r="D717">
        <v>0</v>
      </c>
      <c r="E717">
        <v>0</v>
      </c>
      <c r="F717">
        <v>4.41</v>
      </c>
      <c r="G717">
        <v>0</v>
      </c>
      <c r="H717">
        <v>3.08</v>
      </c>
      <c r="I717">
        <v>0</v>
      </c>
      <c r="J717">
        <v>20.72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f t="shared" si="35"/>
        <v>15.988000000000001</v>
      </c>
      <c r="AU717">
        <f t="shared" si="33"/>
        <v>3.4533333333333331</v>
      </c>
      <c r="AV717">
        <f t="shared" si="34"/>
        <v>638.23900000000003</v>
      </c>
      <c r="AW717">
        <v>130</v>
      </c>
      <c r="AX717">
        <v>1113</v>
      </c>
      <c r="BC717" t="s">
        <v>60</v>
      </c>
    </row>
    <row r="718" spans="3:55" x14ac:dyDescent="0.45">
      <c r="C718">
        <v>69.64</v>
      </c>
      <c r="D718">
        <v>0</v>
      </c>
      <c r="E718">
        <v>0</v>
      </c>
      <c r="F718">
        <v>4.42</v>
      </c>
      <c r="G718">
        <v>0</v>
      </c>
      <c r="H718">
        <v>5.1499999999999995</v>
      </c>
      <c r="I718">
        <v>0</v>
      </c>
      <c r="J718">
        <v>20.79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f t="shared" si="35"/>
        <v>22.006999999999998</v>
      </c>
      <c r="AU718">
        <f t="shared" si="33"/>
        <v>3.4649999999999999</v>
      </c>
      <c r="AV718">
        <f t="shared" si="34"/>
        <v>605.75700000000006</v>
      </c>
      <c r="AW718">
        <v>142</v>
      </c>
      <c r="AX718">
        <v>1210</v>
      </c>
      <c r="BC718" t="s">
        <v>60</v>
      </c>
    </row>
    <row r="719" spans="3:55" x14ac:dyDescent="0.45">
      <c r="C719">
        <v>67.47</v>
      </c>
      <c r="D719">
        <v>0</v>
      </c>
      <c r="E719">
        <v>0</v>
      </c>
      <c r="F719">
        <v>4.4400000000000004</v>
      </c>
      <c r="G719">
        <v>0</v>
      </c>
      <c r="H719">
        <v>7.23</v>
      </c>
      <c r="I719">
        <v>0</v>
      </c>
      <c r="J719">
        <v>20.86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f t="shared" si="35"/>
        <v>28.071000000000005</v>
      </c>
      <c r="AU719">
        <f t="shared" si="33"/>
        <v>3.4766666666666666</v>
      </c>
      <c r="AV719">
        <f t="shared" si="34"/>
        <v>573</v>
      </c>
      <c r="AW719">
        <v>149</v>
      </c>
      <c r="AX719">
        <v>1287</v>
      </c>
      <c r="BC719" t="s">
        <v>60</v>
      </c>
    </row>
    <row r="720" spans="3:55" x14ac:dyDescent="0.45">
      <c r="C720">
        <v>88.06</v>
      </c>
      <c r="D720">
        <v>0</v>
      </c>
      <c r="E720">
        <v>0</v>
      </c>
      <c r="F720">
        <v>0</v>
      </c>
      <c r="G720">
        <v>0</v>
      </c>
      <c r="H720">
        <v>1.8900000000000001</v>
      </c>
      <c r="I720">
        <v>0</v>
      </c>
      <c r="J720">
        <v>3.47</v>
      </c>
      <c r="K720">
        <v>0</v>
      </c>
      <c r="L720">
        <v>6.59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f t="shared" si="35"/>
        <v>12.071</v>
      </c>
      <c r="AU720">
        <f t="shared" si="33"/>
        <v>0.57833333333333337</v>
      </c>
      <c r="AV720">
        <f t="shared" si="34"/>
        <v>766.346</v>
      </c>
      <c r="AW720">
        <v>79.5</v>
      </c>
      <c r="AX720">
        <v>897</v>
      </c>
      <c r="BC720" t="s">
        <v>60</v>
      </c>
    </row>
    <row r="721" spans="3:55" x14ac:dyDescent="0.45">
      <c r="C721">
        <v>82.96</v>
      </c>
      <c r="D721">
        <v>3.7699999999999996</v>
      </c>
      <c r="E721">
        <v>0</v>
      </c>
      <c r="F721">
        <v>4.9000000000000004</v>
      </c>
      <c r="G721">
        <v>0</v>
      </c>
      <c r="H721">
        <v>0</v>
      </c>
      <c r="I721">
        <v>0</v>
      </c>
      <c r="J721">
        <v>8.3699999999999992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f t="shared" si="35"/>
        <v>4.0700000000000012</v>
      </c>
      <c r="AU721">
        <f t="shared" si="33"/>
        <v>5.1649999999999991</v>
      </c>
      <c r="AV721">
        <f t="shared" si="34"/>
        <v>772.87400000000002</v>
      </c>
      <c r="AW721">
        <v>58</v>
      </c>
      <c r="AX721">
        <v>625.4</v>
      </c>
      <c r="BC721" t="s">
        <v>60</v>
      </c>
    </row>
    <row r="722" spans="3:55" x14ac:dyDescent="0.45">
      <c r="C722">
        <v>87.94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3.54</v>
      </c>
      <c r="K722">
        <v>0</v>
      </c>
      <c r="L722">
        <v>6.47</v>
      </c>
      <c r="M722">
        <v>2.0499999999999998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f t="shared" si="35"/>
        <v>6.47</v>
      </c>
      <c r="AU722">
        <f t="shared" si="33"/>
        <v>1.2733333333333332</v>
      </c>
      <c r="AV722">
        <f t="shared" si="34"/>
        <v>804.71899999999994</v>
      </c>
      <c r="AW722">
        <v>83</v>
      </c>
    </row>
    <row r="723" spans="3:55" x14ac:dyDescent="0.45">
      <c r="C723">
        <v>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</v>
      </c>
      <c r="K723">
        <v>35</v>
      </c>
      <c r="L723">
        <v>3</v>
      </c>
      <c r="M723">
        <v>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800</v>
      </c>
      <c r="AD723">
        <v>0.5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f t="shared" si="35"/>
        <v>12.8</v>
      </c>
      <c r="AU723">
        <f t="shared" si="33"/>
        <v>2.166666666666667</v>
      </c>
      <c r="AV723">
        <f t="shared" si="34"/>
        <v>853.8</v>
      </c>
      <c r="AW723">
        <v>70</v>
      </c>
      <c r="AX723">
        <v>668</v>
      </c>
      <c r="AY723">
        <v>690</v>
      </c>
      <c r="AZ723">
        <v>18</v>
      </c>
      <c r="BC723" t="s">
        <v>158</v>
      </c>
    </row>
    <row r="724" spans="3:55" x14ac:dyDescent="0.45">
      <c r="C724">
        <v>51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</v>
      </c>
      <c r="K724">
        <v>35</v>
      </c>
      <c r="L724">
        <v>6</v>
      </c>
      <c r="M724">
        <v>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800</v>
      </c>
      <c r="AD724">
        <v>0.5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f t="shared" si="35"/>
        <v>15.8</v>
      </c>
      <c r="AU724">
        <f t="shared" si="33"/>
        <v>2.166666666666667</v>
      </c>
      <c r="AV724">
        <f t="shared" si="34"/>
        <v>825.3</v>
      </c>
      <c r="AW724">
        <v>85</v>
      </c>
      <c r="AX724">
        <v>729</v>
      </c>
      <c r="AY724">
        <v>770</v>
      </c>
      <c r="AZ724">
        <v>10.5</v>
      </c>
      <c r="BC724" t="s">
        <v>158</v>
      </c>
    </row>
    <row r="725" spans="3:55" x14ac:dyDescent="0.45">
      <c r="C725">
        <v>44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</v>
      </c>
      <c r="K725">
        <v>35</v>
      </c>
      <c r="L725">
        <v>9</v>
      </c>
      <c r="M725">
        <v>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800</v>
      </c>
      <c r="AD725">
        <v>0.5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f t="shared" si="35"/>
        <v>18.8</v>
      </c>
      <c r="AU725">
        <f t="shared" si="33"/>
        <v>2.5</v>
      </c>
      <c r="AV725">
        <f t="shared" si="34"/>
        <v>747</v>
      </c>
      <c r="AW725">
        <v>70</v>
      </c>
      <c r="AX725">
        <v>781</v>
      </c>
      <c r="AY725">
        <v>833</v>
      </c>
      <c r="AZ725">
        <v>10.199999999999999</v>
      </c>
      <c r="BC725" t="s">
        <v>158</v>
      </c>
    </row>
    <row r="726" spans="3:55" x14ac:dyDescent="0.45">
      <c r="C726">
        <v>52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6</v>
      </c>
      <c r="K726">
        <v>35</v>
      </c>
      <c r="L726">
        <v>3</v>
      </c>
      <c r="M726">
        <v>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800</v>
      </c>
      <c r="AD726">
        <v>0.5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f t="shared" si="35"/>
        <v>12.8</v>
      </c>
      <c r="AU726">
        <f t="shared" si="33"/>
        <v>2.333333333333333</v>
      </c>
      <c r="AV726">
        <f t="shared" si="34"/>
        <v>828.9</v>
      </c>
      <c r="AW726">
        <v>55</v>
      </c>
      <c r="AX726">
        <v>654</v>
      </c>
      <c r="AY726">
        <v>666</v>
      </c>
      <c r="AZ726">
        <v>8.9</v>
      </c>
      <c r="BC726" t="s">
        <v>158</v>
      </c>
    </row>
    <row r="727" spans="3:55" x14ac:dyDescent="0.45">
      <c r="C727">
        <v>68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10</v>
      </c>
      <c r="K727">
        <v>10.199999999999999</v>
      </c>
      <c r="L727">
        <v>5.3</v>
      </c>
      <c r="M727">
        <v>6.5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f t="shared" si="35"/>
        <v>8.1559999999999988</v>
      </c>
      <c r="AU727">
        <f t="shared" si="33"/>
        <v>3.833333333333333</v>
      </c>
      <c r="AV727">
        <f t="shared" si="34"/>
        <v>789.94999999999993</v>
      </c>
      <c r="AW727">
        <v>48</v>
      </c>
      <c r="AX727">
        <v>478</v>
      </c>
      <c r="AY727">
        <v>715</v>
      </c>
      <c r="AZ727">
        <v>7.6</v>
      </c>
      <c r="BC727" t="s">
        <v>159</v>
      </c>
    </row>
    <row r="728" spans="3:55" x14ac:dyDescent="0.45">
      <c r="C728">
        <v>61.7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9.1</v>
      </c>
      <c r="K728">
        <v>18.5</v>
      </c>
      <c r="L728">
        <v>4.8</v>
      </c>
      <c r="M728">
        <v>5.9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f t="shared" si="35"/>
        <v>9.98</v>
      </c>
      <c r="AU728">
        <f t="shared" si="33"/>
        <v>3.4833333333333334</v>
      </c>
      <c r="AV728">
        <f t="shared" si="34"/>
        <v>798.39</v>
      </c>
      <c r="AW728">
        <v>72</v>
      </c>
      <c r="AX728">
        <v>499</v>
      </c>
      <c r="AY728">
        <v>519</v>
      </c>
      <c r="AZ728">
        <v>6.4</v>
      </c>
      <c r="BC728" t="s">
        <v>159</v>
      </c>
    </row>
    <row r="729" spans="3:55" x14ac:dyDescent="0.45">
      <c r="C729">
        <v>65.599999999999994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9.3000000000000007</v>
      </c>
      <c r="K729">
        <v>14.2</v>
      </c>
      <c r="L729">
        <v>4.9000000000000004</v>
      </c>
      <c r="M729">
        <v>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f t="shared" si="35"/>
        <v>8.8760000000000012</v>
      </c>
      <c r="AU729">
        <f t="shared" si="33"/>
        <v>3.55</v>
      </c>
      <c r="AV729">
        <f t="shared" si="34"/>
        <v>796.48000000000013</v>
      </c>
      <c r="AW729">
        <v>56</v>
      </c>
      <c r="AX729">
        <v>566</v>
      </c>
      <c r="AY729">
        <v>701</v>
      </c>
      <c r="AZ729">
        <v>13.6</v>
      </c>
      <c r="BC729" t="s">
        <v>159</v>
      </c>
    </row>
    <row r="730" spans="3:55" x14ac:dyDescent="0.45">
      <c r="C730">
        <v>69.599999999999994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9.5</v>
      </c>
      <c r="K730">
        <v>9.6999999999999993</v>
      </c>
      <c r="L730">
        <v>5</v>
      </c>
      <c r="M730">
        <v>6.2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f t="shared" si="35"/>
        <v>7.7160000000000002</v>
      </c>
      <c r="AU730">
        <f t="shared" si="33"/>
        <v>3.6500000000000004</v>
      </c>
      <c r="AV730">
        <f t="shared" si="34"/>
        <v>794.99</v>
      </c>
      <c r="AW730">
        <v>54</v>
      </c>
      <c r="AX730">
        <v>235</v>
      </c>
      <c r="AY730">
        <v>715</v>
      </c>
      <c r="AZ730">
        <v>12.5</v>
      </c>
      <c r="BC730" t="s">
        <v>159</v>
      </c>
    </row>
    <row r="731" spans="3:55" x14ac:dyDescent="0.45">
      <c r="C731">
        <v>73.8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4.9000000000000004</v>
      </c>
      <c r="K731">
        <v>9.9</v>
      </c>
      <c r="L731">
        <v>5.0999999999999996</v>
      </c>
      <c r="M731">
        <v>6.3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f t="shared" si="35"/>
        <v>7.8719999999999999</v>
      </c>
      <c r="AU731">
        <f t="shared" si="33"/>
        <v>2.916666666666667</v>
      </c>
      <c r="AV731">
        <f t="shared" si="34"/>
        <v>826.2</v>
      </c>
      <c r="AW731">
        <v>59</v>
      </c>
      <c r="AX731">
        <v>275</v>
      </c>
      <c r="AY731">
        <v>762</v>
      </c>
      <c r="AZ731">
        <v>13.8</v>
      </c>
      <c r="BC731" t="s">
        <v>159</v>
      </c>
    </row>
    <row r="732" spans="3:55" x14ac:dyDescent="0.45">
      <c r="C732">
        <v>68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5</v>
      </c>
      <c r="K732">
        <v>15.2</v>
      </c>
      <c r="L732">
        <v>5.3</v>
      </c>
      <c r="M732">
        <v>6.5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f t="shared" si="35"/>
        <v>9.5560000000000009</v>
      </c>
      <c r="AU732">
        <f t="shared" si="33"/>
        <v>3</v>
      </c>
      <c r="AV732">
        <f t="shared" si="34"/>
        <v>824.44999999999993</v>
      </c>
      <c r="AW732">
        <v>55</v>
      </c>
      <c r="AX732">
        <v>533</v>
      </c>
      <c r="AY732">
        <v>692</v>
      </c>
      <c r="AZ732">
        <v>14.2</v>
      </c>
      <c r="BC732" t="s">
        <v>159</v>
      </c>
    </row>
    <row r="733" spans="3:55" x14ac:dyDescent="0.45">
      <c r="C733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9</v>
      </c>
      <c r="K733">
        <v>35</v>
      </c>
      <c r="L733">
        <v>6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20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800</v>
      </c>
      <c r="AD733">
        <v>0.5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f t="shared" si="35"/>
        <v>15.8</v>
      </c>
      <c r="AU733">
        <f t="shared" si="33"/>
        <v>2.833333333333333</v>
      </c>
      <c r="AV733">
        <f t="shared" si="34"/>
        <v>779.69999999999993</v>
      </c>
      <c r="AY733">
        <v>797</v>
      </c>
      <c r="AZ733">
        <v>14.12</v>
      </c>
      <c r="BC733" t="s">
        <v>160</v>
      </c>
    </row>
    <row r="734" spans="3:55" x14ac:dyDescent="0.45">
      <c r="C734">
        <v>46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9</v>
      </c>
      <c r="K734">
        <v>35</v>
      </c>
      <c r="L734">
        <v>6</v>
      </c>
      <c r="M734">
        <v>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20</v>
      </c>
      <c r="X734">
        <v>23</v>
      </c>
      <c r="Y734">
        <v>0</v>
      </c>
      <c r="Z734">
        <v>1</v>
      </c>
      <c r="AA734">
        <v>0</v>
      </c>
      <c r="AB734">
        <v>0</v>
      </c>
      <c r="AC734">
        <v>800</v>
      </c>
      <c r="AD734">
        <v>0.5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f t="shared" si="35"/>
        <v>15.8</v>
      </c>
      <c r="AU734">
        <f t="shared" si="33"/>
        <v>2.833333333333333</v>
      </c>
      <c r="AV734">
        <f t="shared" si="34"/>
        <v>779.69999999999993</v>
      </c>
      <c r="AY734">
        <v>857</v>
      </c>
      <c r="AZ734">
        <v>12.41</v>
      </c>
      <c r="BC734" t="s">
        <v>161</v>
      </c>
    </row>
    <row r="735" spans="3:55" x14ac:dyDescent="0.45">
      <c r="C735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9</v>
      </c>
      <c r="K735">
        <v>35</v>
      </c>
      <c r="L735">
        <v>6</v>
      </c>
      <c r="M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20</v>
      </c>
      <c r="X735">
        <v>44</v>
      </c>
      <c r="Y735">
        <v>0</v>
      </c>
      <c r="Z735">
        <v>1</v>
      </c>
      <c r="AA735">
        <v>0</v>
      </c>
      <c r="AB735">
        <v>0</v>
      </c>
      <c r="AC735">
        <v>800</v>
      </c>
      <c r="AD735">
        <v>0.5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f t="shared" si="35"/>
        <v>15.8</v>
      </c>
      <c r="AU735">
        <f t="shared" si="33"/>
        <v>2.833333333333333</v>
      </c>
      <c r="AV735">
        <f t="shared" si="34"/>
        <v>779.69999999999993</v>
      </c>
      <c r="AY735">
        <v>935</v>
      </c>
      <c r="AZ735">
        <v>8.9</v>
      </c>
      <c r="BC735" t="s">
        <v>162</v>
      </c>
    </row>
    <row r="736" spans="3:55" x14ac:dyDescent="0.45">
      <c r="C736">
        <v>46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9</v>
      </c>
      <c r="K736">
        <v>35</v>
      </c>
      <c r="L736">
        <v>6</v>
      </c>
      <c r="M736">
        <v>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20</v>
      </c>
      <c r="X736">
        <v>66</v>
      </c>
      <c r="Y736">
        <v>0</v>
      </c>
      <c r="Z736">
        <v>1</v>
      </c>
      <c r="AA736">
        <v>0</v>
      </c>
      <c r="AB736">
        <v>0</v>
      </c>
      <c r="AC736">
        <v>800</v>
      </c>
      <c r="AD736">
        <v>0.5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f t="shared" si="35"/>
        <v>15.8</v>
      </c>
      <c r="AU736">
        <f t="shared" si="33"/>
        <v>2.833333333333333</v>
      </c>
      <c r="AV736">
        <f t="shared" si="34"/>
        <v>779.69999999999993</v>
      </c>
      <c r="AY736">
        <v>1009</v>
      </c>
      <c r="AZ736">
        <v>7.98</v>
      </c>
      <c r="BC736" t="s">
        <v>163</v>
      </c>
    </row>
    <row r="737" spans="3:55" x14ac:dyDescent="0.45">
      <c r="C737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9</v>
      </c>
      <c r="K737">
        <v>35</v>
      </c>
      <c r="L737">
        <v>6</v>
      </c>
      <c r="M737">
        <v>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20</v>
      </c>
      <c r="X737">
        <v>85</v>
      </c>
      <c r="Y737">
        <v>0</v>
      </c>
      <c r="Z737">
        <v>1</v>
      </c>
      <c r="AA737">
        <v>0</v>
      </c>
      <c r="AB737">
        <v>0</v>
      </c>
      <c r="AC737">
        <v>800</v>
      </c>
      <c r="AD737">
        <v>0.5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f t="shared" si="35"/>
        <v>15.8</v>
      </c>
      <c r="AU737">
        <f t="shared" si="33"/>
        <v>2.833333333333333</v>
      </c>
      <c r="AV737">
        <f t="shared" si="34"/>
        <v>779.69999999999993</v>
      </c>
      <c r="AY737">
        <v>1110</v>
      </c>
      <c r="AZ737">
        <v>4.42</v>
      </c>
      <c r="BC737" t="s">
        <v>164</v>
      </c>
    </row>
    <row r="738" spans="3:55" x14ac:dyDescent="0.45">
      <c r="C738">
        <v>61.7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9.1</v>
      </c>
      <c r="K738">
        <v>18.5</v>
      </c>
      <c r="L738">
        <v>4.8</v>
      </c>
      <c r="M738">
        <v>5.9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f t="shared" si="35"/>
        <v>9.98</v>
      </c>
      <c r="AU738">
        <f t="shared" si="33"/>
        <v>3.4833333333333334</v>
      </c>
      <c r="AV738">
        <f t="shared" si="34"/>
        <v>798.39</v>
      </c>
      <c r="AX738">
        <v>499</v>
      </c>
      <c r="AY738">
        <v>519</v>
      </c>
      <c r="AZ738">
        <v>6.4</v>
      </c>
      <c r="BC738" t="s">
        <v>108</v>
      </c>
    </row>
    <row r="739" spans="3:55" x14ac:dyDescent="0.45">
      <c r="C739">
        <v>65.599999999999994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9.3000000000000007</v>
      </c>
      <c r="K739">
        <v>14.2</v>
      </c>
      <c r="L739">
        <v>4.9000000000000004</v>
      </c>
      <c r="M739">
        <v>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f t="shared" si="35"/>
        <v>8.8760000000000012</v>
      </c>
      <c r="AU739">
        <f t="shared" si="33"/>
        <v>3.55</v>
      </c>
      <c r="AV739">
        <f t="shared" si="34"/>
        <v>796.48000000000013</v>
      </c>
      <c r="AX739">
        <v>566</v>
      </c>
      <c r="AY739">
        <v>701</v>
      </c>
      <c r="AZ739">
        <v>13.6</v>
      </c>
      <c r="BC739" t="s">
        <v>108</v>
      </c>
    </row>
    <row r="740" spans="3:55" x14ac:dyDescent="0.45">
      <c r="C740">
        <v>69.599999999999994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9.5</v>
      </c>
      <c r="K740">
        <v>9.6999999999999993</v>
      </c>
      <c r="L740">
        <v>5</v>
      </c>
      <c r="M740">
        <v>6.2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f t="shared" si="35"/>
        <v>7.7160000000000002</v>
      </c>
      <c r="AU740">
        <f t="shared" si="33"/>
        <v>3.6500000000000004</v>
      </c>
      <c r="AV740">
        <f t="shared" si="34"/>
        <v>794.99</v>
      </c>
      <c r="AX740">
        <v>235</v>
      </c>
      <c r="AY740">
        <v>715</v>
      </c>
      <c r="AZ740">
        <v>12.5</v>
      </c>
      <c r="BC740" t="s">
        <v>108</v>
      </c>
    </row>
    <row r="741" spans="3:55" x14ac:dyDescent="0.45">
      <c r="C741">
        <v>73.8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4.9000000000000004</v>
      </c>
      <c r="K741">
        <v>9.9</v>
      </c>
      <c r="L741">
        <v>5.0999999999999996</v>
      </c>
      <c r="M741">
        <v>6.3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f t="shared" si="35"/>
        <v>7.8719999999999999</v>
      </c>
      <c r="AU741">
        <f t="shared" si="33"/>
        <v>2.916666666666667</v>
      </c>
      <c r="AV741">
        <f t="shared" si="34"/>
        <v>826.2</v>
      </c>
      <c r="AX741">
        <v>275</v>
      </c>
      <c r="AY741">
        <v>762</v>
      </c>
      <c r="AZ741">
        <v>13.8</v>
      </c>
      <c r="BC741" t="s">
        <v>108</v>
      </c>
    </row>
    <row r="742" spans="3:55" x14ac:dyDescent="0.45">
      <c r="C742">
        <v>68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5</v>
      </c>
      <c r="K742">
        <v>15.2</v>
      </c>
      <c r="L742">
        <v>5.3</v>
      </c>
      <c r="M742">
        <v>6.5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f t="shared" si="35"/>
        <v>9.5560000000000009</v>
      </c>
      <c r="AU742">
        <f t="shared" si="33"/>
        <v>3</v>
      </c>
      <c r="AV742">
        <f t="shared" si="34"/>
        <v>824.44999999999993</v>
      </c>
      <c r="AX742">
        <v>533</v>
      </c>
      <c r="AY742">
        <v>692</v>
      </c>
      <c r="AZ742">
        <v>14.2</v>
      </c>
      <c r="BC742" t="s">
        <v>108</v>
      </c>
    </row>
    <row r="743" spans="3:55" x14ac:dyDescent="0.45">
      <c r="C743">
        <v>68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10</v>
      </c>
      <c r="K743">
        <v>10.199999999999999</v>
      </c>
      <c r="L743">
        <v>5.3</v>
      </c>
      <c r="M743">
        <v>6.5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f t="shared" si="35"/>
        <v>8.1559999999999988</v>
      </c>
      <c r="AU743">
        <f t="shared" si="33"/>
        <v>3.833333333333333</v>
      </c>
      <c r="AV743">
        <f t="shared" si="34"/>
        <v>789.94999999999993</v>
      </c>
      <c r="AX743">
        <v>478</v>
      </c>
      <c r="AY743">
        <v>715</v>
      </c>
      <c r="AZ743">
        <v>7.6</v>
      </c>
      <c r="BC743" t="s">
        <v>108</v>
      </c>
    </row>
    <row r="744" spans="3:55" x14ac:dyDescent="0.45">
      <c r="C744">
        <v>68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10</v>
      </c>
      <c r="K744">
        <v>10.199999999999999</v>
      </c>
      <c r="L744">
        <v>5.3</v>
      </c>
      <c r="M744">
        <v>6.5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90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f t="shared" si="35"/>
        <v>8.1559999999999988</v>
      </c>
      <c r="AU744">
        <f t="shared" si="33"/>
        <v>3.833333333333333</v>
      </c>
      <c r="AV744">
        <f t="shared" si="34"/>
        <v>789.94999999999993</v>
      </c>
      <c r="AX744">
        <v>558</v>
      </c>
      <c r="AY744">
        <v>738</v>
      </c>
      <c r="AZ744">
        <v>2.7</v>
      </c>
      <c r="BC744" t="s">
        <v>108</v>
      </c>
    </row>
    <row r="745" spans="3:55" x14ac:dyDescent="0.45">
      <c r="C745">
        <v>68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10</v>
      </c>
      <c r="K745">
        <v>10.199999999999999</v>
      </c>
      <c r="L745">
        <v>5.3</v>
      </c>
      <c r="M745">
        <v>6.5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90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950</v>
      </c>
      <c r="AD745">
        <v>2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f t="shared" si="35"/>
        <v>8.1559999999999988</v>
      </c>
      <c r="AU745">
        <f t="shared" si="33"/>
        <v>3.833333333333333</v>
      </c>
      <c r="AV745">
        <f t="shared" si="34"/>
        <v>789.94999999999993</v>
      </c>
      <c r="AX745">
        <v>408</v>
      </c>
      <c r="AY745">
        <v>577</v>
      </c>
      <c r="AZ745">
        <v>6.7</v>
      </c>
      <c r="BC745" t="s">
        <v>108</v>
      </c>
    </row>
    <row r="746" spans="3:55" x14ac:dyDescent="0.45">
      <c r="C746">
        <v>68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10</v>
      </c>
      <c r="K746">
        <v>10.199999999999999</v>
      </c>
      <c r="L746">
        <v>5.3</v>
      </c>
      <c r="M746">
        <v>6.5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90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400</v>
      </c>
      <c r="AI746">
        <v>0.33333333300000001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f t="shared" si="35"/>
        <v>8.1559999999999988</v>
      </c>
      <c r="AU746">
        <f t="shared" si="33"/>
        <v>3.833333333333333</v>
      </c>
      <c r="AV746">
        <f t="shared" si="34"/>
        <v>789.94999999999993</v>
      </c>
      <c r="AX746">
        <v>1176</v>
      </c>
      <c r="AY746">
        <v>1369</v>
      </c>
      <c r="AZ746">
        <v>2.9</v>
      </c>
      <c r="BC746" t="s">
        <v>108</v>
      </c>
    </row>
    <row r="747" spans="3:55" x14ac:dyDescent="0.45">
      <c r="C747">
        <v>68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10</v>
      </c>
      <c r="K747">
        <v>10.199999999999999</v>
      </c>
      <c r="L747">
        <v>5.3</v>
      </c>
      <c r="M747">
        <v>6.5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90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950</v>
      </c>
      <c r="AD747">
        <v>1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f t="shared" si="35"/>
        <v>8.1559999999999988</v>
      </c>
      <c r="AU747">
        <f t="shared" si="33"/>
        <v>3.833333333333333</v>
      </c>
      <c r="AV747">
        <f t="shared" si="34"/>
        <v>789.94999999999993</v>
      </c>
      <c r="AX747">
        <v>602</v>
      </c>
      <c r="AY747">
        <v>813</v>
      </c>
      <c r="AZ747">
        <v>8.1</v>
      </c>
      <c r="BB747" t="s">
        <v>352</v>
      </c>
      <c r="BC747" t="s">
        <v>108</v>
      </c>
    </row>
    <row r="748" spans="3:55" x14ac:dyDescent="0.45">
      <c r="C748">
        <v>68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10</v>
      </c>
      <c r="K748">
        <v>10.199999999999999</v>
      </c>
      <c r="L748">
        <v>5.3</v>
      </c>
      <c r="M748">
        <v>6.5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90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950</v>
      </c>
      <c r="AD748">
        <v>1</v>
      </c>
      <c r="AE748">
        <v>1</v>
      </c>
      <c r="AF748">
        <v>0</v>
      </c>
      <c r="AG748">
        <v>0</v>
      </c>
      <c r="AH748">
        <v>400</v>
      </c>
      <c r="AI748">
        <v>0.33333333300000001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f t="shared" si="35"/>
        <v>8.1559999999999988</v>
      </c>
      <c r="AU748">
        <f t="shared" si="33"/>
        <v>3.833333333333333</v>
      </c>
      <c r="AV748">
        <f t="shared" si="34"/>
        <v>789.94999999999993</v>
      </c>
      <c r="AX748">
        <v>488</v>
      </c>
      <c r="AY748">
        <v>635</v>
      </c>
      <c r="AZ748">
        <v>1.5</v>
      </c>
      <c r="BB748" t="s">
        <v>352</v>
      </c>
      <c r="BC748" t="s">
        <v>108</v>
      </c>
    </row>
    <row r="749" spans="3:55" x14ac:dyDescent="0.45">
      <c r="C749">
        <v>76.38000000000001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5.91</v>
      </c>
      <c r="K749">
        <v>11.799999999999999</v>
      </c>
      <c r="L749">
        <v>2.96</v>
      </c>
      <c r="M749">
        <v>2.9499999999999997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f t="shared" si="35"/>
        <v>6.2639999999999993</v>
      </c>
      <c r="AU749">
        <f t="shared" si="33"/>
        <v>1.9683333333333333</v>
      </c>
      <c r="AV749">
        <f t="shared" si="34"/>
        <v>825.49099999999999</v>
      </c>
      <c r="AW749">
        <v>72</v>
      </c>
      <c r="AX749">
        <v>499</v>
      </c>
      <c r="BB749" t="s">
        <v>352</v>
      </c>
      <c r="BC749" t="s">
        <v>60</v>
      </c>
    </row>
    <row r="750" spans="3:55" x14ac:dyDescent="0.45">
      <c r="C750">
        <v>79.36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5.8999999999999995</v>
      </c>
      <c r="K750">
        <v>8.85</v>
      </c>
      <c r="L750">
        <v>2.96</v>
      </c>
      <c r="M750">
        <v>2.93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f t="shared" si="35"/>
        <v>5.4380000000000006</v>
      </c>
      <c r="AU750">
        <f t="shared" si="33"/>
        <v>1.96</v>
      </c>
      <c r="AV750">
        <f t="shared" si="34"/>
        <v>825.476</v>
      </c>
      <c r="AW750">
        <v>56</v>
      </c>
      <c r="AX750">
        <v>566</v>
      </c>
      <c r="BB750" t="s">
        <v>352</v>
      </c>
      <c r="BC750" t="s">
        <v>60</v>
      </c>
    </row>
    <row r="751" spans="3:55" x14ac:dyDescent="0.45">
      <c r="C751">
        <v>81.22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3.1300000000000003</v>
      </c>
      <c r="K751">
        <v>9.35</v>
      </c>
      <c r="L751">
        <v>3.16</v>
      </c>
      <c r="M751">
        <v>3.1300000000000003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f t="shared" si="35"/>
        <v>5.7780000000000005</v>
      </c>
      <c r="AU751">
        <f t="shared" si="33"/>
        <v>1.5650000000000002</v>
      </c>
      <c r="AV751">
        <f t="shared" si="34"/>
        <v>843.529</v>
      </c>
      <c r="AW751">
        <v>55</v>
      </c>
      <c r="AX751">
        <v>533</v>
      </c>
      <c r="BB751" t="s">
        <v>304</v>
      </c>
      <c r="BC751" t="s">
        <v>60</v>
      </c>
    </row>
    <row r="752" spans="3:55" x14ac:dyDescent="0.45">
      <c r="C752">
        <v>79.990000000000009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1.8800000000000001</v>
      </c>
      <c r="K752">
        <v>15.379999999999999</v>
      </c>
      <c r="L752">
        <v>1.79</v>
      </c>
      <c r="M752">
        <v>0.96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f t="shared" si="35"/>
        <v>6.0964</v>
      </c>
      <c r="AU752">
        <f t="shared" si="33"/>
        <v>0.6333333333333333</v>
      </c>
      <c r="AV752">
        <f t="shared" si="34"/>
        <v>856.05500000000006</v>
      </c>
      <c r="AW752">
        <v>83</v>
      </c>
      <c r="AX752">
        <v>499.1</v>
      </c>
      <c r="BB752" t="s">
        <v>305</v>
      </c>
      <c r="BC752" t="s">
        <v>60</v>
      </c>
    </row>
    <row r="753" spans="3:55" x14ac:dyDescent="0.45">
      <c r="C753">
        <v>80.64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1.7399999999999998</v>
      </c>
      <c r="K753">
        <v>14.93</v>
      </c>
      <c r="L753">
        <v>1.78</v>
      </c>
      <c r="M753">
        <v>0.91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f t="shared" si="35"/>
        <v>5.9604000000000008</v>
      </c>
      <c r="AU753">
        <f t="shared" si="33"/>
        <v>0.59333333333333327</v>
      </c>
      <c r="AV753">
        <f t="shared" si="34"/>
        <v>856.90600000000006</v>
      </c>
      <c r="AW753">
        <v>72</v>
      </c>
      <c r="AX753">
        <v>534</v>
      </c>
      <c r="BB753" t="s">
        <v>306</v>
      </c>
      <c r="BC753" t="s">
        <v>60</v>
      </c>
    </row>
    <row r="754" spans="3:55" x14ac:dyDescent="0.45">
      <c r="C754">
        <v>78.400000000000006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1.97</v>
      </c>
      <c r="K754">
        <v>15.329999999999998</v>
      </c>
      <c r="L754">
        <v>3.32</v>
      </c>
      <c r="M754">
        <v>0.98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f t="shared" si="35"/>
        <v>7.6123999999999992</v>
      </c>
      <c r="AU754">
        <f t="shared" si="33"/>
        <v>0.65500000000000003</v>
      </c>
      <c r="AV754">
        <f t="shared" si="34"/>
        <v>840.98300000000006</v>
      </c>
      <c r="AW754">
        <v>68</v>
      </c>
      <c r="AX754">
        <v>491</v>
      </c>
      <c r="BB754" t="s">
        <v>307</v>
      </c>
      <c r="BC754" t="s">
        <v>60</v>
      </c>
    </row>
    <row r="755" spans="3:55" x14ac:dyDescent="0.45">
      <c r="C755">
        <v>81.25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6.25</v>
      </c>
      <c r="K755">
        <v>6.25</v>
      </c>
      <c r="L755">
        <v>3.13</v>
      </c>
      <c r="M755">
        <v>3.12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f t="shared" si="35"/>
        <v>4.88</v>
      </c>
      <c r="AU755">
        <f t="shared" si="33"/>
        <v>2.081666666666667</v>
      </c>
      <c r="AV755">
        <f t="shared" si="34"/>
        <v>822.24400000000003</v>
      </c>
      <c r="AW755">
        <v>48</v>
      </c>
      <c r="BB755" t="s">
        <v>308</v>
      </c>
    </row>
    <row r="756" spans="3:55" x14ac:dyDescent="0.45">
      <c r="C756">
        <v>75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12.5</v>
      </c>
      <c r="K756">
        <v>6.25</v>
      </c>
      <c r="L756">
        <v>3.13</v>
      </c>
      <c r="M756">
        <v>3.12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f t="shared" si="35"/>
        <v>4.88</v>
      </c>
      <c r="AU756">
        <f t="shared" si="33"/>
        <v>3.1233333333333335</v>
      </c>
      <c r="AV756">
        <f t="shared" si="34"/>
        <v>779.11900000000003</v>
      </c>
      <c r="AW756">
        <v>56</v>
      </c>
      <c r="BB756" t="s">
        <v>309</v>
      </c>
    </row>
    <row r="757" spans="3:55" x14ac:dyDescent="0.45">
      <c r="C757">
        <v>76.47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5.88</v>
      </c>
      <c r="K757">
        <v>11.76</v>
      </c>
      <c r="L757">
        <v>2.94</v>
      </c>
      <c r="M757">
        <v>2.95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f t="shared" si="35"/>
        <v>6.2328000000000001</v>
      </c>
      <c r="AU757">
        <f t="shared" si="33"/>
        <v>1.9633333333333334</v>
      </c>
      <c r="AV757">
        <f t="shared" si="34"/>
        <v>825.88800000000003</v>
      </c>
      <c r="AW757">
        <v>72</v>
      </c>
      <c r="BB757" t="s">
        <v>310</v>
      </c>
    </row>
    <row r="758" spans="3:55" x14ac:dyDescent="0.45">
      <c r="C758">
        <v>68.099999999999994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10</v>
      </c>
      <c r="K758">
        <v>10.199999999999999</v>
      </c>
      <c r="L758">
        <v>5.2</v>
      </c>
      <c r="M758">
        <v>6.5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f t="shared" si="35"/>
        <v>8.0560000000000009</v>
      </c>
      <c r="AU758">
        <f t="shared" si="33"/>
        <v>3.833333333333333</v>
      </c>
      <c r="AV758">
        <f t="shared" si="34"/>
        <v>790.9</v>
      </c>
      <c r="AW758">
        <v>48</v>
      </c>
      <c r="BB758" t="s">
        <v>311</v>
      </c>
    </row>
    <row r="759" spans="3:55" x14ac:dyDescent="0.45">
      <c r="C759">
        <v>60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19.100000000000001</v>
      </c>
      <c r="K759">
        <v>9.6999999999999993</v>
      </c>
      <c r="L759">
        <v>5</v>
      </c>
      <c r="M759">
        <v>6.2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f t="shared" si="35"/>
        <v>7.7160000000000002</v>
      </c>
      <c r="AU759">
        <f t="shared" si="33"/>
        <v>5.25</v>
      </c>
      <c r="AV759">
        <f t="shared" si="34"/>
        <v>728.75</v>
      </c>
      <c r="AW759">
        <v>56</v>
      </c>
      <c r="BB759" t="s">
        <v>312</v>
      </c>
    </row>
    <row r="760" spans="3:55" x14ac:dyDescent="0.45">
      <c r="C760">
        <v>61.9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9.1</v>
      </c>
      <c r="K760">
        <v>18.5</v>
      </c>
      <c r="L760">
        <v>4.7</v>
      </c>
      <c r="M760">
        <v>5.8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f t="shared" si="35"/>
        <v>9.8800000000000008</v>
      </c>
      <c r="AU760">
        <f t="shared" si="33"/>
        <v>3.45</v>
      </c>
      <c r="AV760">
        <f t="shared" si="34"/>
        <v>798.92000000000007</v>
      </c>
      <c r="AW760">
        <v>72</v>
      </c>
      <c r="BB760" t="s">
        <v>313</v>
      </c>
    </row>
    <row r="761" spans="3:55" x14ac:dyDescent="0.45">
      <c r="C761">
        <v>54.7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17.399999999999999</v>
      </c>
      <c r="K761">
        <v>17.8</v>
      </c>
      <c r="L761">
        <v>4.5</v>
      </c>
      <c r="M761">
        <v>5.6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f t="shared" si="35"/>
        <v>9.4840000000000018</v>
      </c>
      <c r="AU761">
        <f t="shared" si="33"/>
        <v>4.7666666666666666</v>
      </c>
      <c r="AV761">
        <f t="shared" si="34"/>
        <v>742.71</v>
      </c>
      <c r="AW761">
        <v>82</v>
      </c>
      <c r="BB761" t="s">
        <v>314</v>
      </c>
    </row>
    <row r="762" spans="3:55" x14ac:dyDescent="0.45">
      <c r="C762">
        <v>56.6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8.1999999999999993</v>
      </c>
      <c r="K762">
        <v>25.4</v>
      </c>
      <c r="L762">
        <v>4.4000000000000004</v>
      </c>
      <c r="M762">
        <v>5.4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f t="shared" si="35"/>
        <v>11.512</v>
      </c>
      <c r="AU762">
        <f t="shared" si="33"/>
        <v>3.1666666666666665</v>
      </c>
      <c r="AV762">
        <f t="shared" si="34"/>
        <v>806.3</v>
      </c>
      <c r="AW762">
        <v>66</v>
      </c>
    </row>
    <row r="763" spans="3:55" x14ac:dyDescent="0.45">
      <c r="C763">
        <v>50.2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15.9</v>
      </c>
      <c r="K763">
        <v>24.4</v>
      </c>
      <c r="L763">
        <v>4.3</v>
      </c>
      <c r="M763">
        <v>5.2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f t="shared" si="35"/>
        <v>11.132</v>
      </c>
      <c r="AU763">
        <f t="shared" si="33"/>
        <v>4.3833333333333329</v>
      </c>
      <c r="AV763">
        <f t="shared" si="34"/>
        <v>753.28</v>
      </c>
      <c r="AW763">
        <v>72</v>
      </c>
    </row>
    <row r="764" spans="3:55" x14ac:dyDescent="0.45">
      <c r="C764">
        <v>81.3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7.5</v>
      </c>
      <c r="K764">
        <v>5</v>
      </c>
      <c r="L764">
        <v>3.1</v>
      </c>
      <c r="M764">
        <v>3.1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f t="shared" si="35"/>
        <v>4.5</v>
      </c>
      <c r="AU764">
        <f t="shared" si="33"/>
        <v>2.2833333333333332</v>
      </c>
      <c r="AV764">
        <f t="shared" si="34"/>
        <v>813.81999999999994</v>
      </c>
      <c r="AW764">
        <v>58</v>
      </c>
    </row>
    <row r="765" spans="3:55" x14ac:dyDescent="0.45">
      <c r="C765">
        <v>81.3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9.4</v>
      </c>
      <c r="K765">
        <v>3.1</v>
      </c>
      <c r="L765">
        <v>3.1</v>
      </c>
      <c r="M765">
        <v>3.1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f t="shared" si="35"/>
        <v>3.968</v>
      </c>
      <c r="AU765">
        <f t="shared" si="33"/>
        <v>2.6</v>
      </c>
      <c r="AV765">
        <f t="shared" si="34"/>
        <v>800.70999999999992</v>
      </c>
      <c r="AW765">
        <v>56</v>
      </c>
    </row>
    <row r="766" spans="3:55" x14ac:dyDescent="0.45">
      <c r="C766">
        <v>81.17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6.27</v>
      </c>
      <c r="K766">
        <v>6.27</v>
      </c>
      <c r="L766">
        <v>3.16</v>
      </c>
      <c r="M766">
        <v>3.13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f t="shared" si="35"/>
        <v>4.9156000000000004</v>
      </c>
      <c r="AU766">
        <f t="shared" si="33"/>
        <v>2.0883333333333329</v>
      </c>
      <c r="AV766">
        <f t="shared" si="34"/>
        <v>821.86299999999994</v>
      </c>
      <c r="AW766">
        <v>48</v>
      </c>
    </row>
    <row r="767" spans="3:55" x14ac:dyDescent="0.45">
      <c r="C767">
        <v>76.38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5.91</v>
      </c>
      <c r="K767">
        <v>11.8</v>
      </c>
      <c r="L767">
        <v>2.96</v>
      </c>
      <c r="M767">
        <v>2.95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f t="shared" si="35"/>
        <v>6.2640000000000011</v>
      </c>
      <c r="AU767">
        <f t="shared" si="33"/>
        <v>1.9683333333333333</v>
      </c>
      <c r="AV767">
        <f t="shared" si="34"/>
        <v>825.49099999999999</v>
      </c>
      <c r="AW767">
        <v>72</v>
      </c>
    </row>
    <row r="768" spans="3:55" x14ac:dyDescent="0.45">
      <c r="C768">
        <v>79.36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5.9</v>
      </c>
      <c r="K768">
        <v>8.85</v>
      </c>
      <c r="L768">
        <v>2.96</v>
      </c>
      <c r="M768">
        <v>2.93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f t="shared" si="35"/>
        <v>5.4380000000000006</v>
      </c>
      <c r="AU768">
        <f t="shared" si="33"/>
        <v>1.96</v>
      </c>
      <c r="AV768">
        <f t="shared" si="34"/>
        <v>825.476</v>
      </c>
      <c r="AW768">
        <v>56</v>
      </c>
    </row>
    <row r="769" spans="3:55" x14ac:dyDescent="0.45">
      <c r="C769">
        <v>82.3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5.9</v>
      </c>
      <c r="K769">
        <v>5.9</v>
      </c>
      <c r="L769">
        <v>2.95</v>
      </c>
      <c r="M769">
        <v>2.95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f t="shared" si="35"/>
        <v>4.6020000000000003</v>
      </c>
      <c r="AU769">
        <f t="shared" si="33"/>
        <v>1.9666666666666668</v>
      </c>
      <c r="AV769">
        <f t="shared" si="34"/>
        <v>825.65499999999997</v>
      </c>
      <c r="AW769">
        <v>54</v>
      </c>
    </row>
    <row r="770" spans="3:55" x14ac:dyDescent="0.45">
      <c r="C770">
        <v>85.25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2.97</v>
      </c>
      <c r="K770">
        <v>5.9</v>
      </c>
      <c r="L770">
        <v>2.94</v>
      </c>
      <c r="M770">
        <v>2.94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f t="shared" si="35"/>
        <v>4.5920000000000005</v>
      </c>
      <c r="AU770">
        <f t="shared" ref="AU770:AU833" si="36">D770+J770/6+M770/3+(T770+S770)/10</f>
        <v>1.4750000000000001</v>
      </c>
      <c r="AV770">
        <f t="shared" ref="AV770:AV833" si="37">882+2.1*D770-9.5*L770+4.2*M770-6.9*J770-11.8*E770-12.1*F770-15.4*H770+23.3*Q770+123*T770</f>
        <v>845.92499999999995</v>
      </c>
      <c r="AW770">
        <v>59</v>
      </c>
    </row>
    <row r="771" spans="3:55" x14ac:dyDescent="0.45">
      <c r="C771">
        <v>81.22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3.13</v>
      </c>
      <c r="K771">
        <v>9.36</v>
      </c>
      <c r="L771">
        <v>3.16</v>
      </c>
      <c r="M771">
        <v>3.13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f t="shared" ref="AT771:AT834" si="38">L771+0.67*E771+0.44*P771+0.28*K771+0.22*O771+2.9*H771+1.6*F771+1.7*G771-D771</f>
        <v>5.7808000000000002</v>
      </c>
      <c r="AU771">
        <f t="shared" si="36"/>
        <v>1.5649999999999999</v>
      </c>
      <c r="AV771">
        <f t="shared" si="37"/>
        <v>843.529</v>
      </c>
      <c r="AW771">
        <v>55</v>
      </c>
    </row>
    <row r="772" spans="3:55" x14ac:dyDescent="0.45">
      <c r="C772">
        <v>72.22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5.56</v>
      </c>
      <c r="K772">
        <v>16.670000000000002</v>
      </c>
      <c r="L772">
        <v>2.78</v>
      </c>
      <c r="M772">
        <v>2.77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f t="shared" si="38"/>
        <v>7.4476000000000013</v>
      </c>
      <c r="AU772">
        <f t="shared" si="36"/>
        <v>1.85</v>
      </c>
      <c r="AV772">
        <f t="shared" si="37"/>
        <v>828.86</v>
      </c>
      <c r="AW772">
        <v>66</v>
      </c>
    </row>
    <row r="773" spans="3:55" x14ac:dyDescent="0.45">
      <c r="C773">
        <v>78.92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1.9</v>
      </c>
      <c r="K773">
        <v>14.9</v>
      </c>
      <c r="L773">
        <v>3.31</v>
      </c>
      <c r="M773">
        <v>0.97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f t="shared" si="38"/>
        <v>7.4820000000000011</v>
      </c>
      <c r="AU773">
        <f t="shared" si="36"/>
        <v>0.6399999999999999</v>
      </c>
      <c r="AV773">
        <f t="shared" si="37"/>
        <v>841.51899999999989</v>
      </c>
      <c r="AW773">
        <v>63</v>
      </c>
    </row>
    <row r="774" spans="3:55" x14ac:dyDescent="0.45">
      <c r="C774">
        <v>80.72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1.87</v>
      </c>
      <c r="K774">
        <v>14.68</v>
      </c>
      <c r="L774">
        <v>1.77</v>
      </c>
      <c r="M774">
        <v>0.96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f t="shared" si="38"/>
        <v>5.8803999999999998</v>
      </c>
      <c r="AU774">
        <f t="shared" si="36"/>
        <v>0.63166666666666671</v>
      </c>
      <c r="AV774">
        <f t="shared" si="37"/>
        <v>856.31399999999996</v>
      </c>
      <c r="AW774">
        <v>69</v>
      </c>
    </row>
    <row r="775" spans="3:55" x14ac:dyDescent="0.45">
      <c r="C775">
        <v>80.23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0.63</v>
      </c>
      <c r="K775">
        <v>15.42</v>
      </c>
      <c r="L775">
        <v>1.79</v>
      </c>
      <c r="M775">
        <v>1.93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f t="shared" si="38"/>
        <v>6.1076000000000006</v>
      </c>
      <c r="AU775">
        <f t="shared" si="36"/>
        <v>0.74833333333333329</v>
      </c>
      <c r="AV775">
        <f t="shared" si="37"/>
        <v>868.75400000000002</v>
      </c>
      <c r="AW775">
        <v>58</v>
      </c>
    </row>
    <row r="776" spans="3:55" x14ac:dyDescent="0.45">
      <c r="C776">
        <v>79.989999999999995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1.88</v>
      </c>
      <c r="K776">
        <v>15.38</v>
      </c>
      <c r="L776">
        <v>1.79</v>
      </c>
      <c r="M776">
        <v>0.96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f t="shared" si="38"/>
        <v>6.0964000000000009</v>
      </c>
      <c r="AU776">
        <f t="shared" si="36"/>
        <v>0.6333333333333333</v>
      </c>
      <c r="AV776">
        <f t="shared" si="37"/>
        <v>856.05500000000006</v>
      </c>
      <c r="AW776">
        <v>69</v>
      </c>
    </row>
    <row r="777" spans="3:55" x14ac:dyDescent="0.45">
      <c r="C777">
        <v>83.67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3.05</v>
      </c>
      <c r="K777">
        <v>8.98</v>
      </c>
      <c r="L777">
        <v>2.9</v>
      </c>
      <c r="M777">
        <v>1.4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f t="shared" si="38"/>
        <v>5.4144000000000005</v>
      </c>
      <c r="AU777">
        <f t="shared" si="36"/>
        <v>0.97499999999999987</v>
      </c>
      <c r="AV777">
        <f t="shared" si="37"/>
        <v>839.28500000000008</v>
      </c>
      <c r="AW777">
        <v>65</v>
      </c>
    </row>
    <row r="778" spans="3:55" x14ac:dyDescent="0.45">
      <c r="C778">
        <v>80</v>
      </c>
      <c r="D778">
        <v>4</v>
      </c>
      <c r="E778">
        <v>5</v>
      </c>
      <c r="F778">
        <v>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800</v>
      </c>
      <c r="X778">
        <v>65.7</v>
      </c>
      <c r="Y778">
        <v>0</v>
      </c>
      <c r="Z778">
        <v>1</v>
      </c>
      <c r="AA778">
        <v>0</v>
      </c>
      <c r="AB778">
        <v>0</v>
      </c>
      <c r="AC778">
        <v>730</v>
      </c>
      <c r="AD778">
        <v>0.5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f t="shared" si="38"/>
        <v>13.950000000000003</v>
      </c>
      <c r="AU778">
        <f t="shared" si="36"/>
        <v>4</v>
      </c>
      <c r="AV778">
        <f t="shared" si="37"/>
        <v>711.3</v>
      </c>
      <c r="AY778">
        <v>973</v>
      </c>
      <c r="AZ778">
        <v>22</v>
      </c>
      <c r="BC778" t="s">
        <v>165</v>
      </c>
    </row>
    <row r="779" spans="3:55" x14ac:dyDescent="0.45">
      <c r="C779">
        <v>80</v>
      </c>
      <c r="D779">
        <v>4</v>
      </c>
      <c r="E779">
        <v>5</v>
      </c>
      <c r="F779">
        <v>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800</v>
      </c>
      <c r="X779">
        <v>65.7</v>
      </c>
      <c r="Y779">
        <v>0</v>
      </c>
      <c r="Z779">
        <v>1</v>
      </c>
      <c r="AA779">
        <v>0</v>
      </c>
      <c r="AB779">
        <v>0</v>
      </c>
      <c r="AC779">
        <v>760</v>
      </c>
      <c r="AD779">
        <v>0.5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f t="shared" si="38"/>
        <v>13.950000000000003</v>
      </c>
      <c r="AU779">
        <f t="shared" si="36"/>
        <v>4</v>
      </c>
      <c r="AV779">
        <f t="shared" si="37"/>
        <v>711.3</v>
      </c>
      <c r="AY779">
        <v>953.57</v>
      </c>
      <c r="AZ779">
        <v>23</v>
      </c>
      <c r="BC779" t="s">
        <v>166</v>
      </c>
    </row>
    <row r="780" spans="3:55" x14ac:dyDescent="0.45">
      <c r="C780">
        <v>80</v>
      </c>
      <c r="D780">
        <v>4</v>
      </c>
      <c r="E780">
        <v>5</v>
      </c>
      <c r="F780">
        <v>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800</v>
      </c>
      <c r="X780">
        <v>65.7</v>
      </c>
      <c r="Y780">
        <v>0</v>
      </c>
      <c r="Z780">
        <v>1</v>
      </c>
      <c r="AA780">
        <v>0</v>
      </c>
      <c r="AB780">
        <v>0</v>
      </c>
      <c r="AC780">
        <v>800</v>
      </c>
      <c r="AD780">
        <v>0.5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f t="shared" si="38"/>
        <v>13.950000000000003</v>
      </c>
      <c r="AU780">
        <f t="shared" si="36"/>
        <v>4</v>
      </c>
      <c r="AV780">
        <f t="shared" si="37"/>
        <v>711.3</v>
      </c>
      <c r="AY780">
        <v>875.28</v>
      </c>
      <c r="AZ780">
        <v>21.92</v>
      </c>
      <c r="BC780" t="s">
        <v>167</v>
      </c>
    </row>
    <row r="781" spans="3:55" x14ac:dyDescent="0.45">
      <c r="C781">
        <v>80</v>
      </c>
      <c r="D781">
        <v>4</v>
      </c>
      <c r="E781">
        <v>5</v>
      </c>
      <c r="F781">
        <v>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800</v>
      </c>
      <c r="X781">
        <v>65.7</v>
      </c>
      <c r="Y781">
        <v>0</v>
      </c>
      <c r="Z781">
        <v>1</v>
      </c>
      <c r="AA781">
        <v>0</v>
      </c>
      <c r="AB781">
        <v>0</v>
      </c>
      <c r="AC781">
        <v>830</v>
      </c>
      <c r="AD781">
        <v>0.5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f t="shared" si="38"/>
        <v>13.950000000000003</v>
      </c>
      <c r="AU781">
        <f t="shared" si="36"/>
        <v>4</v>
      </c>
      <c r="AV781">
        <f t="shared" si="37"/>
        <v>711.3</v>
      </c>
      <c r="AY781">
        <v>867.62</v>
      </c>
      <c r="AZ781">
        <v>22.9</v>
      </c>
      <c r="BC781" t="s">
        <v>168</v>
      </c>
    </row>
    <row r="782" spans="3:55" x14ac:dyDescent="0.45">
      <c r="C782">
        <v>80</v>
      </c>
      <c r="D782">
        <v>4</v>
      </c>
      <c r="E782">
        <v>5</v>
      </c>
      <c r="F782">
        <v>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800</v>
      </c>
      <c r="X782">
        <v>65.7</v>
      </c>
      <c r="Y782">
        <v>0</v>
      </c>
      <c r="Z782">
        <v>1</v>
      </c>
      <c r="AA782">
        <v>0</v>
      </c>
      <c r="AB782">
        <v>0</v>
      </c>
      <c r="AC782">
        <v>730</v>
      </c>
      <c r="AD782">
        <v>0.5</v>
      </c>
      <c r="AE782">
        <v>0</v>
      </c>
      <c r="AF782">
        <v>1</v>
      </c>
      <c r="AG782">
        <v>0</v>
      </c>
      <c r="AH782">
        <v>460</v>
      </c>
      <c r="AI782">
        <v>6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f t="shared" si="38"/>
        <v>13.950000000000003</v>
      </c>
      <c r="AU782">
        <f t="shared" si="36"/>
        <v>4</v>
      </c>
      <c r="AV782">
        <f t="shared" si="37"/>
        <v>711.3</v>
      </c>
      <c r="AY782">
        <v>1485.34</v>
      </c>
      <c r="AZ782">
        <v>10.119999999999999</v>
      </c>
      <c r="BC782" t="s">
        <v>169</v>
      </c>
    </row>
    <row r="783" spans="3:55" x14ac:dyDescent="0.45">
      <c r="C783">
        <v>80</v>
      </c>
      <c r="D783">
        <v>4</v>
      </c>
      <c r="E783">
        <v>5</v>
      </c>
      <c r="F783">
        <v>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800</v>
      </c>
      <c r="X783">
        <v>65.7</v>
      </c>
      <c r="Y783">
        <v>0</v>
      </c>
      <c r="Z783">
        <v>1</v>
      </c>
      <c r="AA783">
        <v>0</v>
      </c>
      <c r="AB783">
        <v>0</v>
      </c>
      <c r="AC783">
        <v>760</v>
      </c>
      <c r="AD783">
        <v>0.5</v>
      </c>
      <c r="AE783">
        <v>0</v>
      </c>
      <c r="AF783">
        <v>1</v>
      </c>
      <c r="AG783">
        <v>0</v>
      </c>
      <c r="AH783">
        <v>460</v>
      </c>
      <c r="AI783">
        <v>6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f t="shared" si="38"/>
        <v>13.950000000000003</v>
      </c>
      <c r="AU783">
        <f t="shared" si="36"/>
        <v>4</v>
      </c>
      <c r="AV783">
        <f t="shared" si="37"/>
        <v>711.3</v>
      </c>
      <c r="AY783">
        <v>1572.56</v>
      </c>
      <c r="AZ783">
        <v>6.18</v>
      </c>
      <c r="BC783" t="s">
        <v>170</v>
      </c>
    </row>
    <row r="784" spans="3:55" x14ac:dyDescent="0.45">
      <c r="C784">
        <v>80</v>
      </c>
      <c r="D784">
        <v>4</v>
      </c>
      <c r="E784">
        <v>5</v>
      </c>
      <c r="F784">
        <v>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800</v>
      </c>
      <c r="X784">
        <v>65.7</v>
      </c>
      <c r="Y784">
        <v>0</v>
      </c>
      <c r="Z784">
        <v>1</v>
      </c>
      <c r="AA784">
        <v>0</v>
      </c>
      <c r="AB784">
        <v>0</v>
      </c>
      <c r="AC784">
        <v>800</v>
      </c>
      <c r="AD784">
        <v>0.5</v>
      </c>
      <c r="AE784">
        <v>0</v>
      </c>
      <c r="AF784">
        <v>1</v>
      </c>
      <c r="AG784">
        <v>0</v>
      </c>
      <c r="AH784">
        <v>460</v>
      </c>
      <c r="AI784">
        <v>6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f t="shared" si="38"/>
        <v>13.950000000000003</v>
      </c>
      <c r="AU784">
        <f t="shared" si="36"/>
        <v>4</v>
      </c>
      <c r="AV784">
        <f t="shared" si="37"/>
        <v>711.3</v>
      </c>
      <c r="AY784">
        <v>1208.8</v>
      </c>
      <c r="AZ784">
        <v>10.73</v>
      </c>
      <c r="BC784" t="s">
        <v>171</v>
      </c>
    </row>
    <row r="785" spans="3:55" x14ac:dyDescent="0.45">
      <c r="C785">
        <v>80</v>
      </c>
      <c r="D785">
        <v>4</v>
      </c>
      <c r="E785">
        <v>5</v>
      </c>
      <c r="F785">
        <v>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800</v>
      </c>
      <c r="X785">
        <v>65.7</v>
      </c>
      <c r="Y785">
        <v>0</v>
      </c>
      <c r="Z785">
        <v>1</v>
      </c>
      <c r="AA785">
        <v>0</v>
      </c>
      <c r="AB785">
        <v>0</v>
      </c>
      <c r="AC785">
        <v>830</v>
      </c>
      <c r="AD785">
        <v>0.5</v>
      </c>
      <c r="AE785">
        <v>0</v>
      </c>
      <c r="AF785">
        <v>1</v>
      </c>
      <c r="AG785">
        <v>0</v>
      </c>
      <c r="AH785">
        <v>460</v>
      </c>
      <c r="AI785">
        <v>6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f t="shared" si="38"/>
        <v>13.950000000000003</v>
      </c>
      <c r="AU785">
        <f t="shared" si="36"/>
        <v>4</v>
      </c>
      <c r="AV785">
        <f t="shared" si="37"/>
        <v>711.3</v>
      </c>
      <c r="AY785">
        <v>1288.17</v>
      </c>
      <c r="AZ785">
        <v>7.72</v>
      </c>
      <c r="BC785" t="s">
        <v>172</v>
      </c>
    </row>
    <row r="786" spans="3:55" x14ac:dyDescent="0.45">
      <c r="C786">
        <v>80</v>
      </c>
      <c r="D786">
        <v>4</v>
      </c>
      <c r="E786">
        <v>5</v>
      </c>
      <c r="F786">
        <v>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800</v>
      </c>
      <c r="X786">
        <v>65.7</v>
      </c>
      <c r="Y786">
        <v>0</v>
      </c>
      <c r="Z786">
        <v>1</v>
      </c>
      <c r="AA786">
        <v>0</v>
      </c>
      <c r="AB786">
        <v>0</v>
      </c>
      <c r="AC786">
        <v>730</v>
      </c>
      <c r="AD786">
        <v>0.5</v>
      </c>
      <c r="AE786">
        <v>0</v>
      </c>
      <c r="AF786">
        <v>1</v>
      </c>
      <c r="AG786">
        <v>0</v>
      </c>
      <c r="AH786">
        <v>480</v>
      </c>
      <c r="AI786">
        <v>6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f t="shared" si="38"/>
        <v>13.950000000000003</v>
      </c>
      <c r="AU786">
        <f t="shared" si="36"/>
        <v>4</v>
      </c>
      <c r="AV786">
        <f t="shared" si="37"/>
        <v>711.3</v>
      </c>
      <c r="AY786">
        <v>1475.41</v>
      </c>
      <c r="AZ786">
        <v>10.18</v>
      </c>
      <c r="BC786" t="s">
        <v>173</v>
      </c>
    </row>
    <row r="787" spans="3:55" x14ac:dyDescent="0.45">
      <c r="C787">
        <v>80</v>
      </c>
      <c r="D787">
        <v>4</v>
      </c>
      <c r="E787">
        <v>5</v>
      </c>
      <c r="F787">
        <v>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800</v>
      </c>
      <c r="X787">
        <v>65.7</v>
      </c>
      <c r="Y787">
        <v>0</v>
      </c>
      <c r="Z787">
        <v>1</v>
      </c>
      <c r="AA787">
        <v>0</v>
      </c>
      <c r="AB787">
        <v>0</v>
      </c>
      <c r="AC787">
        <v>760</v>
      </c>
      <c r="AD787">
        <v>0.5</v>
      </c>
      <c r="AE787">
        <v>0</v>
      </c>
      <c r="AF787">
        <v>1</v>
      </c>
      <c r="AG787">
        <v>0</v>
      </c>
      <c r="AH787">
        <v>480</v>
      </c>
      <c r="AI787">
        <v>6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f t="shared" si="38"/>
        <v>13.950000000000003</v>
      </c>
      <c r="AU787">
        <f t="shared" si="36"/>
        <v>4</v>
      </c>
      <c r="AV787">
        <f t="shared" si="37"/>
        <v>711.3</v>
      </c>
      <c r="AY787">
        <v>1474.28</v>
      </c>
      <c r="AZ787">
        <v>8.9499999999999993</v>
      </c>
      <c r="BC787" t="s">
        <v>174</v>
      </c>
    </row>
    <row r="788" spans="3:55" x14ac:dyDescent="0.45">
      <c r="C788">
        <v>80</v>
      </c>
      <c r="D788">
        <v>4</v>
      </c>
      <c r="E788">
        <v>5</v>
      </c>
      <c r="F788">
        <v>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800</v>
      </c>
      <c r="X788">
        <v>65.7</v>
      </c>
      <c r="Y788">
        <v>0</v>
      </c>
      <c r="Z788">
        <v>1</v>
      </c>
      <c r="AA788">
        <v>0</v>
      </c>
      <c r="AB788">
        <v>0</v>
      </c>
      <c r="AC788">
        <v>800</v>
      </c>
      <c r="AD788">
        <v>0.5</v>
      </c>
      <c r="AE788">
        <v>0</v>
      </c>
      <c r="AF788">
        <v>1</v>
      </c>
      <c r="AG788">
        <v>0</v>
      </c>
      <c r="AH788">
        <v>480</v>
      </c>
      <c r="AI788">
        <v>6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f t="shared" si="38"/>
        <v>13.950000000000003</v>
      </c>
      <c r="AU788">
        <f t="shared" si="36"/>
        <v>4</v>
      </c>
      <c r="AV788">
        <f t="shared" si="37"/>
        <v>711.3</v>
      </c>
      <c r="AY788">
        <v>1263.42</v>
      </c>
      <c r="AZ788">
        <v>9.44</v>
      </c>
      <c r="BC788" t="s">
        <v>175</v>
      </c>
    </row>
    <row r="789" spans="3:55" x14ac:dyDescent="0.45">
      <c r="C789">
        <v>80</v>
      </c>
      <c r="D789">
        <v>4</v>
      </c>
      <c r="E789">
        <v>5</v>
      </c>
      <c r="F789">
        <v>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800</v>
      </c>
      <c r="X789">
        <v>65.7</v>
      </c>
      <c r="Y789">
        <v>0</v>
      </c>
      <c r="Z789">
        <v>1</v>
      </c>
      <c r="AA789">
        <v>0</v>
      </c>
      <c r="AB789">
        <v>0</v>
      </c>
      <c r="AC789">
        <v>830</v>
      </c>
      <c r="AD789">
        <v>0.5</v>
      </c>
      <c r="AE789">
        <v>0</v>
      </c>
      <c r="AF789">
        <v>1</v>
      </c>
      <c r="AG789">
        <v>0</v>
      </c>
      <c r="AH789">
        <v>480</v>
      </c>
      <c r="AI789">
        <v>6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f t="shared" si="38"/>
        <v>13.950000000000003</v>
      </c>
      <c r="AU789">
        <f t="shared" si="36"/>
        <v>4</v>
      </c>
      <c r="AV789">
        <f t="shared" si="37"/>
        <v>711.3</v>
      </c>
      <c r="AY789">
        <v>1216.6300000000001</v>
      </c>
      <c r="AZ789">
        <v>9.9</v>
      </c>
      <c r="BC789" t="s">
        <v>176</v>
      </c>
    </row>
    <row r="790" spans="3:55" x14ac:dyDescent="0.45">
      <c r="C790">
        <v>80</v>
      </c>
      <c r="D790">
        <v>4</v>
      </c>
      <c r="E790">
        <v>5</v>
      </c>
      <c r="F790">
        <v>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800</v>
      </c>
      <c r="X790">
        <v>65.7</v>
      </c>
      <c r="Y790">
        <v>0</v>
      </c>
      <c r="Z790">
        <v>1</v>
      </c>
      <c r="AA790">
        <v>0</v>
      </c>
      <c r="AB790">
        <v>0</v>
      </c>
      <c r="AC790">
        <v>730</v>
      </c>
      <c r="AD790">
        <v>0.5</v>
      </c>
      <c r="AE790">
        <v>0</v>
      </c>
      <c r="AF790">
        <v>1</v>
      </c>
      <c r="AG790">
        <v>0</v>
      </c>
      <c r="AH790">
        <v>500</v>
      </c>
      <c r="AI790">
        <v>6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f t="shared" si="38"/>
        <v>13.950000000000003</v>
      </c>
      <c r="AU790">
        <f t="shared" si="36"/>
        <v>4</v>
      </c>
      <c r="AV790">
        <f t="shared" si="37"/>
        <v>711.3</v>
      </c>
      <c r="AY790">
        <v>1383.33</v>
      </c>
      <c r="AZ790">
        <v>13.87</v>
      </c>
      <c r="BC790" t="s">
        <v>177</v>
      </c>
    </row>
    <row r="791" spans="3:55" x14ac:dyDescent="0.45">
      <c r="C791">
        <v>80</v>
      </c>
      <c r="D791">
        <v>4</v>
      </c>
      <c r="E791">
        <v>5</v>
      </c>
      <c r="F791">
        <v>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800</v>
      </c>
      <c r="X791">
        <v>65.7</v>
      </c>
      <c r="Y791">
        <v>0</v>
      </c>
      <c r="Z791">
        <v>1</v>
      </c>
      <c r="AA791">
        <v>0</v>
      </c>
      <c r="AB791">
        <v>0</v>
      </c>
      <c r="AC791">
        <v>760</v>
      </c>
      <c r="AD791">
        <v>0.5</v>
      </c>
      <c r="AE791">
        <v>0</v>
      </c>
      <c r="AF791">
        <v>1</v>
      </c>
      <c r="AG791">
        <v>0</v>
      </c>
      <c r="AH791">
        <v>500</v>
      </c>
      <c r="AI791">
        <v>6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f t="shared" si="38"/>
        <v>13.950000000000003</v>
      </c>
      <c r="AU791">
        <f t="shared" si="36"/>
        <v>4</v>
      </c>
      <c r="AV791">
        <f t="shared" si="37"/>
        <v>711.3</v>
      </c>
      <c r="AY791">
        <v>1470.05</v>
      </c>
      <c r="AZ791">
        <v>10.4</v>
      </c>
      <c r="BC791" t="s">
        <v>178</v>
      </c>
    </row>
    <row r="792" spans="3:55" x14ac:dyDescent="0.45">
      <c r="C792">
        <v>80</v>
      </c>
      <c r="D792">
        <v>4</v>
      </c>
      <c r="E792">
        <v>5</v>
      </c>
      <c r="F792">
        <v>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800</v>
      </c>
      <c r="X792">
        <v>65.7</v>
      </c>
      <c r="Y792">
        <v>0</v>
      </c>
      <c r="Z792">
        <v>1</v>
      </c>
      <c r="AA792">
        <v>0</v>
      </c>
      <c r="AB792">
        <v>0</v>
      </c>
      <c r="AC792">
        <v>800</v>
      </c>
      <c r="AD792">
        <v>0.5</v>
      </c>
      <c r="AE792">
        <v>0</v>
      </c>
      <c r="AF792">
        <v>1</v>
      </c>
      <c r="AG792">
        <v>0</v>
      </c>
      <c r="AH792">
        <v>500</v>
      </c>
      <c r="AI792">
        <v>6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f t="shared" si="38"/>
        <v>13.950000000000003</v>
      </c>
      <c r="AU792">
        <f t="shared" si="36"/>
        <v>4</v>
      </c>
      <c r="AV792">
        <f t="shared" si="37"/>
        <v>711.3</v>
      </c>
      <c r="AY792">
        <v>1400.15</v>
      </c>
      <c r="AZ792">
        <v>7.52</v>
      </c>
      <c r="BC792" t="s">
        <v>179</v>
      </c>
    </row>
    <row r="793" spans="3:55" x14ac:dyDescent="0.45">
      <c r="C793">
        <v>80</v>
      </c>
      <c r="D793">
        <v>4</v>
      </c>
      <c r="E793">
        <v>5</v>
      </c>
      <c r="F793">
        <v>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800</v>
      </c>
      <c r="X793">
        <v>65.7</v>
      </c>
      <c r="Y793">
        <v>0</v>
      </c>
      <c r="Z793">
        <v>1</v>
      </c>
      <c r="AA793">
        <v>0</v>
      </c>
      <c r="AB793">
        <v>0</v>
      </c>
      <c r="AC793">
        <v>830</v>
      </c>
      <c r="AD793">
        <v>0.5</v>
      </c>
      <c r="AE793">
        <v>0</v>
      </c>
      <c r="AF793">
        <v>1</v>
      </c>
      <c r="AG793">
        <v>0</v>
      </c>
      <c r="AH793">
        <v>500</v>
      </c>
      <c r="AI793">
        <v>6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f t="shared" si="38"/>
        <v>13.950000000000003</v>
      </c>
      <c r="AU793">
        <f t="shared" si="36"/>
        <v>4</v>
      </c>
      <c r="AV793">
        <f t="shared" si="37"/>
        <v>711.3</v>
      </c>
      <c r="AY793">
        <v>1305.81</v>
      </c>
      <c r="AZ793">
        <v>7.75</v>
      </c>
      <c r="BC793" t="s">
        <v>180</v>
      </c>
    </row>
    <row r="794" spans="3:55" x14ac:dyDescent="0.45">
      <c r="C794">
        <v>80</v>
      </c>
      <c r="D794">
        <v>4</v>
      </c>
      <c r="E794">
        <v>5</v>
      </c>
      <c r="F794">
        <v>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800</v>
      </c>
      <c r="X794">
        <v>65.7</v>
      </c>
      <c r="Y794">
        <v>0</v>
      </c>
      <c r="Z794">
        <v>1</v>
      </c>
      <c r="AA794">
        <v>0</v>
      </c>
      <c r="AB794">
        <v>0</v>
      </c>
      <c r="AC794">
        <v>730</v>
      </c>
      <c r="AD794">
        <v>0.5</v>
      </c>
      <c r="AE794">
        <v>0</v>
      </c>
      <c r="AF794">
        <v>1</v>
      </c>
      <c r="AG794">
        <v>0</v>
      </c>
      <c r="AH794">
        <v>520</v>
      </c>
      <c r="AI794">
        <v>6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f t="shared" si="38"/>
        <v>13.950000000000003</v>
      </c>
      <c r="AU794">
        <f t="shared" si="36"/>
        <v>4</v>
      </c>
      <c r="AV794">
        <f t="shared" si="37"/>
        <v>711.3</v>
      </c>
      <c r="AY794">
        <v>1279.6600000000001</v>
      </c>
      <c r="AZ794">
        <v>15.55</v>
      </c>
      <c r="BC794" t="s">
        <v>181</v>
      </c>
    </row>
    <row r="795" spans="3:55" x14ac:dyDescent="0.45">
      <c r="C795">
        <v>80</v>
      </c>
      <c r="D795">
        <v>4</v>
      </c>
      <c r="E795">
        <v>5</v>
      </c>
      <c r="F795">
        <v>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800</v>
      </c>
      <c r="X795">
        <v>65.7</v>
      </c>
      <c r="Y795">
        <v>0</v>
      </c>
      <c r="Z795">
        <v>1</v>
      </c>
      <c r="AA795">
        <v>0</v>
      </c>
      <c r="AB795">
        <v>0</v>
      </c>
      <c r="AC795">
        <v>760</v>
      </c>
      <c r="AD795">
        <v>0.5</v>
      </c>
      <c r="AE795">
        <v>0</v>
      </c>
      <c r="AF795">
        <v>1</v>
      </c>
      <c r="AG795">
        <v>0</v>
      </c>
      <c r="AH795">
        <v>520</v>
      </c>
      <c r="AI795">
        <v>6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f t="shared" si="38"/>
        <v>13.950000000000003</v>
      </c>
      <c r="AU795">
        <f t="shared" si="36"/>
        <v>4</v>
      </c>
      <c r="AV795">
        <f t="shared" si="37"/>
        <v>711.3</v>
      </c>
      <c r="AY795">
        <v>1366.56</v>
      </c>
      <c r="AZ795">
        <v>12.97</v>
      </c>
      <c r="BC795" t="s">
        <v>182</v>
      </c>
    </row>
    <row r="796" spans="3:55" x14ac:dyDescent="0.45">
      <c r="C796">
        <v>80</v>
      </c>
      <c r="D796">
        <v>4</v>
      </c>
      <c r="E796">
        <v>5</v>
      </c>
      <c r="F796">
        <v>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800</v>
      </c>
      <c r="X796">
        <v>65.7</v>
      </c>
      <c r="Y796">
        <v>0</v>
      </c>
      <c r="Z796">
        <v>1</v>
      </c>
      <c r="AA796">
        <v>0</v>
      </c>
      <c r="AB796">
        <v>0</v>
      </c>
      <c r="AC796">
        <v>800</v>
      </c>
      <c r="AD796">
        <v>0.5</v>
      </c>
      <c r="AE796">
        <v>0</v>
      </c>
      <c r="AF796">
        <v>1</v>
      </c>
      <c r="AG796">
        <v>0</v>
      </c>
      <c r="AH796">
        <v>520</v>
      </c>
      <c r="AI796">
        <v>6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f t="shared" si="38"/>
        <v>13.950000000000003</v>
      </c>
      <c r="AU796">
        <f t="shared" si="36"/>
        <v>4</v>
      </c>
      <c r="AV796">
        <f t="shared" si="37"/>
        <v>711.3</v>
      </c>
      <c r="AY796">
        <v>1413.25</v>
      </c>
      <c r="AZ796">
        <v>8.1999999999999993</v>
      </c>
      <c r="BC796" t="s">
        <v>183</v>
      </c>
    </row>
    <row r="797" spans="3:55" x14ac:dyDescent="0.45">
      <c r="C797">
        <v>80</v>
      </c>
      <c r="D797">
        <v>4</v>
      </c>
      <c r="E797">
        <v>5</v>
      </c>
      <c r="F797">
        <v>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800</v>
      </c>
      <c r="X797">
        <v>65.7</v>
      </c>
      <c r="Y797">
        <v>0</v>
      </c>
      <c r="Z797">
        <v>1</v>
      </c>
      <c r="AA797">
        <v>0</v>
      </c>
      <c r="AB797">
        <v>0</v>
      </c>
      <c r="AC797">
        <v>830</v>
      </c>
      <c r="AD797">
        <v>0.5</v>
      </c>
      <c r="AE797">
        <v>0</v>
      </c>
      <c r="AF797">
        <v>1</v>
      </c>
      <c r="AG797">
        <v>0</v>
      </c>
      <c r="AH797">
        <v>520</v>
      </c>
      <c r="AI797">
        <v>6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f t="shared" si="38"/>
        <v>13.950000000000003</v>
      </c>
      <c r="AU797">
        <f t="shared" si="36"/>
        <v>4</v>
      </c>
      <c r="AV797">
        <f t="shared" si="37"/>
        <v>711.3</v>
      </c>
      <c r="AY797">
        <v>1409.09</v>
      </c>
      <c r="AZ797">
        <v>6.88</v>
      </c>
      <c r="BC797" t="s">
        <v>184</v>
      </c>
    </row>
    <row r="798" spans="3:55" x14ac:dyDescent="0.45">
      <c r="C798">
        <v>88.6</v>
      </c>
      <c r="D798">
        <v>6.1</v>
      </c>
      <c r="E798">
        <v>4</v>
      </c>
      <c r="F798">
        <v>0</v>
      </c>
      <c r="G798">
        <v>0</v>
      </c>
      <c r="H798">
        <v>0</v>
      </c>
      <c r="I798">
        <v>0</v>
      </c>
      <c r="J798">
        <v>0.65</v>
      </c>
      <c r="K798">
        <v>0</v>
      </c>
      <c r="L798">
        <v>0.65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f t="shared" si="38"/>
        <v>-2.7699999999999996</v>
      </c>
      <c r="AU798">
        <f t="shared" si="36"/>
        <v>6.208333333333333</v>
      </c>
      <c r="AV798">
        <f t="shared" si="37"/>
        <v>836.94999999999993</v>
      </c>
      <c r="BC798" t="s">
        <v>185</v>
      </c>
    </row>
    <row r="799" spans="3:55" x14ac:dyDescent="0.45">
      <c r="C799">
        <v>88.6</v>
      </c>
      <c r="D799">
        <v>6.1</v>
      </c>
      <c r="E799">
        <v>4</v>
      </c>
      <c r="F799">
        <v>0</v>
      </c>
      <c r="G799">
        <v>0</v>
      </c>
      <c r="H799">
        <v>0</v>
      </c>
      <c r="I799">
        <v>0</v>
      </c>
      <c r="J799">
        <v>0.65</v>
      </c>
      <c r="K799">
        <v>0</v>
      </c>
      <c r="L799">
        <v>0.65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910</v>
      </c>
      <c r="AD799">
        <v>2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f t="shared" si="38"/>
        <v>-2.7699999999999996</v>
      </c>
      <c r="AU799">
        <f t="shared" si="36"/>
        <v>6.208333333333333</v>
      </c>
      <c r="AV799">
        <f t="shared" si="37"/>
        <v>836.94999999999993</v>
      </c>
      <c r="BC799" t="s">
        <v>185</v>
      </c>
    </row>
    <row r="800" spans="3:55" x14ac:dyDescent="0.45">
      <c r="C800">
        <v>88.6</v>
      </c>
      <c r="D800">
        <v>6.1</v>
      </c>
      <c r="E800">
        <v>4</v>
      </c>
      <c r="F800">
        <v>0</v>
      </c>
      <c r="G800">
        <v>0</v>
      </c>
      <c r="H800">
        <v>0</v>
      </c>
      <c r="I800">
        <v>0</v>
      </c>
      <c r="J800">
        <v>0.65</v>
      </c>
      <c r="K800">
        <v>0</v>
      </c>
      <c r="L800">
        <v>0.65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910</v>
      </c>
      <c r="AD800">
        <v>1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f t="shared" si="38"/>
        <v>-2.7699999999999996</v>
      </c>
      <c r="AU800">
        <f t="shared" si="36"/>
        <v>6.208333333333333</v>
      </c>
      <c r="AV800">
        <f t="shared" si="37"/>
        <v>836.94999999999993</v>
      </c>
      <c r="BC800" t="s">
        <v>185</v>
      </c>
    </row>
    <row r="801" spans="3:55" x14ac:dyDescent="0.45">
      <c r="C801">
        <v>88.6</v>
      </c>
      <c r="D801">
        <v>6.1</v>
      </c>
      <c r="E801">
        <v>4</v>
      </c>
      <c r="F801">
        <v>0</v>
      </c>
      <c r="G801">
        <v>0</v>
      </c>
      <c r="H801">
        <v>0</v>
      </c>
      <c r="I801">
        <v>0</v>
      </c>
      <c r="J801">
        <v>0.65</v>
      </c>
      <c r="K801">
        <v>0</v>
      </c>
      <c r="L801">
        <v>0.65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955</v>
      </c>
      <c r="AD801">
        <v>1</v>
      </c>
      <c r="AE801">
        <v>0</v>
      </c>
      <c r="AF801">
        <v>0</v>
      </c>
      <c r="AG801">
        <v>1</v>
      </c>
      <c r="AH801">
        <v>500</v>
      </c>
      <c r="AI801">
        <v>2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f t="shared" si="38"/>
        <v>-2.7699999999999996</v>
      </c>
      <c r="AU801">
        <f t="shared" si="36"/>
        <v>6.208333333333333</v>
      </c>
      <c r="AV801">
        <f t="shared" si="37"/>
        <v>836.94999999999993</v>
      </c>
      <c r="BC801" t="s">
        <v>185</v>
      </c>
    </row>
    <row r="802" spans="3:55" x14ac:dyDescent="0.45">
      <c r="C802">
        <v>88.3</v>
      </c>
      <c r="D802">
        <v>6.1</v>
      </c>
      <c r="E802">
        <v>4</v>
      </c>
      <c r="F802">
        <v>0</v>
      </c>
      <c r="G802">
        <v>0</v>
      </c>
      <c r="H802">
        <v>0</v>
      </c>
      <c r="I802">
        <v>0</v>
      </c>
      <c r="J802">
        <v>0.8</v>
      </c>
      <c r="K802">
        <v>0</v>
      </c>
      <c r="L802">
        <v>0.8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955</v>
      </c>
      <c r="AD802">
        <v>1</v>
      </c>
      <c r="AE802">
        <v>0</v>
      </c>
      <c r="AF802">
        <v>0</v>
      </c>
      <c r="AG802">
        <v>1</v>
      </c>
      <c r="AH802">
        <v>500</v>
      </c>
      <c r="AI802">
        <v>2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f t="shared" si="38"/>
        <v>-2.6199999999999992</v>
      </c>
      <c r="AU802">
        <f t="shared" si="36"/>
        <v>6.2333333333333334</v>
      </c>
      <c r="AV802">
        <f t="shared" si="37"/>
        <v>834.4899999999999</v>
      </c>
      <c r="BB802" t="s">
        <v>315</v>
      </c>
      <c r="BC802" t="s">
        <v>186</v>
      </c>
    </row>
    <row r="803" spans="3:55" x14ac:dyDescent="0.45">
      <c r="C803">
        <v>88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3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f t="shared" si="38"/>
        <v>-4.16</v>
      </c>
      <c r="AU803">
        <f t="shared" si="36"/>
        <v>6.333333333333333</v>
      </c>
      <c r="AV803">
        <f t="shared" si="37"/>
        <v>871.30000000000007</v>
      </c>
      <c r="BB803" t="s">
        <v>316</v>
      </c>
      <c r="BC803" t="s">
        <v>187</v>
      </c>
    </row>
    <row r="804" spans="3:55" x14ac:dyDescent="0.45">
      <c r="C804">
        <v>88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3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f t="shared" si="38"/>
        <v>-4.16</v>
      </c>
      <c r="AU804">
        <f t="shared" si="36"/>
        <v>6.333333333333333</v>
      </c>
      <c r="AV804">
        <f t="shared" si="37"/>
        <v>871.30000000000007</v>
      </c>
      <c r="BB804" t="s">
        <v>317</v>
      </c>
      <c r="BC804" t="s">
        <v>187</v>
      </c>
    </row>
    <row r="805" spans="3:55" x14ac:dyDescent="0.45">
      <c r="C805">
        <v>88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3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f t="shared" si="38"/>
        <v>-4.16</v>
      </c>
      <c r="AU805">
        <f t="shared" si="36"/>
        <v>6.333333333333333</v>
      </c>
      <c r="AV805">
        <f t="shared" si="37"/>
        <v>871.30000000000007</v>
      </c>
      <c r="BB805" t="s">
        <v>318</v>
      </c>
      <c r="BC805" t="s">
        <v>187</v>
      </c>
    </row>
    <row r="806" spans="3:55" x14ac:dyDescent="0.45">
      <c r="C806">
        <v>88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3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f t="shared" si="38"/>
        <v>-4.16</v>
      </c>
      <c r="AU806">
        <f t="shared" si="36"/>
        <v>6.333333333333333</v>
      </c>
      <c r="AV806">
        <f t="shared" si="37"/>
        <v>871.30000000000007</v>
      </c>
      <c r="BB806" t="s">
        <v>319</v>
      </c>
      <c r="BC806" t="s">
        <v>187</v>
      </c>
    </row>
    <row r="807" spans="3:55" x14ac:dyDescent="0.45">
      <c r="C807">
        <v>88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3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f t="shared" si="38"/>
        <v>-4.16</v>
      </c>
      <c r="AU807">
        <f t="shared" si="36"/>
        <v>6.333333333333333</v>
      </c>
      <c r="AV807">
        <f t="shared" si="37"/>
        <v>871.30000000000007</v>
      </c>
      <c r="BB807" t="s">
        <v>320</v>
      </c>
      <c r="BC807" t="s">
        <v>187</v>
      </c>
    </row>
    <row r="808" spans="3:55" x14ac:dyDescent="0.45">
      <c r="C808">
        <v>88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3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f t="shared" si="38"/>
        <v>-4.16</v>
      </c>
      <c r="AU808">
        <f t="shared" si="36"/>
        <v>6.333333333333333</v>
      </c>
      <c r="AV808">
        <f t="shared" si="37"/>
        <v>871.30000000000007</v>
      </c>
      <c r="BB808" t="s">
        <v>321</v>
      </c>
      <c r="BC808" t="s">
        <v>187</v>
      </c>
    </row>
    <row r="809" spans="3:55" x14ac:dyDescent="0.45">
      <c r="C809">
        <v>87.3</v>
      </c>
      <c r="D809">
        <v>6.25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2.0499999999999998</v>
      </c>
      <c r="K809">
        <v>3.2</v>
      </c>
      <c r="L809">
        <v>1.0900000000000001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970</v>
      </c>
      <c r="AD809">
        <v>2</v>
      </c>
      <c r="AE809">
        <v>0</v>
      </c>
      <c r="AF809">
        <v>1</v>
      </c>
      <c r="AG809">
        <v>0</v>
      </c>
      <c r="AH809">
        <v>750</v>
      </c>
      <c r="AI809">
        <v>2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f t="shared" si="38"/>
        <v>-4.2639999999999993</v>
      </c>
      <c r="AU809">
        <f t="shared" si="36"/>
        <v>6.5916666666666668</v>
      </c>
      <c r="AV809">
        <f t="shared" si="37"/>
        <v>870.625</v>
      </c>
      <c r="AX809">
        <v>787.51649999999995</v>
      </c>
      <c r="AY809">
        <v>879.67525000000001</v>
      </c>
      <c r="AZ809">
        <v>16.701025000000001</v>
      </c>
      <c r="BC809" t="s">
        <v>108</v>
      </c>
    </row>
    <row r="810" spans="3:55" x14ac:dyDescent="0.45">
      <c r="C810">
        <v>86.629000000000005</v>
      </c>
      <c r="D810">
        <v>6.75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2.11</v>
      </c>
      <c r="K810">
        <v>3.1</v>
      </c>
      <c r="L810">
        <v>1.04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965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f t="shared" si="38"/>
        <v>-4.8419999999999996</v>
      </c>
      <c r="AU810">
        <f t="shared" si="36"/>
        <v>7.1016666666666666</v>
      </c>
      <c r="AV810">
        <f t="shared" si="37"/>
        <v>871.73599999999999</v>
      </c>
      <c r="AX810">
        <v>840</v>
      </c>
      <c r="AY810">
        <v>989</v>
      </c>
      <c r="AZ810">
        <v>13.4</v>
      </c>
      <c r="BC810" t="s">
        <v>108</v>
      </c>
    </row>
    <row r="811" spans="3:55" x14ac:dyDescent="0.45">
      <c r="C811">
        <v>86.629000000000005</v>
      </c>
      <c r="D811">
        <v>6.75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2.11</v>
      </c>
      <c r="K811">
        <v>3.1</v>
      </c>
      <c r="L811">
        <v>1.04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965</v>
      </c>
      <c r="AD811">
        <v>1</v>
      </c>
      <c r="AE811">
        <v>1</v>
      </c>
      <c r="AF811">
        <v>0</v>
      </c>
      <c r="AG811">
        <v>0</v>
      </c>
      <c r="AH811">
        <v>900</v>
      </c>
      <c r="AI811">
        <v>1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f t="shared" si="38"/>
        <v>-4.8419999999999996</v>
      </c>
      <c r="AU811">
        <f t="shared" si="36"/>
        <v>7.1016666666666666</v>
      </c>
      <c r="AV811">
        <f t="shared" si="37"/>
        <v>871.73599999999999</v>
      </c>
      <c r="AX811">
        <v>779</v>
      </c>
      <c r="AY811">
        <v>903</v>
      </c>
      <c r="AZ811">
        <v>17.100000000000001</v>
      </c>
      <c r="BC811" t="s">
        <v>108</v>
      </c>
    </row>
    <row r="812" spans="3:55" x14ac:dyDescent="0.45">
      <c r="C812">
        <v>86.629000000000005</v>
      </c>
      <c r="D812">
        <v>6.75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2.11</v>
      </c>
      <c r="K812">
        <v>3.1</v>
      </c>
      <c r="L812">
        <v>1.04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980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f t="shared" si="38"/>
        <v>-4.8419999999999996</v>
      </c>
      <c r="AU812">
        <f t="shared" si="36"/>
        <v>7.1016666666666666</v>
      </c>
      <c r="AV812">
        <f t="shared" si="37"/>
        <v>871.73599999999999</v>
      </c>
      <c r="AX812">
        <v>854</v>
      </c>
      <c r="AY812">
        <v>990</v>
      </c>
      <c r="AZ812">
        <v>12.6</v>
      </c>
      <c r="BC812" t="s">
        <v>108</v>
      </c>
    </row>
    <row r="813" spans="3:55" x14ac:dyDescent="0.45">
      <c r="C813">
        <v>86.629000000000005</v>
      </c>
      <c r="D813">
        <v>6.75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2.11</v>
      </c>
      <c r="K813">
        <v>3.1</v>
      </c>
      <c r="L813">
        <v>1.04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980</v>
      </c>
      <c r="AD813">
        <v>1</v>
      </c>
      <c r="AE813">
        <v>1</v>
      </c>
      <c r="AF813">
        <v>0</v>
      </c>
      <c r="AG813">
        <v>0</v>
      </c>
      <c r="AH813">
        <v>900</v>
      </c>
      <c r="AI813">
        <v>1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f t="shared" si="38"/>
        <v>-4.8419999999999996</v>
      </c>
      <c r="AU813">
        <f t="shared" si="36"/>
        <v>7.1016666666666666</v>
      </c>
      <c r="AV813">
        <f t="shared" si="37"/>
        <v>871.73599999999999</v>
      </c>
      <c r="AX813">
        <v>788</v>
      </c>
      <c r="AY813">
        <v>915</v>
      </c>
      <c r="AZ813">
        <v>13.6</v>
      </c>
      <c r="BC813" t="s">
        <v>108</v>
      </c>
    </row>
    <row r="814" spans="3:55" x14ac:dyDescent="0.45">
      <c r="C814">
        <v>86.629000000000005</v>
      </c>
      <c r="D814">
        <v>6.75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2.11</v>
      </c>
      <c r="K814">
        <v>3.1</v>
      </c>
      <c r="L814">
        <v>1.04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950</v>
      </c>
      <c r="AD814">
        <v>1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f t="shared" si="38"/>
        <v>-4.8419999999999996</v>
      </c>
      <c r="AU814">
        <f t="shared" si="36"/>
        <v>7.1016666666666666</v>
      </c>
      <c r="AV814">
        <f t="shared" si="37"/>
        <v>871.73599999999999</v>
      </c>
      <c r="AX814">
        <v>771</v>
      </c>
      <c r="AY814">
        <v>874</v>
      </c>
      <c r="AZ814">
        <v>14.9</v>
      </c>
      <c r="BC814" t="s">
        <v>108</v>
      </c>
    </row>
    <row r="815" spans="3:55" x14ac:dyDescent="0.45">
      <c r="C815">
        <v>86.629000000000005</v>
      </c>
      <c r="D815">
        <v>6.75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2.11</v>
      </c>
      <c r="K815">
        <v>3.1</v>
      </c>
      <c r="L815">
        <v>1.04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965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f t="shared" si="38"/>
        <v>-4.8419999999999996</v>
      </c>
      <c r="AU815">
        <f t="shared" si="36"/>
        <v>7.1016666666666666</v>
      </c>
      <c r="AV815">
        <f t="shared" si="37"/>
        <v>871.73599999999999</v>
      </c>
      <c r="AX815">
        <v>770</v>
      </c>
      <c r="AY815">
        <v>881</v>
      </c>
      <c r="AZ815">
        <v>14.5</v>
      </c>
      <c r="BC815" t="s">
        <v>108</v>
      </c>
    </row>
    <row r="816" spans="3:55" x14ac:dyDescent="0.45">
      <c r="C816">
        <v>86.629000000000005</v>
      </c>
      <c r="D816">
        <v>6.75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2.11</v>
      </c>
      <c r="K816">
        <v>3.1</v>
      </c>
      <c r="L816">
        <v>1.04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980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f t="shared" si="38"/>
        <v>-4.8419999999999996</v>
      </c>
      <c r="AU816">
        <f t="shared" si="36"/>
        <v>7.1016666666666666</v>
      </c>
      <c r="AV816">
        <f t="shared" si="37"/>
        <v>871.73599999999999</v>
      </c>
      <c r="AX816">
        <v>782</v>
      </c>
      <c r="AY816">
        <v>891</v>
      </c>
      <c r="AZ816">
        <v>13.4</v>
      </c>
      <c r="BC816" t="s">
        <v>108</v>
      </c>
    </row>
    <row r="817" spans="3:55" x14ac:dyDescent="0.45">
      <c r="C817">
        <v>86.629000000000005</v>
      </c>
      <c r="D817">
        <v>6.75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2.11</v>
      </c>
      <c r="K817">
        <v>3.1</v>
      </c>
      <c r="L817">
        <v>1.04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950</v>
      </c>
      <c r="AD817">
        <v>1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f t="shared" si="38"/>
        <v>-4.8419999999999996</v>
      </c>
      <c r="AU817">
        <f t="shared" si="36"/>
        <v>7.1016666666666666</v>
      </c>
      <c r="AV817">
        <f t="shared" si="37"/>
        <v>871.73599999999999</v>
      </c>
      <c r="AX817">
        <v>830</v>
      </c>
      <c r="AY817">
        <v>950</v>
      </c>
      <c r="AZ817">
        <v>15.3</v>
      </c>
      <c r="BC817" t="s">
        <v>108</v>
      </c>
    </row>
    <row r="818" spans="3:55" x14ac:dyDescent="0.45">
      <c r="C818">
        <v>86.629000000000005</v>
      </c>
      <c r="D818">
        <v>6.75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2.11</v>
      </c>
      <c r="K818">
        <v>3.1</v>
      </c>
      <c r="L818">
        <v>1.04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950</v>
      </c>
      <c r="AD818">
        <v>1</v>
      </c>
      <c r="AE818">
        <v>1</v>
      </c>
      <c r="AF818">
        <v>0</v>
      </c>
      <c r="AG818">
        <v>0</v>
      </c>
      <c r="AH818">
        <v>900</v>
      </c>
      <c r="AI818">
        <v>1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f t="shared" si="38"/>
        <v>-4.8419999999999996</v>
      </c>
      <c r="AU818">
        <f t="shared" si="36"/>
        <v>7.1016666666666666</v>
      </c>
      <c r="AV818">
        <f t="shared" si="37"/>
        <v>871.73599999999999</v>
      </c>
      <c r="AX818">
        <v>776</v>
      </c>
      <c r="AY818">
        <v>872</v>
      </c>
      <c r="AZ818">
        <v>15.5</v>
      </c>
      <c r="BC818" t="s">
        <v>108</v>
      </c>
    </row>
    <row r="819" spans="3:55" x14ac:dyDescent="0.45">
      <c r="C819">
        <v>86.629000000000005</v>
      </c>
      <c r="D819">
        <v>6.75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2.11</v>
      </c>
      <c r="K819">
        <v>3.1</v>
      </c>
      <c r="L819">
        <v>1.04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930</v>
      </c>
      <c r="AI819">
        <v>1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f t="shared" si="38"/>
        <v>-4.8419999999999996</v>
      </c>
      <c r="AU819">
        <f t="shared" si="36"/>
        <v>7.1016666666666666</v>
      </c>
      <c r="AV819">
        <f t="shared" si="37"/>
        <v>871.73599999999999</v>
      </c>
      <c r="AX819">
        <v>784</v>
      </c>
      <c r="AY819">
        <v>884</v>
      </c>
      <c r="AZ819">
        <v>14.4</v>
      </c>
      <c r="BC819" t="s">
        <v>108</v>
      </c>
    </row>
    <row r="820" spans="3:55" x14ac:dyDescent="0.45">
      <c r="C820">
        <v>86.629000000000005</v>
      </c>
      <c r="D820">
        <v>6.75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2.11</v>
      </c>
      <c r="K820">
        <v>3.1</v>
      </c>
      <c r="L820">
        <v>1.04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900</v>
      </c>
      <c r="AI820">
        <v>1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f t="shared" si="38"/>
        <v>-4.8419999999999996</v>
      </c>
      <c r="AU820">
        <f t="shared" si="36"/>
        <v>7.1016666666666666</v>
      </c>
      <c r="AV820">
        <f t="shared" si="37"/>
        <v>871.73599999999999</v>
      </c>
      <c r="AX820">
        <v>766</v>
      </c>
      <c r="AY820">
        <v>869</v>
      </c>
      <c r="AZ820">
        <v>16.5</v>
      </c>
      <c r="BC820" t="s">
        <v>108</v>
      </c>
    </row>
    <row r="821" spans="3:55" x14ac:dyDescent="0.45">
      <c r="C821">
        <v>86.629000000000005</v>
      </c>
      <c r="D821">
        <v>6.75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2.11</v>
      </c>
      <c r="K821">
        <v>3.1</v>
      </c>
      <c r="L821">
        <v>1.04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930</v>
      </c>
      <c r="AI821">
        <v>1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f t="shared" si="38"/>
        <v>-4.8419999999999996</v>
      </c>
      <c r="AU821">
        <f t="shared" si="36"/>
        <v>7.1016666666666666</v>
      </c>
      <c r="AV821">
        <f t="shared" si="37"/>
        <v>871.73599999999999</v>
      </c>
      <c r="AX821">
        <v>776</v>
      </c>
      <c r="AY821">
        <v>876</v>
      </c>
      <c r="AZ821">
        <v>16.399999999999999</v>
      </c>
      <c r="BC821" t="s">
        <v>108</v>
      </c>
    </row>
    <row r="822" spans="3:55" x14ac:dyDescent="0.45">
      <c r="C822">
        <v>86.629000000000005</v>
      </c>
      <c r="D822">
        <v>6.75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2.11</v>
      </c>
      <c r="K822">
        <v>3.1</v>
      </c>
      <c r="L822">
        <v>1.04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930</v>
      </c>
      <c r="AI822">
        <v>1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f t="shared" si="38"/>
        <v>-4.8419999999999996</v>
      </c>
      <c r="AU822">
        <f t="shared" si="36"/>
        <v>7.1016666666666666</v>
      </c>
      <c r="AV822">
        <f t="shared" si="37"/>
        <v>871.73599999999999</v>
      </c>
      <c r="AX822">
        <v>785</v>
      </c>
      <c r="AY822">
        <v>919</v>
      </c>
      <c r="AZ822">
        <v>16.899999999999999</v>
      </c>
      <c r="BC822" t="s">
        <v>108</v>
      </c>
    </row>
    <row r="823" spans="3:55" x14ac:dyDescent="0.45">
      <c r="C823">
        <v>86.629000000000005</v>
      </c>
      <c r="D823">
        <v>6.75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2.11</v>
      </c>
      <c r="K823">
        <v>3.1</v>
      </c>
      <c r="L823">
        <v>1.04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950</v>
      </c>
      <c r="AI823">
        <v>1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f t="shared" si="38"/>
        <v>-4.8419999999999996</v>
      </c>
      <c r="AU823">
        <f t="shared" si="36"/>
        <v>7.1016666666666666</v>
      </c>
      <c r="AV823">
        <f t="shared" si="37"/>
        <v>871.73599999999999</v>
      </c>
      <c r="AX823">
        <v>878</v>
      </c>
      <c r="AY823">
        <v>1017</v>
      </c>
      <c r="AZ823">
        <v>16.2</v>
      </c>
      <c r="BC823" t="s">
        <v>108</v>
      </c>
    </row>
    <row r="824" spans="3:55" x14ac:dyDescent="0.45">
      <c r="C824">
        <v>86.629000000000005</v>
      </c>
      <c r="D824">
        <v>6.75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2.11</v>
      </c>
      <c r="K824">
        <v>3.1</v>
      </c>
      <c r="L824">
        <v>1.04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900</v>
      </c>
      <c r="AI824">
        <v>1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f t="shared" si="38"/>
        <v>-4.8419999999999996</v>
      </c>
      <c r="AU824">
        <f t="shared" si="36"/>
        <v>7.1016666666666666</v>
      </c>
      <c r="AV824">
        <f t="shared" si="37"/>
        <v>871.73599999999999</v>
      </c>
      <c r="AX824">
        <v>765</v>
      </c>
      <c r="AY824">
        <v>873</v>
      </c>
      <c r="AZ824">
        <v>17.100000000000001</v>
      </c>
      <c r="BC824" t="s">
        <v>108</v>
      </c>
    </row>
    <row r="825" spans="3:55" x14ac:dyDescent="0.45">
      <c r="C825">
        <v>86.629000000000005</v>
      </c>
      <c r="D825">
        <v>6.75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2.11</v>
      </c>
      <c r="K825">
        <v>3.1</v>
      </c>
      <c r="L825">
        <v>1.04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930</v>
      </c>
      <c r="AI825">
        <v>1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f t="shared" si="38"/>
        <v>-4.8419999999999996</v>
      </c>
      <c r="AU825">
        <f t="shared" si="36"/>
        <v>7.1016666666666666</v>
      </c>
      <c r="AV825">
        <f t="shared" si="37"/>
        <v>871.73599999999999</v>
      </c>
      <c r="AX825">
        <v>770</v>
      </c>
      <c r="AY825">
        <v>875</v>
      </c>
      <c r="AZ825">
        <v>14.5</v>
      </c>
      <c r="BC825" t="s">
        <v>108</v>
      </c>
    </row>
    <row r="826" spans="3:55" x14ac:dyDescent="0.45">
      <c r="C826">
        <v>86.629000000000005</v>
      </c>
      <c r="D826">
        <v>6.75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2.11</v>
      </c>
      <c r="K826">
        <v>3.1</v>
      </c>
      <c r="L826">
        <v>1.04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950</v>
      </c>
      <c r="AI826">
        <v>1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f t="shared" si="38"/>
        <v>-4.8419999999999996</v>
      </c>
      <c r="AU826">
        <f t="shared" si="36"/>
        <v>7.1016666666666666</v>
      </c>
      <c r="AV826">
        <f t="shared" si="37"/>
        <v>871.73599999999999</v>
      </c>
      <c r="AX826">
        <v>774</v>
      </c>
      <c r="AY826">
        <v>874</v>
      </c>
      <c r="AZ826">
        <v>15.8</v>
      </c>
      <c r="BC826" t="s">
        <v>108</v>
      </c>
    </row>
    <row r="827" spans="3:55" x14ac:dyDescent="0.45">
      <c r="C827">
        <v>86.629000000000005</v>
      </c>
      <c r="D827">
        <v>6.75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2.11</v>
      </c>
      <c r="K827">
        <v>3.1</v>
      </c>
      <c r="L827">
        <v>1.04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930</v>
      </c>
      <c r="AI827">
        <v>1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f t="shared" si="38"/>
        <v>-4.8419999999999996</v>
      </c>
      <c r="AU827">
        <f t="shared" si="36"/>
        <v>7.1016666666666666</v>
      </c>
      <c r="AV827">
        <f t="shared" si="37"/>
        <v>871.73599999999999</v>
      </c>
      <c r="AX827">
        <v>850</v>
      </c>
      <c r="AY827">
        <v>990</v>
      </c>
      <c r="AZ827">
        <v>13.4</v>
      </c>
      <c r="BC827" t="s">
        <v>108</v>
      </c>
    </row>
    <row r="828" spans="3:55" x14ac:dyDescent="0.45">
      <c r="C828">
        <v>86.629000000000005</v>
      </c>
      <c r="D828">
        <v>6.75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2.11</v>
      </c>
      <c r="K828">
        <v>3.1</v>
      </c>
      <c r="L828">
        <v>1.04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950</v>
      </c>
      <c r="AI828">
        <v>1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f t="shared" si="38"/>
        <v>-4.8419999999999996</v>
      </c>
      <c r="AU828">
        <f t="shared" si="36"/>
        <v>7.1016666666666666</v>
      </c>
      <c r="AV828">
        <f t="shared" si="37"/>
        <v>871.73599999999999</v>
      </c>
      <c r="AX828">
        <v>883</v>
      </c>
      <c r="AY828">
        <v>1031</v>
      </c>
      <c r="AZ828">
        <v>12.6</v>
      </c>
      <c r="BC828" t="s">
        <v>108</v>
      </c>
    </row>
    <row r="829" spans="3:55" x14ac:dyDescent="0.45">
      <c r="C829">
        <v>86.629000000000005</v>
      </c>
      <c r="D829">
        <v>6.75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2.11</v>
      </c>
      <c r="K829">
        <v>3.1</v>
      </c>
      <c r="L829">
        <v>1.04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965</v>
      </c>
      <c r="AI829">
        <v>1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f t="shared" si="38"/>
        <v>-4.8419999999999996</v>
      </c>
      <c r="AU829">
        <f t="shared" si="36"/>
        <v>7.1016666666666666</v>
      </c>
      <c r="AV829">
        <f t="shared" si="37"/>
        <v>871.73599999999999</v>
      </c>
      <c r="AX829">
        <v>891</v>
      </c>
      <c r="AY829">
        <v>1037</v>
      </c>
      <c r="AZ829">
        <v>12.7</v>
      </c>
      <c r="BC829" t="s">
        <v>108</v>
      </c>
    </row>
    <row r="830" spans="3:55" x14ac:dyDescent="0.45">
      <c r="C830">
        <v>86.629000000000005</v>
      </c>
      <c r="D830">
        <v>6.75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2.11</v>
      </c>
      <c r="K830">
        <v>3.1</v>
      </c>
      <c r="L830">
        <v>1.04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900</v>
      </c>
      <c r="AI830">
        <v>1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f t="shared" si="38"/>
        <v>-4.8419999999999996</v>
      </c>
      <c r="AU830">
        <f t="shared" si="36"/>
        <v>7.1016666666666666</v>
      </c>
      <c r="AV830">
        <f t="shared" si="37"/>
        <v>871.73599999999999</v>
      </c>
      <c r="AX830">
        <v>783</v>
      </c>
      <c r="AY830">
        <v>894</v>
      </c>
      <c r="AZ830">
        <v>17.5</v>
      </c>
      <c r="BC830" t="s">
        <v>108</v>
      </c>
    </row>
    <row r="831" spans="3:55" x14ac:dyDescent="0.45">
      <c r="C831">
        <v>86.629000000000005</v>
      </c>
      <c r="D831">
        <v>6.75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2.11</v>
      </c>
      <c r="K831">
        <v>3.1</v>
      </c>
      <c r="L831">
        <v>1.04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930</v>
      </c>
      <c r="AI831">
        <v>1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f t="shared" si="38"/>
        <v>-4.8419999999999996</v>
      </c>
      <c r="AU831">
        <f t="shared" si="36"/>
        <v>7.1016666666666666</v>
      </c>
      <c r="AV831">
        <f t="shared" si="37"/>
        <v>871.73599999999999</v>
      </c>
      <c r="AX831">
        <v>743</v>
      </c>
      <c r="AY831">
        <v>864</v>
      </c>
      <c r="AZ831">
        <v>14.8</v>
      </c>
      <c r="BC831" t="s">
        <v>108</v>
      </c>
    </row>
    <row r="832" spans="3:55" x14ac:dyDescent="0.45">
      <c r="C832">
        <v>86.629000000000005</v>
      </c>
      <c r="D832">
        <v>6.75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2.11</v>
      </c>
      <c r="K832">
        <v>3.1</v>
      </c>
      <c r="L832">
        <v>1.04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950</v>
      </c>
      <c r="AI832">
        <v>1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f t="shared" si="38"/>
        <v>-4.8419999999999996</v>
      </c>
      <c r="AU832">
        <f t="shared" si="36"/>
        <v>7.1016666666666666</v>
      </c>
      <c r="AV832">
        <f t="shared" si="37"/>
        <v>871.73599999999999</v>
      </c>
      <c r="AX832">
        <v>755</v>
      </c>
      <c r="AY832">
        <v>857</v>
      </c>
      <c r="AZ832">
        <v>15.6</v>
      </c>
      <c r="BC832" t="s">
        <v>108</v>
      </c>
    </row>
    <row r="833" spans="3:55" x14ac:dyDescent="0.45">
      <c r="C833">
        <v>86.629000000000005</v>
      </c>
      <c r="D833">
        <v>6.75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2.11</v>
      </c>
      <c r="K833">
        <v>3.1</v>
      </c>
      <c r="L833">
        <v>1.04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965</v>
      </c>
      <c r="AI833">
        <v>1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f t="shared" si="38"/>
        <v>-4.8419999999999996</v>
      </c>
      <c r="AU833">
        <f t="shared" si="36"/>
        <v>7.1016666666666666</v>
      </c>
      <c r="AV833">
        <f t="shared" si="37"/>
        <v>871.73599999999999</v>
      </c>
      <c r="AX833">
        <v>796</v>
      </c>
      <c r="AY833">
        <v>896</v>
      </c>
      <c r="AZ833">
        <v>15</v>
      </c>
      <c r="BC833" t="s">
        <v>108</v>
      </c>
    </row>
    <row r="834" spans="3:55" x14ac:dyDescent="0.45">
      <c r="C834">
        <v>88</v>
      </c>
      <c r="D834">
        <v>5.7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1.2</v>
      </c>
      <c r="K834">
        <v>0</v>
      </c>
      <c r="L834">
        <v>3.8</v>
      </c>
      <c r="M834">
        <v>1.3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940</v>
      </c>
      <c r="AD834">
        <v>1</v>
      </c>
      <c r="AE834">
        <v>1</v>
      </c>
      <c r="AF834">
        <v>0</v>
      </c>
      <c r="AG834">
        <v>0</v>
      </c>
      <c r="AH834">
        <v>700</v>
      </c>
      <c r="AI834">
        <v>1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f t="shared" si="38"/>
        <v>-1.9000000000000004</v>
      </c>
      <c r="AU834">
        <f t="shared" ref="AU834:AU897" si="39">D834+J834/6+M834/3+(T834+S834)/10</f>
        <v>6.3333333333333339</v>
      </c>
      <c r="AV834">
        <f t="shared" ref="AV834:AV897" si="40">882+2.1*D834-9.5*L834+4.2*M834-6.9*J834-11.8*E834-12.1*F834-15.4*H834+23.3*Q834+123*T834</f>
        <v>855.05000000000007</v>
      </c>
      <c r="AX834">
        <v>970</v>
      </c>
      <c r="AY834">
        <v>1040</v>
      </c>
      <c r="AZ834">
        <v>15</v>
      </c>
      <c r="BC834" t="s">
        <v>191</v>
      </c>
    </row>
    <row r="835" spans="3:55" x14ac:dyDescent="0.45">
      <c r="C835">
        <v>88</v>
      </c>
      <c r="D835">
        <v>5.7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1.2</v>
      </c>
      <c r="K835">
        <v>0</v>
      </c>
      <c r="L835">
        <v>3.8</v>
      </c>
      <c r="M835">
        <v>1.3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940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f t="shared" ref="AT835:AT898" si="41">L835+0.67*E835+0.44*P835+0.28*K835+0.22*O835+2.9*H835+1.6*F835+1.7*G835-D835</f>
        <v>-1.9000000000000004</v>
      </c>
      <c r="AU835">
        <f t="shared" si="39"/>
        <v>6.3333333333333339</v>
      </c>
      <c r="AV835">
        <f t="shared" si="40"/>
        <v>855.05000000000007</v>
      </c>
      <c r="AX835">
        <v>1080</v>
      </c>
      <c r="AY835">
        <v>1150</v>
      </c>
      <c r="AZ835">
        <v>10</v>
      </c>
      <c r="BC835" t="s">
        <v>191</v>
      </c>
    </row>
    <row r="836" spans="3:55" x14ac:dyDescent="0.45">
      <c r="C836">
        <v>88</v>
      </c>
      <c r="D836">
        <v>5.7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1.2</v>
      </c>
      <c r="K836">
        <v>0</v>
      </c>
      <c r="L836">
        <v>3.8</v>
      </c>
      <c r="M836">
        <v>1.3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940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f t="shared" si="41"/>
        <v>-1.9000000000000004</v>
      </c>
      <c r="AU836">
        <f t="shared" si="39"/>
        <v>6.3333333333333339</v>
      </c>
      <c r="AV836">
        <f t="shared" si="40"/>
        <v>855.05000000000007</v>
      </c>
      <c r="AX836">
        <v>1150</v>
      </c>
      <c r="AY836">
        <v>1230</v>
      </c>
      <c r="AZ836">
        <v>11</v>
      </c>
      <c r="BC836" t="s">
        <v>191</v>
      </c>
    </row>
    <row r="837" spans="3:55" x14ac:dyDescent="0.45">
      <c r="C837">
        <v>81.3</v>
      </c>
      <c r="D837">
        <v>6.5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4</v>
      </c>
      <c r="K837">
        <v>0</v>
      </c>
      <c r="L837">
        <v>5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958</v>
      </c>
      <c r="AD837">
        <v>2</v>
      </c>
      <c r="AE837">
        <v>0</v>
      </c>
      <c r="AF837">
        <v>1</v>
      </c>
      <c r="AG837">
        <v>0</v>
      </c>
      <c r="AH837">
        <v>550</v>
      </c>
      <c r="AI837">
        <v>6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f t="shared" si="41"/>
        <v>-1.5</v>
      </c>
      <c r="AU837">
        <f t="shared" si="39"/>
        <v>7.8333333333333339</v>
      </c>
      <c r="AV837">
        <f t="shared" si="40"/>
        <v>828.94999999999993</v>
      </c>
      <c r="AX837">
        <v>1135.5</v>
      </c>
      <c r="AY837">
        <v>1292</v>
      </c>
      <c r="AZ837">
        <v>11</v>
      </c>
      <c r="BC837" t="s">
        <v>108</v>
      </c>
    </row>
    <row r="838" spans="3:55" x14ac:dyDescent="0.45">
      <c r="C838">
        <v>81.3</v>
      </c>
      <c r="D838">
        <v>6.5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</v>
      </c>
      <c r="K838">
        <v>0</v>
      </c>
      <c r="L838">
        <v>5</v>
      </c>
      <c r="M838">
        <v>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958</v>
      </c>
      <c r="AD838">
        <v>2</v>
      </c>
      <c r="AE838">
        <v>0</v>
      </c>
      <c r="AF838">
        <v>1</v>
      </c>
      <c r="AG838">
        <v>0</v>
      </c>
      <c r="AH838">
        <v>520</v>
      </c>
      <c r="AI838">
        <v>6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f t="shared" si="41"/>
        <v>-1.5</v>
      </c>
      <c r="AU838">
        <f t="shared" si="39"/>
        <v>7.8333333333333339</v>
      </c>
      <c r="AV838">
        <f t="shared" si="40"/>
        <v>828.94999999999993</v>
      </c>
      <c r="AX838">
        <v>1099</v>
      </c>
      <c r="AY838">
        <v>1261.5</v>
      </c>
      <c r="AZ838">
        <v>14</v>
      </c>
      <c r="BC838" t="s">
        <v>108</v>
      </c>
    </row>
    <row r="839" spans="3:55" x14ac:dyDescent="0.45">
      <c r="C839">
        <v>81.3</v>
      </c>
      <c r="D839">
        <v>6.5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4</v>
      </c>
      <c r="K839">
        <v>0</v>
      </c>
      <c r="L839">
        <v>5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958</v>
      </c>
      <c r="AD839">
        <v>2</v>
      </c>
      <c r="AE839">
        <v>0</v>
      </c>
      <c r="AF839">
        <v>1</v>
      </c>
      <c r="AG839">
        <v>0</v>
      </c>
      <c r="AH839">
        <v>540</v>
      </c>
      <c r="AI839">
        <v>6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f t="shared" si="41"/>
        <v>-1.5</v>
      </c>
      <c r="AU839">
        <f t="shared" si="39"/>
        <v>7.8333333333333339</v>
      </c>
      <c r="AV839">
        <f t="shared" si="40"/>
        <v>828.94999999999993</v>
      </c>
      <c r="AX839">
        <v>1171.5</v>
      </c>
      <c r="AY839">
        <v>1279</v>
      </c>
      <c r="AZ839">
        <v>13</v>
      </c>
      <c r="BC839" t="s">
        <v>108</v>
      </c>
    </row>
    <row r="840" spans="3:55" x14ac:dyDescent="0.45">
      <c r="C840">
        <v>81.3</v>
      </c>
      <c r="D840">
        <v>6.5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</v>
      </c>
      <c r="K840">
        <v>0</v>
      </c>
      <c r="L840">
        <v>5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958</v>
      </c>
      <c r="AD840">
        <v>2</v>
      </c>
      <c r="AE840">
        <v>0</v>
      </c>
      <c r="AF840">
        <v>1</v>
      </c>
      <c r="AG840">
        <v>0</v>
      </c>
      <c r="AH840">
        <v>560</v>
      </c>
      <c r="AI840">
        <v>6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f t="shared" si="41"/>
        <v>-1.5</v>
      </c>
      <c r="AU840">
        <f t="shared" si="39"/>
        <v>7.8333333333333339</v>
      </c>
      <c r="AV840">
        <f t="shared" si="40"/>
        <v>828.94999999999993</v>
      </c>
      <c r="AX840">
        <v>1130</v>
      </c>
      <c r="AY840">
        <v>1276.5</v>
      </c>
      <c r="AZ840">
        <v>15.3</v>
      </c>
      <c r="BC840" t="s">
        <v>108</v>
      </c>
    </row>
    <row r="841" spans="3:55" x14ac:dyDescent="0.45">
      <c r="C841">
        <v>81.3</v>
      </c>
      <c r="D841">
        <v>6.5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</v>
      </c>
      <c r="K841">
        <v>0</v>
      </c>
      <c r="L841">
        <v>5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958</v>
      </c>
      <c r="AD841">
        <v>2</v>
      </c>
      <c r="AE841">
        <v>0</v>
      </c>
      <c r="AF841">
        <v>1</v>
      </c>
      <c r="AG841">
        <v>0</v>
      </c>
      <c r="AH841">
        <v>580</v>
      </c>
      <c r="AI841">
        <v>6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f t="shared" si="41"/>
        <v>-1.5</v>
      </c>
      <c r="AU841">
        <f t="shared" si="39"/>
        <v>7.8333333333333339</v>
      </c>
      <c r="AV841">
        <f t="shared" si="40"/>
        <v>828.94999999999993</v>
      </c>
      <c r="AX841">
        <v>1124</v>
      </c>
      <c r="AY841">
        <v>1268</v>
      </c>
      <c r="AZ841">
        <v>14</v>
      </c>
      <c r="BC841" t="s">
        <v>108</v>
      </c>
    </row>
    <row r="842" spans="3:55" x14ac:dyDescent="0.45">
      <c r="C842">
        <v>81.3</v>
      </c>
      <c r="D842">
        <v>6.5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4</v>
      </c>
      <c r="K842">
        <v>0</v>
      </c>
      <c r="L842">
        <v>5</v>
      </c>
      <c r="M842">
        <v>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958</v>
      </c>
      <c r="AD842">
        <v>2</v>
      </c>
      <c r="AE842">
        <v>0</v>
      </c>
      <c r="AF842">
        <v>1</v>
      </c>
      <c r="AG842">
        <v>0</v>
      </c>
      <c r="AH842">
        <v>600</v>
      </c>
      <c r="AI842">
        <v>6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f t="shared" si="41"/>
        <v>-1.5</v>
      </c>
      <c r="AU842">
        <f t="shared" si="39"/>
        <v>7.8333333333333339</v>
      </c>
      <c r="AV842">
        <f t="shared" si="40"/>
        <v>828.94999999999993</v>
      </c>
      <c r="AX842">
        <v>1129.5</v>
      </c>
      <c r="AY842">
        <v>1293</v>
      </c>
      <c r="AZ842">
        <v>13.5</v>
      </c>
      <c r="BC842" t="s">
        <v>108</v>
      </c>
    </row>
    <row r="843" spans="3:55" x14ac:dyDescent="0.45">
      <c r="C843">
        <v>83.52</v>
      </c>
      <c r="D843">
        <v>6.44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3.62</v>
      </c>
      <c r="K843">
        <v>0</v>
      </c>
      <c r="L843">
        <v>3.94</v>
      </c>
      <c r="M843">
        <v>1.68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880</v>
      </c>
      <c r="X843">
        <v>60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f t="shared" si="41"/>
        <v>-2.5000000000000004</v>
      </c>
      <c r="AU843">
        <f t="shared" si="39"/>
        <v>7.6033333333333335</v>
      </c>
      <c r="AV843">
        <f t="shared" si="40"/>
        <v>840.17200000000014</v>
      </c>
      <c r="AX843">
        <v>1131.8599999999999</v>
      </c>
      <c r="AY843">
        <v>1217.71</v>
      </c>
      <c r="AZ843">
        <v>10.6775</v>
      </c>
      <c r="BC843" t="s">
        <v>108</v>
      </c>
    </row>
    <row r="844" spans="3:55" x14ac:dyDescent="0.45">
      <c r="C844">
        <v>83.52</v>
      </c>
      <c r="D844">
        <v>6.44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3.62</v>
      </c>
      <c r="K844">
        <v>0</v>
      </c>
      <c r="L844">
        <v>3.94</v>
      </c>
      <c r="M844">
        <v>1.68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910</v>
      </c>
      <c r="X844">
        <v>60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f t="shared" si="41"/>
        <v>-2.5000000000000004</v>
      </c>
      <c r="AU844">
        <f t="shared" si="39"/>
        <v>7.6033333333333335</v>
      </c>
      <c r="AV844">
        <f t="shared" si="40"/>
        <v>840.17200000000014</v>
      </c>
      <c r="AX844">
        <v>1030.3599999999999</v>
      </c>
      <c r="AY844">
        <v>1086.32</v>
      </c>
      <c r="AZ844">
        <v>14.1265</v>
      </c>
      <c r="BC844" t="s">
        <v>108</v>
      </c>
    </row>
    <row r="845" spans="3:55" x14ac:dyDescent="0.45">
      <c r="C845">
        <v>83.52</v>
      </c>
      <c r="D845">
        <v>6.44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3.62</v>
      </c>
      <c r="K845">
        <v>0</v>
      </c>
      <c r="L845">
        <v>3.94</v>
      </c>
      <c r="M845">
        <v>1.68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940</v>
      </c>
      <c r="X845">
        <v>60</v>
      </c>
      <c r="Y845">
        <v>0</v>
      </c>
      <c r="Z845">
        <v>1</v>
      </c>
      <c r="AA845">
        <v>0</v>
      </c>
      <c r="AB845">
        <v>0</v>
      </c>
      <c r="AC845">
        <v>900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f t="shared" si="41"/>
        <v>-2.5000000000000004</v>
      </c>
      <c r="AU845">
        <f t="shared" si="39"/>
        <v>7.6033333333333335</v>
      </c>
      <c r="AV845">
        <f t="shared" si="40"/>
        <v>840.17200000000014</v>
      </c>
      <c r="AX845">
        <v>1123.5</v>
      </c>
      <c r="AY845">
        <v>1192</v>
      </c>
      <c r="AZ845">
        <v>12</v>
      </c>
      <c r="BC845" t="s">
        <v>108</v>
      </c>
    </row>
    <row r="846" spans="3:55" x14ac:dyDescent="0.45">
      <c r="C846">
        <v>83.52</v>
      </c>
      <c r="D846">
        <v>6.44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3.62</v>
      </c>
      <c r="K846">
        <v>0</v>
      </c>
      <c r="L846">
        <v>3.94</v>
      </c>
      <c r="M846">
        <v>1.68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940</v>
      </c>
      <c r="X846">
        <v>60</v>
      </c>
      <c r="Y846">
        <v>0</v>
      </c>
      <c r="Z846">
        <v>1</v>
      </c>
      <c r="AA846">
        <v>0</v>
      </c>
      <c r="AB846">
        <v>0</v>
      </c>
      <c r="AC846">
        <v>930</v>
      </c>
      <c r="AD846">
        <v>1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f t="shared" si="41"/>
        <v>-2.5000000000000004</v>
      </c>
      <c r="AU846">
        <f t="shared" si="39"/>
        <v>7.6033333333333335</v>
      </c>
      <c r="AV846">
        <f t="shared" si="40"/>
        <v>840.17200000000014</v>
      </c>
      <c r="AX846">
        <v>1472.5</v>
      </c>
      <c r="AY846">
        <v>1580.5</v>
      </c>
      <c r="AZ846">
        <v>4.75</v>
      </c>
      <c r="BC846" t="s">
        <v>108</v>
      </c>
    </row>
    <row r="847" spans="3:55" x14ac:dyDescent="0.45">
      <c r="C847">
        <v>83.52</v>
      </c>
      <c r="D847">
        <v>6.44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3.62</v>
      </c>
      <c r="K847">
        <v>0</v>
      </c>
      <c r="L847">
        <v>3.94</v>
      </c>
      <c r="M847">
        <v>1.68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940</v>
      </c>
      <c r="X847">
        <v>60</v>
      </c>
      <c r="Y847">
        <v>0</v>
      </c>
      <c r="Z847">
        <v>1</v>
      </c>
      <c r="AA847">
        <v>0</v>
      </c>
      <c r="AB847">
        <v>0</v>
      </c>
      <c r="AC847">
        <v>950</v>
      </c>
      <c r="AD847">
        <v>1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f t="shared" si="41"/>
        <v>-2.5000000000000004</v>
      </c>
      <c r="AU847">
        <f t="shared" si="39"/>
        <v>7.6033333333333335</v>
      </c>
      <c r="AV847">
        <f t="shared" si="40"/>
        <v>840.17200000000014</v>
      </c>
      <c r="AX847">
        <v>1029</v>
      </c>
      <c r="AY847">
        <v>1193.5</v>
      </c>
      <c r="AZ847">
        <v>7</v>
      </c>
      <c r="BC847" t="s">
        <v>108</v>
      </c>
    </row>
    <row r="848" spans="3:55" x14ac:dyDescent="0.45">
      <c r="C848">
        <v>83.52</v>
      </c>
      <c r="D848">
        <v>6.44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3.62</v>
      </c>
      <c r="K848">
        <v>0</v>
      </c>
      <c r="L848">
        <v>3.94</v>
      </c>
      <c r="M848">
        <v>1.68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960</v>
      </c>
      <c r="X848">
        <v>60</v>
      </c>
      <c r="Y848">
        <v>0</v>
      </c>
      <c r="Z848">
        <v>1</v>
      </c>
      <c r="AA848">
        <v>0</v>
      </c>
      <c r="AB848">
        <v>0</v>
      </c>
      <c r="AC848">
        <v>900</v>
      </c>
      <c r="AD848">
        <v>1</v>
      </c>
      <c r="AE848">
        <v>0</v>
      </c>
      <c r="AF848">
        <v>1</v>
      </c>
      <c r="AG848">
        <v>0</v>
      </c>
      <c r="AH848">
        <v>600</v>
      </c>
      <c r="AI848">
        <v>6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f t="shared" si="41"/>
        <v>-2.5000000000000004</v>
      </c>
      <c r="AU848">
        <f t="shared" si="39"/>
        <v>7.6033333333333335</v>
      </c>
      <c r="AV848">
        <f t="shared" si="40"/>
        <v>840.17200000000014</v>
      </c>
      <c r="AX848">
        <v>1069.25</v>
      </c>
      <c r="AY848">
        <v>1163.1600000000001</v>
      </c>
      <c r="AZ848">
        <v>14.0883</v>
      </c>
      <c r="BC848" t="s">
        <v>108</v>
      </c>
    </row>
    <row r="849" spans="3:55" x14ac:dyDescent="0.45">
      <c r="C849">
        <v>83.52</v>
      </c>
      <c r="D849">
        <v>6.44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3.62</v>
      </c>
      <c r="K849">
        <v>0</v>
      </c>
      <c r="L849">
        <v>3.94</v>
      </c>
      <c r="M849">
        <v>1.68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990</v>
      </c>
      <c r="X849">
        <v>60</v>
      </c>
      <c r="Y849">
        <v>0</v>
      </c>
      <c r="Z849">
        <v>1</v>
      </c>
      <c r="AA849">
        <v>0</v>
      </c>
      <c r="AB849">
        <v>0</v>
      </c>
      <c r="AC849">
        <v>900</v>
      </c>
      <c r="AD849">
        <v>1</v>
      </c>
      <c r="AE849">
        <v>0</v>
      </c>
      <c r="AF849">
        <v>1</v>
      </c>
      <c r="AG849">
        <v>0</v>
      </c>
      <c r="AH849">
        <v>600</v>
      </c>
      <c r="AI849">
        <v>6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f t="shared" si="41"/>
        <v>-2.5000000000000004</v>
      </c>
      <c r="AU849">
        <f t="shared" si="39"/>
        <v>7.6033333333333335</v>
      </c>
      <c r="AV849">
        <f t="shared" si="40"/>
        <v>840.17200000000014</v>
      </c>
      <c r="AX849">
        <v>1076.3599999999999</v>
      </c>
      <c r="AY849">
        <v>1180.24</v>
      </c>
      <c r="AZ849">
        <v>9.9297699999999995</v>
      </c>
      <c r="BC849" t="s">
        <v>108</v>
      </c>
    </row>
    <row r="850" spans="3:55" x14ac:dyDescent="0.45">
      <c r="C850">
        <v>83.52</v>
      </c>
      <c r="D850">
        <v>6.44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3.62</v>
      </c>
      <c r="K850">
        <v>0</v>
      </c>
      <c r="L850">
        <v>3.94</v>
      </c>
      <c r="M850">
        <v>1.68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1005</v>
      </c>
      <c r="X850">
        <v>60</v>
      </c>
      <c r="Y850">
        <v>0</v>
      </c>
      <c r="Z850">
        <v>1</v>
      </c>
      <c r="AA850">
        <v>0</v>
      </c>
      <c r="AB850">
        <v>0</v>
      </c>
      <c r="AC850">
        <v>900</v>
      </c>
      <c r="AD850">
        <v>1</v>
      </c>
      <c r="AE850">
        <v>0</v>
      </c>
      <c r="AF850">
        <v>1</v>
      </c>
      <c r="AG850">
        <v>0</v>
      </c>
      <c r="AH850">
        <v>600</v>
      </c>
      <c r="AI850">
        <v>6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f t="shared" si="41"/>
        <v>-2.5000000000000004</v>
      </c>
      <c r="AU850">
        <f t="shared" si="39"/>
        <v>7.6033333333333335</v>
      </c>
      <c r="AV850">
        <f t="shared" si="40"/>
        <v>840.17200000000014</v>
      </c>
      <c r="AX850">
        <v>1086.32</v>
      </c>
      <c r="AY850">
        <v>1170.28</v>
      </c>
      <c r="AZ850">
        <v>12.206</v>
      </c>
      <c r="BC850" t="s">
        <v>108</v>
      </c>
    </row>
    <row r="851" spans="3:55" x14ac:dyDescent="0.45">
      <c r="C851">
        <v>83.52</v>
      </c>
      <c r="D851">
        <v>6.44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3.62</v>
      </c>
      <c r="K851">
        <v>0</v>
      </c>
      <c r="L851">
        <v>3.94</v>
      </c>
      <c r="M851">
        <v>1.68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940</v>
      </c>
      <c r="X851">
        <v>20</v>
      </c>
      <c r="Y851">
        <v>0</v>
      </c>
      <c r="Z851">
        <v>1</v>
      </c>
      <c r="AA851">
        <v>0</v>
      </c>
      <c r="AB851">
        <v>0</v>
      </c>
      <c r="AC851">
        <v>900</v>
      </c>
      <c r="AD851">
        <v>1</v>
      </c>
      <c r="AE851">
        <v>0</v>
      </c>
      <c r="AF851">
        <v>1</v>
      </c>
      <c r="AG851">
        <v>0</v>
      </c>
      <c r="AH851">
        <v>600</v>
      </c>
      <c r="AI851">
        <v>6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f t="shared" si="41"/>
        <v>-2.5000000000000004</v>
      </c>
      <c r="AU851">
        <f t="shared" si="39"/>
        <v>7.6033333333333335</v>
      </c>
      <c r="AV851">
        <f t="shared" si="40"/>
        <v>840.17200000000014</v>
      </c>
      <c r="AX851">
        <v>1078</v>
      </c>
      <c r="AY851">
        <v>1158</v>
      </c>
      <c r="AZ851">
        <v>11.75</v>
      </c>
      <c r="BC851" t="s">
        <v>108</v>
      </c>
    </row>
    <row r="852" spans="3:55" x14ac:dyDescent="0.45">
      <c r="C852">
        <v>83.52</v>
      </c>
      <c r="D852">
        <v>6.44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3.62</v>
      </c>
      <c r="K852">
        <v>0</v>
      </c>
      <c r="L852">
        <v>3.94</v>
      </c>
      <c r="M852">
        <v>1.68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940</v>
      </c>
      <c r="X852">
        <v>40</v>
      </c>
      <c r="Y852">
        <v>0</v>
      </c>
      <c r="Z852">
        <v>1</v>
      </c>
      <c r="AA852">
        <v>0</v>
      </c>
      <c r="AB852">
        <v>0</v>
      </c>
      <c r="AC852">
        <v>900</v>
      </c>
      <c r="AD852">
        <v>1</v>
      </c>
      <c r="AE852">
        <v>0</v>
      </c>
      <c r="AF852">
        <v>1</v>
      </c>
      <c r="AG852">
        <v>0</v>
      </c>
      <c r="AH852">
        <v>600</v>
      </c>
      <c r="AI852">
        <v>6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f t="shared" si="41"/>
        <v>-2.5000000000000004</v>
      </c>
      <c r="AU852">
        <f t="shared" si="39"/>
        <v>7.6033333333333335</v>
      </c>
      <c r="AV852">
        <f t="shared" si="40"/>
        <v>840.17200000000014</v>
      </c>
      <c r="AX852">
        <v>1068</v>
      </c>
      <c r="AY852">
        <v>1158.5</v>
      </c>
      <c r="AZ852">
        <v>12.75</v>
      </c>
      <c r="BC852" t="s">
        <v>108</v>
      </c>
    </row>
    <row r="853" spans="3:55" x14ac:dyDescent="0.45">
      <c r="C853">
        <v>85.7</v>
      </c>
      <c r="D853">
        <v>6.81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2.25</v>
      </c>
      <c r="K853">
        <v>0</v>
      </c>
      <c r="L853">
        <v>2.1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1050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f t="shared" si="41"/>
        <v>-4.7099999999999991</v>
      </c>
      <c r="AU853">
        <f t="shared" si="39"/>
        <v>7.8516666666666666</v>
      </c>
      <c r="AV853">
        <f t="shared" si="40"/>
        <v>869.226</v>
      </c>
      <c r="AX853">
        <v>1059.57</v>
      </c>
      <c r="AY853">
        <v>1187.3900000000001</v>
      </c>
      <c r="AZ853">
        <v>9.2331500000000002</v>
      </c>
      <c r="BC853" t="s">
        <v>108</v>
      </c>
    </row>
    <row r="854" spans="3:55" x14ac:dyDescent="0.45">
      <c r="C854">
        <v>85.7</v>
      </c>
      <c r="D854">
        <v>6.81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2.25</v>
      </c>
      <c r="K854">
        <v>0</v>
      </c>
      <c r="L854">
        <v>2.1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1050</v>
      </c>
      <c r="X854">
        <v>25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f t="shared" si="41"/>
        <v>-4.7099999999999991</v>
      </c>
      <c r="AU854">
        <f t="shared" si="39"/>
        <v>7.8516666666666666</v>
      </c>
      <c r="AV854">
        <f t="shared" si="40"/>
        <v>869.226</v>
      </c>
      <c r="AX854">
        <v>1073.05</v>
      </c>
      <c r="AY854">
        <v>1191.29</v>
      </c>
      <c r="AZ854">
        <v>13.033300000000001</v>
      </c>
      <c r="BC854" t="s">
        <v>108</v>
      </c>
    </row>
    <row r="855" spans="3:55" x14ac:dyDescent="0.45">
      <c r="C855">
        <v>85.7</v>
      </c>
      <c r="D855">
        <v>6.81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2.25</v>
      </c>
      <c r="K855">
        <v>0</v>
      </c>
      <c r="L855">
        <v>2.1</v>
      </c>
      <c r="M855">
        <v>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1050</v>
      </c>
      <c r="X855">
        <v>45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f t="shared" si="41"/>
        <v>-4.7099999999999991</v>
      </c>
      <c r="AU855">
        <f t="shared" si="39"/>
        <v>7.8516666666666666</v>
      </c>
      <c r="AV855">
        <f t="shared" si="40"/>
        <v>869.226</v>
      </c>
      <c r="AX855">
        <v>1083.47</v>
      </c>
      <c r="AY855">
        <v>1200</v>
      </c>
      <c r="AZ855">
        <v>13.36</v>
      </c>
      <c r="BC855" t="s">
        <v>108</v>
      </c>
    </row>
    <row r="856" spans="3:55" x14ac:dyDescent="0.45">
      <c r="C856">
        <v>85.7</v>
      </c>
      <c r="D856">
        <v>6.81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2.25</v>
      </c>
      <c r="K856">
        <v>0</v>
      </c>
      <c r="L856">
        <v>2.1</v>
      </c>
      <c r="M856">
        <v>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1050</v>
      </c>
      <c r="X856">
        <v>80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f t="shared" si="41"/>
        <v>-4.7099999999999991</v>
      </c>
      <c r="AU856">
        <f t="shared" si="39"/>
        <v>7.8516666666666666</v>
      </c>
      <c r="AV856">
        <f t="shared" si="40"/>
        <v>869.226</v>
      </c>
      <c r="AX856">
        <v>1151.76</v>
      </c>
      <c r="AY856">
        <v>1258.7</v>
      </c>
      <c r="AZ856">
        <v>15.1442</v>
      </c>
      <c r="BC856" t="s">
        <v>108</v>
      </c>
    </row>
    <row r="857" spans="3:55" x14ac:dyDescent="0.45">
      <c r="C857">
        <v>86.4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4</v>
      </c>
      <c r="K857">
        <v>0</v>
      </c>
      <c r="L857">
        <v>0.4</v>
      </c>
      <c r="M857">
        <v>2.75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950</v>
      </c>
      <c r="AD857">
        <v>1</v>
      </c>
      <c r="AE857">
        <v>1</v>
      </c>
      <c r="AF857">
        <v>0</v>
      </c>
      <c r="AG857">
        <v>0</v>
      </c>
      <c r="AH857">
        <v>650</v>
      </c>
      <c r="AI857">
        <v>6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f t="shared" si="41"/>
        <v>-5.6</v>
      </c>
      <c r="AU857">
        <f t="shared" si="39"/>
        <v>7.5833333333333339</v>
      </c>
      <c r="AV857">
        <f t="shared" si="40"/>
        <v>874.75</v>
      </c>
      <c r="AX857">
        <v>922</v>
      </c>
      <c r="AY857">
        <v>1026</v>
      </c>
      <c r="AZ857">
        <v>3.7</v>
      </c>
      <c r="BC857" t="s">
        <v>108</v>
      </c>
    </row>
    <row r="858" spans="3:55" x14ac:dyDescent="0.45">
      <c r="C858">
        <v>85.9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</v>
      </c>
      <c r="K858">
        <v>0</v>
      </c>
      <c r="L858">
        <v>2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900</v>
      </c>
      <c r="AD858">
        <v>1</v>
      </c>
      <c r="AE858">
        <v>0</v>
      </c>
      <c r="AF858">
        <v>1</v>
      </c>
      <c r="AG858">
        <v>0</v>
      </c>
      <c r="AH858">
        <v>550</v>
      </c>
      <c r="AI858">
        <v>8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f t="shared" si="41"/>
        <v>-4</v>
      </c>
      <c r="AU858">
        <f t="shared" si="39"/>
        <v>7.3333333333333339</v>
      </c>
      <c r="AV858">
        <f t="shared" si="40"/>
        <v>856.4</v>
      </c>
      <c r="AY858">
        <v>1045.31</v>
      </c>
      <c r="AZ858">
        <v>17.287199999999999</v>
      </c>
      <c r="BC858" t="s">
        <v>108</v>
      </c>
    </row>
    <row r="859" spans="3:55" x14ac:dyDescent="0.45">
      <c r="C859">
        <v>85.9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0</v>
      </c>
      <c r="L859">
        <v>2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900</v>
      </c>
      <c r="AD859">
        <v>1</v>
      </c>
      <c r="AE859">
        <v>0</v>
      </c>
      <c r="AF859">
        <v>1</v>
      </c>
      <c r="AG859">
        <v>0</v>
      </c>
      <c r="AH859">
        <v>600</v>
      </c>
      <c r="AI859">
        <v>8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f t="shared" si="41"/>
        <v>-4</v>
      </c>
      <c r="AU859">
        <f t="shared" si="39"/>
        <v>7.3333333333333339</v>
      </c>
      <c r="AV859">
        <f t="shared" si="40"/>
        <v>856.4</v>
      </c>
      <c r="AY859">
        <v>1060.1300000000001</v>
      </c>
      <c r="AZ859">
        <v>16.668900000000001</v>
      </c>
      <c r="BC859" t="s">
        <v>108</v>
      </c>
    </row>
    <row r="860" spans="3:55" x14ac:dyDescent="0.45">
      <c r="C860">
        <v>85.9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4</v>
      </c>
      <c r="K860">
        <v>0</v>
      </c>
      <c r="L860">
        <v>2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900</v>
      </c>
      <c r="AD860">
        <v>1</v>
      </c>
      <c r="AE860">
        <v>0</v>
      </c>
      <c r="AF860">
        <v>1</v>
      </c>
      <c r="AG860">
        <v>0</v>
      </c>
      <c r="AH860">
        <v>650</v>
      </c>
      <c r="AI860">
        <v>8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f t="shared" si="41"/>
        <v>-4</v>
      </c>
      <c r="AU860">
        <f t="shared" si="39"/>
        <v>7.3333333333333339</v>
      </c>
      <c r="AV860">
        <f t="shared" si="40"/>
        <v>856.4</v>
      </c>
      <c r="AY860">
        <v>1044.27</v>
      </c>
      <c r="AZ860">
        <v>13.732100000000001</v>
      </c>
      <c r="BC860" t="s">
        <v>108</v>
      </c>
    </row>
    <row r="861" spans="3:55" x14ac:dyDescent="0.45">
      <c r="C861">
        <v>85.9</v>
      </c>
      <c r="D861">
        <v>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4</v>
      </c>
      <c r="K861">
        <v>0</v>
      </c>
      <c r="L861">
        <v>2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950</v>
      </c>
      <c r="AD861">
        <v>1</v>
      </c>
      <c r="AE861">
        <v>0</v>
      </c>
      <c r="AF861">
        <v>1</v>
      </c>
      <c r="AG861">
        <v>0</v>
      </c>
      <c r="AH861">
        <v>550</v>
      </c>
      <c r="AI861">
        <v>8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f t="shared" si="41"/>
        <v>-4</v>
      </c>
      <c r="AU861">
        <f t="shared" si="39"/>
        <v>7.3333333333333339</v>
      </c>
      <c r="AV861">
        <f t="shared" si="40"/>
        <v>856.4</v>
      </c>
      <c r="AY861">
        <v>1049</v>
      </c>
      <c r="AZ861">
        <v>17.088799999999999</v>
      </c>
      <c r="BC861" t="s">
        <v>108</v>
      </c>
    </row>
    <row r="862" spans="3:55" x14ac:dyDescent="0.45">
      <c r="C862">
        <v>85.9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4</v>
      </c>
      <c r="K862">
        <v>0</v>
      </c>
      <c r="L862">
        <v>2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950</v>
      </c>
      <c r="AD862">
        <v>1</v>
      </c>
      <c r="AE862">
        <v>0</v>
      </c>
      <c r="AF862">
        <v>1</v>
      </c>
      <c r="AG862">
        <v>0</v>
      </c>
      <c r="AH862">
        <v>600</v>
      </c>
      <c r="AI862">
        <v>8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f t="shared" si="41"/>
        <v>-4</v>
      </c>
      <c r="AU862">
        <f t="shared" si="39"/>
        <v>7.3333333333333339</v>
      </c>
      <c r="AV862">
        <f t="shared" si="40"/>
        <v>856.4</v>
      </c>
      <c r="AY862">
        <v>1050.3399999999999</v>
      </c>
      <c r="AZ862">
        <v>16.192499999999999</v>
      </c>
      <c r="BC862" t="s">
        <v>108</v>
      </c>
    </row>
    <row r="863" spans="3:55" x14ac:dyDescent="0.45">
      <c r="C863">
        <v>85.9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4</v>
      </c>
      <c r="K863">
        <v>0</v>
      </c>
      <c r="L863">
        <v>2</v>
      </c>
      <c r="M863">
        <v>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950</v>
      </c>
      <c r="AD863">
        <v>1</v>
      </c>
      <c r="AE863">
        <v>0</v>
      </c>
      <c r="AF863">
        <v>1</v>
      </c>
      <c r="AG863">
        <v>0</v>
      </c>
      <c r="AH863">
        <v>650</v>
      </c>
      <c r="AI863">
        <v>8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f t="shared" si="41"/>
        <v>-4</v>
      </c>
      <c r="AU863">
        <f t="shared" si="39"/>
        <v>7.3333333333333339</v>
      </c>
      <c r="AV863">
        <f t="shared" si="40"/>
        <v>856.4</v>
      </c>
      <c r="AY863">
        <v>1044.6500000000001</v>
      </c>
      <c r="AZ863">
        <v>13.008599999999999</v>
      </c>
      <c r="BC863" t="s">
        <v>108</v>
      </c>
    </row>
    <row r="864" spans="3:55" x14ac:dyDescent="0.45">
      <c r="C864">
        <v>85.9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4</v>
      </c>
      <c r="K864">
        <v>0</v>
      </c>
      <c r="L864">
        <v>2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980</v>
      </c>
      <c r="AD864">
        <v>1</v>
      </c>
      <c r="AE864">
        <v>0</v>
      </c>
      <c r="AF864">
        <v>1</v>
      </c>
      <c r="AG864">
        <v>0</v>
      </c>
      <c r="AH864">
        <v>550</v>
      </c>
      <c r="AI864">
        <v>8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f t="shared" si="41"/>
        <v>-4</v>
      </c>
      <c r="AU864">
        <f t="shared" si="39"/>
        <v>7.3333333333333339</v>
      </c>
      <c r="AV864">
        <f t="shared" si="40"/>
        <v>856.4</v>
      </c>
      <c r="AY864">
        <v>1077.53</v>
      </c>
      <c r="AZ864">
        <v>13.6069</v>
      </c>
      <c r="BC864" t="s">
        <v>108</v>
      </c>
    </row>
    <row r="865" spans="3:55" x14ac:dyDescent="0.45">
      <c r="C865">
        <v>85.9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4</v>
      </c>
      <c r="K865">
        <v>0</v>
      </c>
      <c r="L865">
        <v>2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980</v>
      </c>
      <c r="AD865">
        <v>1</v>
      </c>
      <c r="AE865">
        <v>0</v>
      </c>
      <c r="AF865">
        <v>1</v>
      </c>
      <c r="AG865">
        <v>0</v>
      </c>
      <c r="AH865">
        <v>600</v>
      </c>
      <c r="AI865">
        <v>8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f t="shared" si="41"/>
        <v>-4</v>
      </c>
      <c r="AU865">
        <f t="shared" si="39"/>
        <v>7.3333333333333339</v>
      </c>
      <c r="AV865">
        <f t="shared" si="40"/>
        <v>856.4</v>
      </c>
      <c r="AY865">
        <v>1052.8699999999999</v>
      </c>
      <c r="AZ865">
        <v>15.1525</v>
      </c>
      <c r="BC865" t="s">
        <v>108</v>
      </c>
    </row>
    <row r="866" spans="3:55" x14ac:dyDescent="0.45">
      <c r="C866">
        <v>85.9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4</v>
      </c>
      <c r="K866">
        <v>0</v>
      </c>
      <c r="L866">
        <v>2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980</v>
      </c>
      <c r="AD866">
        <v>1</v>
      </c>
      <c r="AE866">
        <v>0</v>
      </c>
      <c r="AF866">
        <v>1</v>
      </c>
      <c r="AG866">
        <v>0</v>
      </c>
      <c r="AH866">
        <v>650</v>
      </c>
      <c r="AI866">
        <v>8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f t="shared" si="41"/>
        <v>-4</v>
      </c>
      <c r="AU866">
        <f t="shared" si="39"/>
        <v>7.3333333333333339</v>
      </c>
      <c r="AV866">
        <f t="shared" si="40"/>
        <v>856.4</v>
      </c>
      <c r="AY866">
        <v>1075.77</v>
      </c>
      <c r="AZ866">
        <v>11.288600000000001</v>
      </c>
      <c r="BC866" t="s">
        <v>108</v>
      </c>
    </row>
    <row r="867" spans="3:55" x14ac:dyDescent="0.45">
      <c r="C867">
        <v>85.9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4</v>
      </c>
      <c r="K867">
        <v>0</v>
      </c>
      <c r="L867">
        <v>2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1000</v>
      </c>
      <c r="AD867">
        <v>1</v>
      </c>
      <c r="AE867">
        <v>0</v>
      </c>
      <c r="AF867">
        <v>1</v>
      </c>
      <c r="AG867">
        <v>0</v>
      </c>
      <c r="AH867">
        <v>550</v>
      </c>
      <c r="AI867">
        <v>8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f t="shared" si="41"/>
        <v>-4</v>
      </c>
      <c r="AU867">
        <f t="shared" si="39"/>
        <v>7.3333333333333339</v>
      </c>
      <c r="AV867">
        <f t="shared" si="40"/>
        <v>856.4</v>
      </c>
      <c r="AY867">
        <v>1026.78</v>
      </c>
      <c r="AZ867">
        <v>11.357799999999999</v>
      </c>
      <c r="BC867" t="s">
        <v>108</v>
      </c>
    </row>
    <row r="868" spans="3:55" x14ac:dyDescent="0.45">
      <c r="C868">
        <v>85.9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</v>
      </c>
      <c r="K868">
        <v>0</v>
      </c>
      <c r="L868">
        <v>2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1000</v>
      </c>
      <c r="AD868">
        <v>1</v>
      </c>
      <c r="AE868">
        <v>0</v>
      </c>
      <c r="AF868">
        <v>1</v>
      </c>
      <c r="AG868">
        <v>0</v>
      </c>
      <c r="AH868">
        <v>600</v>
      </c>
      <c r="AI868">
        <v>8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f t="shared" si="41"/>
        <v>-4</v>
      </c>
      <c r="AU868">
        <f t="shared" si="39"/>
        <v>7.3333333333333339</v>
      </c>
      <c r="AV868">
        <f t="shared" si="40"/>
        <v>856.4</v>
      </c>
      <c r="AY868">
        <v>1047.5</v>
      </c>
      <c r="AZ868">
        <v>8.6065799999999992</v>
      </c>
      <c r="BC868" t="s">
        <v>108</v>
      </c>
    </row>
    <row r="869" spans="3:55" x14ac:dyDescent="0.45">
      <c r="C869">
        <v>85.9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</v>
      </c>
      <c r="K869">
        <v>0</v>
      </c>
      <c r="L869">
        <v>2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1000</v>
      </c>
      <c r="AD869">
        <v>1</v>
      </c>
      <c r="AE869">
        <v>0</v>
      </c>
      <c r="AF869">
        <v>1</v>
      </c>
      <c r="AG869">
        <v>0</v>
      </c>
      <c r="AH869">
        <v>650</v>
      </c>
      <c r="AI869">
        <v>8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f t="shared" si="41"/>
        <v>-4</v>
      </c>
      <c r="AU869">
        <f t="shared" si="39"/>
        <v>7.3333333333333339</v>
      </c>
      <c r="AV869">
        <f t="shared" si="40"/>
        <v>856.4</v>
      </c>
      <c r="AY869">
        <v>1036.1099999999999</v>
      </c>
      <c r="AZ869">
        <v>6.81332</v>
      </c>
      <c r="BC869" t="s">
        <v>108</v>
      </c>
    </row>
    <row r="870" spans="3:55" x14ac:dyDescent="0.45">
      <c r="C870">
        <v>85.9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4</v>
      </c>
      <c r="K870">
        <v>0</v>
      </c>
      <c r="L870">
        <v>2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1030</v>
      </c>
      <c r="AD870">
        <v>1</v>
      </c>
      <c r="AE870">
        <v>0</v>
      </c>
      <c r="AF870">
        <v>1</v>
      </c>
      <c r="AG870">
        <v>0</v>
      </c>
      <c r="AH870">
        <v>550</v>
      </c>
      <c r="AI870">
        <v>8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f t="shared" si="41"/>
        <v>-4</v>
      </c>
      <c r="AU870">
        <f t="shared" si="39"/>
        <v>7.3333333333333339</v>
      </c>
      <c r="AV870">
        <f t="shared" si="40"/>
        <v>856.4</v>
      </c>
      <c r="AY870">
        <v>1030.44</v>
      </c>
      <c r="AZ870">
        <v>8.5865899999999993</v>
      </c>
      <c r="BC870" t="s">
        <v>108</v>
      </c>
    </row>
    <row r="871" spans="3:55" x14ac:dyDescent="0.45">
      <c r="C871">
        <v>85.9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</v>
      </c>
      <c r="K871">
        <v>0</v>
      </c>
      <c r="L871">
        <v>2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1030</v>
      </c>
      <c r="AD871">
        <v>1</v>
      </c>
      <c r="AE871">
        <v>0</v>
      </c>
      <c r="AF871">
        <v>1</v>
      </c>
      <c r="AG871">
        <v>0</v>
      </c>
      <c r="AH871">
        <v>600</v>
      </c>
      <c r="AI871">
        <v>8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f t="shared" si="41"/>
        <v>-4</v>
      </c>
      <c r="AU871">
        <f t="shared" si="39"/>
        <v>7.3333333333333339</v>
      </c>
      <c r="AV871">
        <f t="shared" si="40"/>
        <v>856.4</v>
      </c>
      <c r="AY871">
        <v>1043.4000000000001</v>
      </c>
      <c r="AZ871">
        <v>7.7517899999999997</v>
      </c>
      <c r="BC871" t="s">
        <v>108</v>
      </c>
    </row>
    <row r="872" spans="3:55" x14ac:dyDescent="0.45">
      <c r="C872">
        <v>85.9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4</v>
      </c>
      <c r="K872">
        <v>0</v>
      </c>
      <c r="L872">
        <v>2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1030</v>
      </c>
      <c r="AD872">
        <v>1</v>
      </c>
      <c r="AE872">
        <v>0</v>
      </c>
      <c r="AF872">
        <v>1</v>
      </c>
      <c r="AG872">
        <v>0</v>
      </c>
      <c r="AH872">
        <v>650</v>
      </c>
      <c r="AI872">
        <v>8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f t="shared" si="41"/>
        <v>-4</v>
      </c>
      <c r="AU872">
        <f t="shared" si="39"/>
        <v>7.3333333333333339</v>
      </c>
      <c r="AV872">
        <f t="shared" si="40"/>
        <v>856.4</v>
      </c>
      <c r="AY872">
        <v>1029.2</v>
      </c>
      <c r="AZ872">
        <v>7.2576099999999997</v>
      </c>
      <c r="BC872" t="s">
        <v>108</v>
      </c>
    </row>
    <row r="873" spans="3:55" x14ac:dyDescent="0.45">
      <c r="C873">
        <v>88.39</v>
      </c>
      <c r="D873">
        <v>6.9</v>
      </c>
      <c r="E873">
        <v>0</v>
      </c>
      <c r="F873">
        <v>0</v>
      </c>
      <c r="G873">
        <v>0</v>
      </c>
      <c r="H873">
        <v>0.03</v>
      </c>
      <c r="I873">
        <v>0</v>
      </c>
      <c r="J873">
        <v>1.6</v>
      </c>
      <c r="K873">
        <v>0</v>
      </c>
      <c r="L873">
        <v>3.08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f t="shared" si="41"/>
        <v>-3.7330000000000001</v>
      </c>
      <c r="AU873">
        <f t="shared" si="39"/>
        <v>7.166666666666667</v>
      </c>
      <c r="AV873">
        <f t="shared" si="40"/>
        <v>855.72800000000007</v>
      </c>
      <c r="BC873" t="s">
        <v>192</v>
      </c>
    </row>
    <row r="874" spans="3:55" x14ac:dyDescent="0.45">
      <c r="C874">
        <v>88.39</v>
      </c>
      <c r="D874">
        <v>6.9</v>
      </c>
      <c r="E874">
        <v>0</v>
      </c>
      <c r="F874">
        <v>0</v>
      </c>
      <c r="G874">
        <v>0</v>
      </c>
      <c r="H874">
        <v>0.03</v>
      </c>
      <c r="I874">
        <v>0</v>
      </c>
      <c r="J874">
        <v>1.6</v>
      </c>
      <c r="K874">
        <v>0</v>
      </c>
      <c r="L874">
        <v>3.08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f t="shared" si="41"/>
        <v>-3.7330000000000001</v>
      </c>
      <c r="AU874">
        <f t="shared" si="39"/>
        <v>7.166666666666667</v>
      </c>
      <c r="AV874">
        <f t="shared" si="40"/>
        <v>855.72800000000007</v>
      </c>
      <c r="BC874" t="s">
        <v>192</v>
      </c>
    </row>
    <row r="875" spans="3:55" x14ac:dyDescent="0.45">
      <c r="C875">
        <v>88.39</v>
      </c>
      <c r="D875">
        <v>6.9</v>
      </c>
      <c r="E875">
        <v>0</v>
      </c>
      <c r="F875">
        <v>0</v>
      </c>
      <c r="G875">
        <v>0</v>
      </c>
      <c r="H875">
        <v>0.03</v>
      </c>
      <c r="I875">
        <v>0</v>
      </c>
      <c r="J875">
        <v>1.6</v>
      </c>
      <c r="K875">
        <v>0</v>
      </c>
      <c r="L875">
        <v>3.08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f t="shared" si="41"/>
        <v>-3.7330000000000001</v>
      </c>
      <c r="AU875">
        <f t="shared" si="39"/>
        <v>7.166666666666667</v>
      </c>
      <c r="AV875">
        <f t="shared" si="40"/>
        <v>855.72800000000007</v>
      </c>
      <c r="BC875" t="s">
        <v>192</v>
      </c>
    </row>
    <row r="876" spans="3:55" x14ac:dyDescent="0.45">
      <c r="C876">
        <v>89.034999999999997</v>
      </c>
      <c r="D876">
        <v>6.2</v>
      </c>
      <c r="E876">
        <v>4.3</v>
      </c>
      <c r="F876">
        <v>0</v>
      </c>
      <c r="G876">
        <v>0</v>
      </c>
      <c r="H876">
        <v>0.16</v>
      </c>
      <c r="I876">
        <v>0</v>
      </c>
      <c r="J876">
        <v>0.02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870</v>
      </c>
      <c r="AD876">
        <v>1</v>
      </c>
      <c r="AE876">
        <v>1</v>
      </c>
      <c r="AF876">
        <v>0</v>
      </c>
      <c r="AG876">
        <v>0</v>
      </c>
      <c r="AH876">
        <v>675</v>
      </c>
      <c r="AI876">
        <v>4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f t="shared" si="41"/>
        <v>-2.855</v>
      </c>
      <c r="AU876">
        <f t="shared" si="39"/>
        <v>6.2033333333333331</v>
      </c>
      <c r="AV876">
        <f t="shared" si="40"/>
        <v>841.67799999999988</v>
      </c>
      <c r="AX876">
        <v>900</v>
      </c>
      <c r="AY876">
        <v>965</v>
      </c>
      <c r="AZ876">
        <v>17</v>
      </c>
      <c r="BC876" t="s">
        <v>193</v>
      </c>
    </row>
    <row r="877" spans="3:55" x14ac:dyDescent="0.45">
      <c r="C877">
        <v>89.034999999999997</v>
      </c>
      <c r="D877">
        <v>6.2</v>
      </c>
      <c r="E877">
        <v>4.3</v>
      </c>
      <c r="F877">
        <v>0</v>
      </c>
      <c r="G877">
        <v>0</v>
      </c>
      <c r="H877">
        <v>0.16</v>
      </c>
      <c r="I877">
        <v>0</v>
      </c>
      <c r="J877">
        <v>0.02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500</v>
      </c>
      <c r="AI877">
        <v>1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f t="shared" si="41"/>
        <v>-2.855</v>
      </c>
      <c r="AU877">
        <f t="shared" si="39"/>
        <v>6.2033333333333331</v>
      </c>
      <c r="AV877">
        <f t="shared" si="40"/>
        <v>841.67799999999988</v>
      </c>
      <c r="AX877">
        <v>1360</v>
      </c>
      <c r="AY877">
        <v>1435</v>
      </c>
      <c r="AZ877">
        <v>9</v>
      </c>
      <c r="BC877" t="s">
        <v>193</v>
      </c>
    </row>
    <row r="878" spans="3:55" x14ac:dyDescent="0.45">
      <c r="C878">
        <v>68.820000000000007</v>
      </c>
      <c r="D878">
        <v>9.93</v>
      </c>
      <c r="E878">
        <v>3.15</v>
      </c>
      <c r="F878">
        <v>0</v>
      </c>
      <c r="G878">
        <v>0</v>
      </c>
      <c r="H878">
        <v>0.48</v>
      </c>
      <c r="I878">
        <v>0</v>
      </c>
      <c r="J878">
        <v>17.62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f t="shared" si="41"/>
        <v>-6.4275000000000002</v>
      </c>
      <c r="AU878">
        <f t="shared" si="39"/>
        <v>12.866666666666667</v>
      </c>
      <c r="AV878">
        <f t="shared" si="40"/>
        <v>736.71299999999997</v>
      </c>
      <c r="AW878">
        <v>92</v>
      </c>
      <c r="AX878">
        <v>1299</v>
      </c>
      <c r="BC878" t="s">
        <v>60</v>
      </c>
    </row>
    <row r="879" spans="3:55" x14ac:dyDescent="0.45">
      <c r="C879">
        <v>68.320000000000007</v>
      </c>
      <c r="D879">
        <v>9.93</v>
      </c>
      <c r="E879">
        <v>3.16</v>
      </c>
      <c r="F879">
        <v>0</v>
      </c>
      <c r="G879">
        <v>0</v>
      </c>
      <c r="H879">
        <v>0.96</v>
      </c>
      <c r="I879">
        <v>0</v>
      </c>
      <c r="J879">
        <v>17.630000000000003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f t="shared" si="41"/>
        <v>-5.0287999999999995</v>
      </c>
      <c r="AU879">
        <f t="shared" si="39"/>
        <v>12.868333333333334</v>
      </c>
      <c r="AV879">
        <f t="shared" si="40"/>
        <v>729.1339999999999</v>
      </c>
      <c r="AW879">
        <v>100</v>
      </c>
      <c r="AX879">
        <v>1421</v>
      </c>
      <c r="BC879" t="s">
        <v>60</v>
      </c>
    </row>
    <row r="880" spans="3:55" x14ac:dyDescent="0.45">
      <c r="C880">
        <v>67.81</v>
      </c>
      <c r="D880">
        <v>9.94</v>
      </c>
      <c r="E880">
        <v>3.16</v>
      </c>
      <c r="F880">
        <v>0</v>
      </c>
      <c r="G880">
        <v>0</v>
      </c>
      <c r="H880">
        <v>1.44</v>
      </c>
      <c r="I880">
        <v>0</v>
      </c>
      <c r="J880">
        <v>17.64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f t="shared" si="41"/>
        <v>-3.6467999999999989</v>
      </c>
      <c r="AU880">
        <f t="shared" si="39"/>
        <v>12.879999999999999</v>
      </c>
      <c r="AV880">
        <f t="shared" si="40"/>
        <v>721.69399999999996</v>
      </c>
      <c r="AW880">
        <v>96</v>
      </c>
      <c r="AX880">
        <v>1553</v>
      </c>
      <c r="BC880" t="s">
        <v>60</v>
      </c>
    </row>
    <row r="881" spans="3:55" x14ac:dyDescent="0.45">
      <c r="C881">
        <v>67.31</v>
      </c>
      <c r="D881">
        <v>9.9500000000000011</v>
      </c>
      <c r="E881">
        <v>3.16</v>
      </c>
      <c r="F881">
        <v>0</v>
      </c>
      <c r="G881">
        <v>0</v>
      </c>
      <c r="H881">
        <v>1.92</v>
      </c>
      <c r="I881">
        <v>0</v>
      </c>
      <c r="J881">
        <v>17.66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f t="shared" si="41"/>
        <v>-2.264800000000001</v>
      </c>
      <c r="AU881">
        <f t="shared" si="39"/>
        <v>12.893333333333334</v>
      </c>
      <c r="AV881">
        <f t="shared" si="40"/>
        <v>714.18499999999995</v>
      </c>
      <c r="AW881">
        <v>103</v>
      </c>
      <c r="AX881">
        <v>1399</v>
      </c>
      <c r="BC881" t="s">
        <v>60</v>
      </c>
    </row>
    <row r="882" spans="3:55" x14ac:dyDescent="0.45">
      <c r="C882">
        <v>66.8</v>
      </c>
      <c r="D882">
        <v>9.9599999999999991</v>
      </c>
      <c r="E882">
        <v>3.16</v>
      </c>
      <c r="F882">
        <v>0</v>
      </c>
      <c r="G882">
        <v>0</v>
      </c>
      <c r="H882">
        <v>2.41</v>
      </c>
      <c r="I882">
        <v>0</v>
      </c>
      <c r="J882">
        <v>17.669999999999998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f t="shared" si="41"/>
        <v>-0.85379999999999789</v>
      </c>
      <c r="AU882">
        <f t="shared" si="39"/>
        <v>12.904999999999999</v>
      </c>
      <c r="AV882">
        <f t="shared" si="40"/>
        <v>706.59100000000001</v>
      </c>
      <c r="AW882">
        <v>79</v>
      </c>
      <c r="AX882">
        <v>1068</v>
      </c>
      <c r="BC882" t="s">
        <v>60</v>
      </c>
    </row>
    <row r="883" spans="3:55" x14ac:dyDescent="0.45">
      <c r="C883">
        <v>84.68</v>
      </c>
      <c r="D883">
        <v>3.01</v>
      </c>
      <c r="E883">
        <v>0</v>
      </c>
      <c r="F883">
        <v>2.65</v>
      </c>
      <c r="G883">
        <v>0</v>
      </c>
      <c r="H883">
        <v>0</v>
      </c>
      <c r="I883">
        <v>0</v>
      </c>
      <c r="J883">
        <v>0</v>
      </c>
      <c r="K883">
        <v>2.8</v>
      </c>
      <c r="L883">
        <v>6.63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880</v>
      </c>
      <c r="AD883">
        <v>0.5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f t="shared" si="41"/>
        <v>8.6440000000000001</v>
      </c>
      <c r="AU883">
        <f t="shared" si="39"/>
        <v>3.01</v>
      </c>
      <c r="AV883">
        <f t="shared" si="40"/>
        <v>793.27099999999996</v>
      </c>
      <c r="AX883">
        <v>687</v>
      </c>
      <c r="AY883">
        <v>903</v>
      </c>
      <c r="AZ883">
        <v>24</v>
      </c>
      <c r="BC883" t="s">
        <v>108</v>
      </c>
    </row>
    <row r="884" spans="3:55" x14ac:dyDescent="0.45">
      <c r="C884">
        <v>84.68</v>
      </c>
      <c r="D884">
        <v>3.01</v>
      </c>
      <c r="E884">
        <v>0</v>
      </c>
      <c r="F884">
        <v>2.65</v>
      </c>
      <c r="G884">
        <v>0</v>
      </c>
      <c r="H884">
        <v>0</v>
      </c>
      <c r="I884">
        <v>0</v>
      </c>
      <c r="J884">
        <v>0</v>
      </c>
      <c r="K884">
        <v>2.8</v>
      </c>
      <c r="L884">
        <v>6.63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820</v>
      </c>
      <c r="AD884">
        <v>0.5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f t="shared" si="41"/>
        <v>8.6440000000000001</v>
      </c>
      <c r="AU884">
        <f t="shared" si="39"/>
        <v>3.01</v>
      </c>
      <c r="AV884">
        <f t="shared" si="40"/>
        <v>793.27099999999996</v>
      </c>
      <c r="AX884">
        <v>811</v>
      </c>
      <c r="AY884">
        <v>965</v>
      </c>
      <c r="AZ884">
        <v>10.9</v>
      </c>
      <c r="BC884" t="s">
        <v>108</v>
      </c>
    </row>
    <row r="885" spans="3:55" x14ac:dyDescent="0.45">
      <c r="C885">
        <v>84.68</v>
      </c>
      <c r="D885">
        <v>3.01</v>
      </c>
      <c r="E885">
        <v>0</v>
      </c>
      <c r="F885">
        <v>2.65</v>
      </c>
      <c r="G885">
        <v>0</v>
      </c>
      <c r="H885">
        <v>0</v>
      </c>
      <c r="I885">
        <v>0</v>
      </c>
      <c r="J885">
        <v>0</v>
      </c>
      <c r="K885">
        <v>2.8</v>
      </c>
      <c r="L885">
        <v>6.63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880</v>
      </c>
      <c r="AD885">
        <v>0.5</v>
      </c>
      <c r="AE885">
        <v>1</v>
      </c>
      <c r="AF885">
        <v>0</v>
      </c>
      <c r="AG885">
        <v>0</v>
      </c>
      <c r="AH885">
        <v>530</v>
      </c>
      <c r="AI885">
        <v>6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f t="shared" si="41"/>
        <v>8.6440000000000001</v>
      </c>
      <c r="AU885">
        <f t="shared" si="39"/>
        <v>3.01</v>
      </c>
      <c r="AV885">
        <f t="shared" si="40"/>
        <v>793.27099999999996</v>
      </c>
      <c r="AX885">
        <v>987</v>
      </c>
      <c r="AY885">
        <v>1311</v>
      </c>
      <c r="AZ885">
        <v>2.1</v>
      </c>
      <c r="BC885" t="s">
        <v>108</v>
      </c>
    </row>
    <row r="886" spans="3:55" x14ac:dyDescent="0.45">
      <c r="C886">
        <v>84.68</v>
      </c>
      <c r="D886">
        <v>3.01</v>
      </c>
      <c r="E886">
        <v>0</v>
      </c>
      <c r="F886">
        <v>2.65</v>
      </c>
      <c r="G886">
        <v>0</v>
      </c>
      <c r="H886">
        <v>0</v>
      </c>
      <c r="I886">
        <v>0</v>
      </c>
      <c r="J886">
        <v>0</v>
      </c>
      <c r="K886">
        <v>2.8</v>
      </c>
      <c r="L886">
        <v>6.63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820</v>
      </c>
      <c r="AD886">
        <v>0.5</v>
      </c>
      <c r="AE886">
        <v>1</v>
      </c>
      <c r="AF886">
        <v>0</v>
      </c>
      <c r="AG886">
        <v>0</v>
      </c>
      <c r="AH886">
        <v>530</v>
      </c>
      <c r="AI886">
        <v>6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f t="shared" si="41"/>
        <v>8.6440000000000001</v>
      </c>
      <c r="AU886">
        <f t="shared" si="39"/>
        <v>3.01</v>
      </c>
      <c r="AV886">
        <f t="shared" si="40"/>
        <v>793.27099999999996</v>
      </c>
      <c r="AX886">
        <v>963</v>
      </c>
      <c r="AY886">
        <v>1296</v>
      </c>
      <c r="AZ886">
        <v>4.7</v>
      </c>
      <c r="BC886" t="s">
        <v>108</v>
      </c>
    </row>
    <row r="887" spans="3:55" x14ac:dyDescent="0.45">
      <c r="C887">
        <v>82.19</v>
      </c>
      <c r="D887">
        <v>4.22</v>
      </c>
      <c r="E887">
        <v>0</v>
      </c>
      <c r="F887">
        <v>3.9</v>
      </c>
      <c r="G887">
        <v>0</v>
      </c>
      <c r="H887">
        <v>0</v>
      </c>
      <c r="I887">
        <v>0</v>
      </c>
      <c r="J887">
        <v>0</v>
      </c>
      <c r="K887">
        <v>2.86</v>
      </c>
      <c r="L887">
        <v>6.62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890</v>
      </c>
      <c r="AD887">
        <v>0.5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f t="shared" si="41"/>
        <v>9.4407999999999994</v>
      </c>
      <c r="AU887">
        <f t="shared" si="39"/>
        <v>4.22</v>
      </c>
      <c r="AV887">
        <f t="shared" si="40"/>
        <v>780.78199999999993</v>
      </c>
      <c r="AX887">
        <v>726</v>
      </c>
      <c r="AY887">
        <v>893</v>
      </c>
      <c r="AZ887">
        <v>19.5</v>
      </c>
      <c r="BC887" t="s">
        <v>108</v>
      </c>
    </row>
    <row r="888" spans="3:55" x14ac:dyDescent="0.45">
      <c r="C888">
        <v>82.19</v>
      </c>
      <c r="D888">
        <v>4.22</v>
      </c>
      <c r="E888">
        <v>0</v>
      </c>
      <c r="F888">
        <v>3.9</v>
      </c>
      <c r="G888">
        <v>0</v>
      </c>
      <c r="H888">
        <v>0</v>
      </c>
      <c r="I888">
        <v>0</v>
      </c>
      <c r="J888">
        <v>0</v>
      </c>
      <c r="K888">
        <v>2.86</v>
      </c>
      <c r="L888">
        <v>6.62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830</v>
      </c>
      <c r="AD888">
        <v>0.5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f t="shared" si="41"/>
        <v>9.4407999999999994</v>
      </c>
      <c r="AU888">
        <f t="shared" si="39"/>
        <v>4.22</v>
      </c>
      <c r="AV888">
        <f t="shared" si="40"/>
        <v>780.78199999999993</v>
      </c>
      <c r="AX888">
        <v>908</v>
      </c>
      <c r="AY888">
        <v>942</v>
      </c>
      <c r="AZ888">
        <v>9.1</v>
      </c>
      <c r="BC888" t="s">
        <v>108</v>
      </c>
    </row>
    <row r="889" spans="3:55" x14ac:dyDescent="0.45">
      <c r="C889">
        <v>82.19</v>
      </c>
      <c r="D889">
        <v>4.22</v>
      </c>
      <c r="E889">
        <v>0</v>
      </c>
      <c r="F889">
        <v>3.9</v>
      </c>
      <c r="G889">
        <v>0</v>
      </c>
      <c r="H889">
        <v>0</v>
      </c>
      <c r="I889">
        <v>0</v>
      </c>
      <c r="J889">
        <v>0</v>
      </c>
      <c r="K889">
        <v>2.86</v>
      </c>
      <c r="L889">
        <v>6.62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890</v>
      </c>
      <c r="AD889">
        <v>0.5</v>
      </c>
      <c r="AE889">
        <v>1</v>
      </c>
      <c r="AF889">
        <v>0</v>
      </c>
      <c r="AG889">
        <v>0</v>
      </c>
      <c r="AH889">
        <v>540</v>
      </c>
      <c r="AI889">
        <v>6</v>
      </c>
      <c r="AJ889">
        <v>0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f t="shared" si="41"/>
        <v>9.4407999999999994</v>
      </c>
      <c r="AU889">
        <f t="shared" si="39"/>
        <v>4.22</v>
      </c>
      <c r="AV889">
        <f t="shared" si="40"/>
        <v>780.78199999999993</v>
      </c>
      <c r="AX889">
        <v>1058</v>
      </c>
      <c r="AY889">
        <v>1378</v>
      </c>
      <c r="AZ889">
        <v>1.5</v>
      </c>
      <c r="BC889" t="s">
        <v>108</v>
      </c>
    </row>
    <row r="890" spans="3:55" x14ac:dyDescent="0.45">
      <c r="C890">
        <v>82.19</v>
      </c>
      <c r="D890">
        <v>4.22</v>
      </c>
      <c r="E890">
        <v>0</v>
      </c>
      <c r="F890">
        <v>3.9</v>
      </c>
      <c r="G890">
        <v>0</v>
      </c>
      <c r="H890">
        <v>0</v>
      </c>
      <c r="I890">
        <v>0</v>
      </c>
      <c r="J890">
        <v>0</v>
      </c>
      <c r="K890">
        <v>2.86</v>
      </c>
      <c r="L890">
        <v>6.62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830</v>
      </c>
      <c r="AD890">
        <v>0.5</v>
      </c>
      <c r="AE890">
        <v>1</v>
      </c>
      <c r="AF890">
        <v>0</v>
      </c>
      <c r="AG890">
        <v>0</v>
      </c>
      <c r="AH890">
        <v>540</v>
      </c>
      <c r="AI890">
        <v>6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f t="shared" si="41"/>
        <v>9.4407999999999994</v>
      </c>
      <c r="AU890">
        <f t="shared" si="39"/>
        <v>4.22</v>
      </c>
      <c r="AV890">
        <f t="shared" si="40"/>
        <v>780.78199999999993</v>
      </c>
      <c r="AX890">
        <v>1094</v>
      </c>
      <c r="AY890">
        <v>1308</v>
      </c>
      <c r="AZ890">
        <v>5.2</v>
      </c>
      <c r="BC890" t="s">
        <v>108</v>
      </c>
    </row>
    <row r="891" spans="3:55" x14ac:dyDescent="0.45">
      <c r="C891">
        <v>88.21</v>
      </c>
      <c r="D891">
        <v>5.13</v>
      </c>
      <c r="E891">
        <v>3.03</v>
      </c>
      <c r="F891">
        <v>0.76</v>
      </c>
      <c r="G891">
        <v>0</v>
      </c>
      <c r="H891">
        <v>0</v>
      </c>
      <c r="I891">
        <v>0</v>
      </c>
      <c r="J891">
        <v>2.87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700</v>
      </c>
      <c r="AD891">
        <v>1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f t="shared" si="41"/>
        <v>-1.8838999999999997</v>
      </c>
      <c r="AU891">
        <f t="shared" si="39"/>
        <v>5.6083333333333334</v>
      </c>
      <c r="AV891">
        <f t="shared" si="40"/>
        <v>828.02</v>
      </c>
      <c r="AX891">
        <v>847.19100000000003</v>
      </c>
      <c r="AY891">
        <v>878.65200000000004</v>
      </c>
      <c r="AZ891">
        <v>17.7578</v>
      </c>
      <c r="BC891" t="s">
        <v>108</v>
      </c>
    </row>
    <row r="892" spans="3:55" x14ac:dyDescent="0.45">
      <c r="C892">
        <v>88.21</v>
      </c>
      <c r="D892">
        <v>5.13</v>
      </c>
      <c r="E892">
        <v>3.03</v>
      </c>
      <c r="F892">
        <v>0.76</v>
      </c>
      <c r="G892">
        <v>0</v>
      </c>
      <c r="H892">
        <v>0</v>
      </c>
      <c r="I892">
        <v>0</v>
      </c>
      <c r="J892">
        <v>2.87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950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700</v>
      </c>
      <c r="AD892">
        <v>1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f t="shared" si="41"/>
        <v>-1.8838999999999997</v>
      </c>
      <c r="AU892">
        <f t="shared" si="39"/>
        <v>5.6083333333333334</v>
      </c>
      <c r="AV892">
        <f t="shared" si="40"/>
        <v>828.02</v>
      </c>
      <c r="AX892">
        <v>942.07500000000005</v>
      </c>
      <c r="AY892">
        <v>973.76400000000001</v>
      </c>
      <c r="AZ892">
        <v>14.257300000000001</v>
      </c>
      <c r="BC892" t="s">
        <v>108</v>
      </c>
    </row>
    <row r="893" spans="3:55" x14ac:dyDescent="0.45">
      <c r="C893">
        <v>88.21</v>
      </c>
      <c r="D893">
        <v>5.13</v>
      </c>
      <c r="E893">
        <v>3.03</v>
      </c>
      <c r="F893">
        <v>0.76</v>
      </c>
      <c r="G893">
        <v>0</v>
      </c>
      <c r="H893">
        <v>0</v>
      </c>
      <c r="I893">
        <v>0</v>
      </c>
      <c r="J893">
        <v>2.87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890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700</v>
      </c>
      <c r="AD893">
        <v>1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f t="shared" si="41"/>
        <v>-1.8838999999999997</v>
      </c>
      <c r="AU893">
        <f t="shared" si="39"/>
        <v>5.6083333333333334</v>
      </c>
      <c r="AV893">
        <f t="shared" si="40"/>
        <v>828.02</v>
      </c>
      <c r="AX893">
        <v>893.92100000000005</v>
      </c>
      <c r="AY893">
        <v>961.47699999999998</v>
      </c>
      <c r="AZ893">
        <v>15.7849</v>
      </c>
      <c r="BC893" t="s">
        <v>108</v>
      </c>
    </row>
    <row r="894" spans="3:55" x14ac:dyDescent="0.45">
      <c r="C894">
        <v>88.21</v>
      </c>
      <c r="D894">
        <v>5.13</v>
      </c>
      <c r="E894">
        <v>3.03</v>
      </c>
      <c r="F894">
        <v>0.76</v>
      </c>
      <c r="G894">
        <v>0</v>
      </c>
      <c r="H894">
        <v>0</v>
      </c>
      <c r="I894">
        <v>0</v>
      </c>
      <c r="J894">
        <v>2.87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840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700</v>
      </c>
      <c r="AD894">
        <v>1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f t="shared" si="41"/>
        <v>-1.8838999999999997</v>
      </c>
      <c r="AU894">
        <f t="shared" si="39"/>
        <v>5.6083333333333334</v>
      </c>
      <c r="AV894">
        <f t="shared" si="40"/>
        <v>828.02</v>
      </c>
      <c r="AX894">
        <v>1007.72</v>
      </c>
      <c r="AY894">
        <v>1023.63</v>
      </c>
      <c r="AZ894">
        <v>13.2879</v>
      </c>
      <c r="BC894" t="s">
        <v>108</v>
      </c>
    </row>
    <row r="895" spans="3:55" x14ac:dyDescent="0.45">
      <c r="C895">
        <v>88.21</v>
      </c>
      <c r="D895">
        <v>5.13</v>
      </c>
      <c r="E895">
        <v>3.03</v>
      </c>
      <c r="F895">
        <v>0.76</v>
      </c>
      <c r="G895">
        <v>0</v>
      </c>
      <c r="H895">
        <v>0</v>
      </c>
      <c r="I895">
        <v>0</v>
      </c>
      <c r="J895">
        <v>2.87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800</v>
      </c>
      <c r="AD895">
        <v>1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f t="shared" si="41"/>
        <v>-1.8838999999999997</v>
      </c>
      <c r="AU895">
        <f t="shared" si="39"/>
        <v>5.6083333333333334</v>
      </c>
      <c r="AV895">
        <f t="shared" si="40"/>
        <v>828.02</v>
      </c>
      <c r="AX895">
        <v>820.22500000000002</v>
      </c>
      <c r="AY895">
        <v>862.92100000000005</v>
      </c>
      <c r="AZ895">
        <v>19.103100000000001</v>
      </c>
      <c r="BC895" t="s">
        <v>108</v>
      </c>
    </row>
    <row r="896" spans="3:55" x14ac:dyDescent="0.45">
      <c r="C896">
        <v>88.21</v>
      </c>
      <c r="D896">
        <v>5.13</v>
      </c>
      <c r="E896">
        <v>3.03</v>
      </c>
      <c r="F896">
        <v>0.76</v>
      </c>
      <c r="G896">
        <v>0</v>
      </c>
      <c r="H896">
        <v>0</v>
      </c>
      <c r="I896">
        <v>0</v>
      </c>
      <c r="J896">
        <v>2.87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950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800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f t="shared" si="41"/>
        <v>-1.8838999999999997</v>
      </c>
      <c r="AU896">
        <f t="shared" si="39"/>
        <v>5.6083333333333334</v>
      </c>
      <c r="AV896">
        <f t="shared" si="40"/>
        <v>828.02</v>
      </c>
      <c r="AX896">
        <v>892.16399999999999</v>
      </c>
      <c r="AY896">
        <v>945.31299999999999</v>
      </c>
      <c r="AZ896">
        <v>17.601400000000002</v>
      </c>
      <c r="BC896" t="s">
        <v>108</v>
      </c>
    </row>
    <row r="897" spans="3:55" x14ac:dyDescent="0.45">
      <c r="C897">
        <v>88.21</v>
      </c>
      <c r="D897">
        <v>5.13</v>
      </c>
      <c r="E897">
        <v>3.03</v>
      </c>
      <c r="F897">
        <v>0.76</v>
      </c>
      <c r="G897">
        <v>0</v>
      </c>
      <c r="H897">
        <v>0</v>
      </c>
      <c r="I897">
        <v>0</v>
      </c>
      <c r="J897">
        <v>2.87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890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800</v>
      </c>
      <c r="AD897">
        <v>1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f t="shared" si="41"/>
        <v>-1.8838999999999997</v>
      </c>
      <c r="AU897">
        <f t="shared" si="39"/>
        <v>5.6083333333333334</v>
      </c>
      <c r="AV897">
        <f t="shared" si="40"/>
        <v>828.02</v>
      </c>
      <c r="AX897">
        <v>771.59400000000005</v>
      </c>
      <c r="AY897">
        <v>880.61400000000003</v>
      </c>
      <c r="AZ897">
        <v>18.973199999999999</v>
      </c>
      <c r="BC897" t="s">
        <v>108</v>
      </c>
    </row>
    <row r="898" spans="3:55" x14ac:dyDescent="0.45">
      <c r="C898">
        <v>88.21</v>
      </c>
      <c r="D898">
        <v>5.13</v>
      </c>
      <c r="E898">
        <v>3.03</v>
      </c>
      <c r="F898">
        <v>0.76</v>
      </c>
      <c r="G898">
        <v>0</v>
      </c>
      <c r="H898">
        <v>0</v>
      </c>
      <c r="I898">
        <v>0</v>
      </c>
      <c r="J898">
        <v>2.87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840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800</v>
      </c>
      <c r="AD898">
        <v>1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f t="shared" si="41"/>
        <v>-1.8838999999999997</v>
      </c>
      <c r="AU898">
        <f t="shared" ref="AU898:AU961" si="42">D898+J898/6+M898/3+(T898+S898)/10</f>
        <v>5.6083333333333334</v>
      </c>
      <c r="AV898">
        <f t="shared" ref="AV898:AV961" si="43">882+2.1*D898-9.5*L898+4.2*M898-6.9*J898-11.8*E898-12.1*F898-15.4*H898+23.3*Q898+123*T898</f>
        <v>828.02</v>
      </c>
      <c r="AX898">
        <v>949.90099999999995</v>
      </c>
      <c r="AY898">
        <v>964.53</v>
      </c>
      <c r="AZ898">
        <v>14.9915</v>
      </c>
      <c r="BC898" t="s">
        <v>108</v>
      </c>
    </row>
    <row r="899" spans="3:55" x14ac:dyDescent="0.45">
      <c r="C899">
        <v>88.21</v>
      </c>
      <c r="D899">
        <v>5.13</v>
      </c>
      <c r="E899">
        <v>3.03</v>
      </c>
      <c r="F899">
        <v>0.76</v>
      </c>
      <c r="G899">
        <v>0</v>
      </c>
      <c r="H899">
        <v>0</v>
      </c>
      <c r="I899">
        <v>0</v>
      </c>
      <c r="J899">
        <v>2.87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900</v>
      </c>
      <c r="AD899">
        <v>1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f t="shared" ref="AT899:AT962" si="44">L899+0.67*E899+0.44*P899+0.28*K899+0.22*O899+2.9*H899+1.6*F899+1.7*G899-D899</f>
        <v>-1.8838999999999997</v>
      </c>
      <c r="AU899">
        <f t="shared" si="42"/>
        <v>5.6083333333333334</v>
      </c>
      <c r="AV899">
        <f t="shared" si="43"/>
        <v>828.02</v>
      </c>
      <c r="AX899">
        <v>786.51700000000005</v>
      </c>
      <c r="AY899">
        <v>856.18</v>
      </c>
      <c r="AZ899">
        <v>19.372199999999999</v>
      </c>
      <c r="BC899" t="s">
        <v>108</v>
      </c>
    </row>
    <row r="900" spans="3:55" x14ac:dyDescent="0.45">
      <c r="C900">
        <v>88.21</v>
      </c>
      <c r="D900">
        <v>5.13</v>
      </c>
      <c r="E900">
        <v>3.03</v>
      </c>
      <c r="F900">
        <v>0.76</v>
      </c>
      <c r="G900">
        <v>0</v>
      </c>
      <c r="H900">
        <v>0</v>
      </c>
      <c r="I900">
        <v>0</v>
      </c>
      <c r="J900">
        <v>2.87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950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900</v>
      </c>
      <c r="AD900">
        <v>1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f t="shared" si="44"/>
        <v>-1.8838999999999997</v>
      </c>
      <c r="AU900">
        <f t="shared" si="42"/>
        <v>5.6083333333333334</v>
      </c>
      <c r="AV900">
        <f t="shared" si="43"/>
        <v>828.02</v>
      </c>
      <c r="AX900">
        <v>864.73</v>
      </c>
      <c r="AY900">
        <v>934.75099999999998</v>
      </c>
      <c r="AZ900">
        <v>17.8843</v>
      </c>
      <c r="BC900" t="s">
        <v>108</v>
      </c>
    </row>
    <row r="901" spans="3:55" x14ac:dyDescent="0.45">
      <c r="C901">
        <v>88.21</v>
      </c>
      <c r="D901">
        <v>5.13</v>
      </c>
      <c r="E901">
        <v>3.03</v>
      </c>
      <c r="F901">
        <v>0.76</v>
      </c>
      <c r="G901">
        <v>0</v>
      </c>
      <c r="H901">
        <v>0</v>
      </c>
      <c r="I901">
        <v>0</v>
      </c>
      <c r="J901">
        <v>2.87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890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900</v>
      </c>
      <c r="AD901">
        <v>1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f t="shared" si="44"/>
        <v>-1.8838999999999997</v>
      </c>
      <c r="AU901">
        <f t="shared" si="42"/>
        <v>5.6083333333333334</v>
      </c>
      <c r="AV901">
        <f t="shared" si="43"/>
        <v>828.02</v>
      </c>
      <c r="AX901">
        <v>746.005</v>
      </c>
      <c r="AY901">
        <v>870.37199999999996</v>
      </c>
      <c r="AZ901">
        <v>17.207699999999999</v>
      </c>
      <c r="BC901" t="s">
        <v>108</v>
      </c>
    </row>
    <row r="902" spans="3:55" x14ac:dyDescent="0.45">
      <c r="C902">
        <v>88.21</v>
      </c>
      <c r="D902">
        <v>5.13</v>
      </c>
      <c r="E902">
        <v>3.03</v>
      </c>
      <c r="F902">
        <v>0.76</v>
      </c>
      <c r="G902">
        <v>0</v>
      </c>
      <c r="H902">
        <v>0</v>
      </c>
      <c r="I902">
        <v>0</v>
      </c>
      <c r="J902">
        <v>2.87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840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900</v>
      </c>
      <c r="AD902">
        <v>1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f t="shared" si="44"/>
        <v>-1.8838999999999997</v>
      </c>
      <c r="AU902">
        <f t="shared" si="42"/>
        <v>5.6083333333333334</v>
      </c>
      <c r="AV902">
        <f t="shared" si="43"/>
        <v>828.02</v>
      </c>
      <c r="AX902">
        <v>935.35400000000004</v>
      </c>
      <c r="AY902">
        <v>969.71199999999999</v>
      </c>
      <c r="AZ902">
        <v>15.3322</v>
      </c>
      <c r="BC902" t="s">
        <v>108</v>
      </c>
    </row>
    <row r="903" spans="3:55" x14ac:dyDescent="0.45">
      <c r="C903">
        <v>88.21</v>
      </c>
      <c r="D903">
        <v>5.13</v>
      </c>
      <c r="E903">
        <v>3.03</v>
      </c>
      <c r="F903">
        <v>0.76</v>
      </c>
      <c r="G903">
        <v>0</v>
      </c>
      <c r="H903">
        <v>0</v>
      </c>
      <c r="I903">
        <v>0</v>
      </c>
      <c r="J903">
        <v>2.87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950</v>
      </c>
      <c r="AD903">
        <v>1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f t="shared" si="44"/>
        <v>-1.8838999999999997</v>
      </c>
      <c r="AU903">
        <f t="shared" si="42"/>
        <v>5.6083333333333334</v>
      </c>
      <c r="AV903">
        <f t="shared" si="43"/>
        <v>828.02</v>
      </c>
      <c r="AX903">
        <v>730.33699999999999</v>
      </c>
      <c r="AY903">
        <v>874.15700000000004</v>
      </c>
      <c r="AZ903">
        <v>15.605399999999999</v>
      </c>
      <c r="BC903" t="s">
        <v>108</v>
      </c>
    </row>
    <row r="904" spans="3:55" x14ac:dyDescent="0.45">
      <c r="C904">
        <v>88.21</v>
      </c>
      <c r="D904">
        <v>5.13</v>
      </c>
      <c r="E904">
        <v>3.03</v>
      </c>
      <c r="F904">
        <v>0.76</v>
      </c>
      <c r="G904">
        <v>0</v>
      </c>
      <c r="H904">
        <v>0</v>
      </c>
      <c r="I904">
        <v>0</v>
      </c>
      <c r="J904">
        <v>2.87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840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950</v>
      </c>
      <c r="AD904">
        <v>1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f t="shared" si="44"/>
        <v>-1.8838999999999997</v>
      </c>
      <c r="AU904">
        <f t="shared" si="42"/>
        <v>5.6083333333333334</v>
      </c>
      <c r="AV904">
        <f t="shared" si="43"/>
        <v>828.02</v>
      </c>
      <c r="AX904">
        <v>833.26900000000001</v>
      </c>
      <c r="AY904">
        <v>912.81700000000001</v>
      </c>
      <c r="AZ904">
        <v>13.1175</v>
      </c>
      <c r="BC904" t="s">
        <v>108</v>
      </c>
    </row>
    <row r="905" spans="3:55" x14ac:dyDescent="0.45">
      <c r="C905">
        <v>87.57</v>
      </c>
      <c r="D905">
        <v>4.97</v>
      </c>
      <c r="E905">
        <v>3.11</v>
      </c>
      <c r="F905">
        <v>1.52</v>
      </c>
      <c r="G905">
        <v>0</v>
      </c>
      <c r="H905">
        <v>0</v>
      </c>
      <c r="I905">
        <v>0</v>
      </c>
      <c r="J905">
        <v>2.83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700</v>
      </c>
      <c r="AD905">
        <v>1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f t="shared" si="44"/>
        <v>-0.45429999999999904</v>
      </c>
      <c r="AU905">
        <f t="shared" si="42"/>
        <v>5.4416666666666664</v>
      </c>
      <c r="AV905">
        <f t="shared" si="43"/>
        <v>817.81999999999994</v>
      </c>
      <c r="AX905">
        <v>865.71100000000001</v>
      </c>
      <c r="AY905">
        <v>901.26700000000005</v>
      </c>
      <c r="AZ905">
        <v>18.482099999999999</v>
      </c>
      <c r="BC905" t="s">
        <v>108</v>
      </c>
    </row>
    <row r="906" spans="3:55" x14ac:dyDescent="0.45">
      <c r="C906">
        <v>87.57</v>
      </c>
      <c r="D906">
        <v>4.97</v>
      </c>
      <c r="E906">
        <v>3.11</v>
      </c>
      <c r="F906">
        <v>1.52</v>
      </c>
      <c r="G906">
        <v>0</v>
      </c>
      <c r="H906">
        <v>0</v>
      </c>
      <c r="I906">
        <v>0</v>
      </c>
      <c r="J906">
        <v>2.83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800</v>
      </c>
      <c r="AD906">
        <v>1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f t="shared" si="44"/>
        <v>-0.45429999999999904</v>
      </c>
      <c r="AU906">
        <f t="shared" si="42"/>
        <v>5.4416666666666664</v>
      </c>
      <c r="AV906">
        <f t="shared" si="43"/>
        <v>817.81999999999994</v>
      </c>
      <c r="AX906">
        <v>843.803</v>
      </c>
      <c r="AY906">
        <v>903.82600000000002</v>
      </c>
      <c r="AZ906">
        <v>19.017900000000001</v>
      </c>
      <c r="BC906" t="s">
        <v>108</v>
      </c>
    </row>
    <row r="907" spans="3:55" x14ac:dyDescent="0.45">
      <c r="C907">
        <v>87.57</v>
      </c>
      <c r="D907">
        <v>4.97</v>
      </c>
      <c r="E907">
        <v>3.11</v>
      </c>
      <c r="F907">
        <v>1.52</v>
      </c>
      <c r="G907">
        <v>0</v>
      </c>
      <c r="H907">
        <v>0</v>
      </c>
      <c r="I907">
        <v>0</v>
      </c>
      <c r="J907">
        <v>2.83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900</v>
      </c>
      <c r="AD907">
        <v>1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f t="shared" si="44"/>
        <v>-0.45429999999999904</v>
      </c>
      <c r="AU907">
        <f t="shared" si="42"/>
        <v>5.4416666666666664</v>
      </c>
      <c r="AV907">
        <f t="shared" si="43"/>
        <v>817.81999999999994</v>
      </c>
      <c r="AX907">
        <v>806.33900000000006</v>
      </c>
      <c r="AY907">
        <v>893.01800000000003</v>
      </c>
      <c r="AZ907">
        <v>18.75</v>
      </c>
      <c r="BC907" t="s">
        <v>108</v>
      </c>
    </row>
    <row r="908" spans="3:55" x14ac:dyDescent="0.45">
      <c r="C908">
        <v>87.57</v>
      </c>
      <c r="D908">
        <v>4.97</v>
      </c>
      <c r="E908">
        <v>3.11</v>
      </c>
      <c r="F908">
        <v>1.52</v>
      </c>
      <c r="G908">
        <v>0</v>
      </c>
      <c r="H908">
        <v>0</v>
      </c>
      <c r="I908">
        <v>0</v>
      </c>
      <c r="J908">
        <v>2.83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950</v>
      </c>
      <c r="AD908">
        <v>1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f t="shared" si="44"/>
        <v>-0.45429999999999904</v>
      </c>
      <c r="AU908">
        <f t="shared" si="42"/>
        <v>5.4416666666666664</v>
      </c>
      <c r="AV908">
        <f t="shared" si="43"/>
        <v>817.81999999999994</v>
      </c>
      <c r="AX908">
        <v>727.65</v>
      </c>
      <c r="AY908">
        <v>883.16399999999999</v>
      </c>
      <c r="AZ908">
        <v>18.214300000000001</v>
      </c>
      <c r="BC908" t="s">
        <v>108</v>
      </c>
    </row>
    <row r="909" spans="3:55" x14ac:dyDescent="0.45">
      <c r="C909">
        <v>84.62</v>
      </c>
      <c r="D909">
        <v>5.21</v>
      </c>
      <c r="E909">
        <v>0</v>
      </c>
      <c r="F909">
        <v>4.05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4.0599999999999996</v>
      </c>
      <c r="M909">
        <v>2.06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908</v>
      </c>
      <c r="X909">
        <v>60</v>
      </c>
      <c r="Y909">
        <v>0</v>
      </c>
      <c r="Z909">
        <v>0</v>
      </c>
      <c r="AA909">
        <v>0</v>
      </c>
      <c r="AB909">
        <v>0</v>
      </c>
      <c r="AC909">
        <v>800</v>
      </c>
      <c r="AD909">
        <v>4</v>
      </c>
      <c r="AE909">
        <v>1</v>
      </c>
      <c r="AF909">
        <v>0</v>
      </c>
      <c r="AG909">
        <v>0</v>
      </c>
      <c r="AH909">
        <v>640</v>
      </c>
      <c r="AI909">
        <v>8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f t="shared" si="44"/>
        <v>5.3299999999999992</v>
      </c>
      <c r="AU909">
        <f t="shared" si="42"/>
        <v>5.8966666666666665</v>
      </c>
      <c r="AV909">
        <f t="shared" si="43"/>
        <v>814.01800000000014</v>
      </c>
      <c r="AX909">
        <v>1184.5</v>
      </c>
      <c r="AY909">
        <v>1220</v>
      </c>
      <c r="AZ909">
        <v>11.75</v>
      </c>
      <c r="BC909" t="s">
        <v>108</v>
      </c>
    </row>
    <row r="910" spans="3:55" x14ac:dyDescent="0.45">
      <c r="C910">
        <v>84.62</v>
      </c>
      <c r="D910">
        <v>5.21</v>
      </c>
      <c r="E910">
        <v>0</v>
      </c>
      <c r="F910">
        <v>4.05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4.0599999999999996</v>
      </c>
      <c r="M910">
        <v>2.06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918</v>
      </c>
      <c r="X910">
        <v>60</v>
      </c>
      <c r="Y910">
        <v>0</v>
      </c>
      <c r="Z910">
        <v>0</v>
      </c>
      <c r="AA910">
        <v>0</v>
      </c>
      <c r="AB910">
        <v>0</v>
      </c>
      <c r="AC910">
        <v>800</v>
      </c>
      <c r="AD910">
        <v>4</v>
      </c>
      <c r="AE910">
        <v>1</v>
      </c>
      <c r="AF910">
        <v>0</v>
      </c>
      <c r="AG910">
        <v>0</v>
      </c>
      <c r="AH910">
        <v>640</v>
      </c>
      <c r="AI910">
        <v>8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f t="shared" si="44"/>
        <v>5.3299999999999992</v>
      </c>
      <c r="AU910">
        <f t="shared" si="42"/>
        <v>5.8966666666666665</v>
      </c>
      <c r="AV910">
        <f t="shared" si="43"/>
        <v>814.01800000000014</v>
      </c>
      <c r="AX910">
        <v>1176</v>
      </c>
      <c r="AY910">
        <v>1208</v>
      </c>
      <c r="AZ910">
        <v>12.25</v>
      </c>
      <c r="BC910" t="s">
        <v>108</v>
      </c>
    </row>
    <row r="911" spans="3:55" x14ac:dyDescent="0.45">
      <c r="C911">
        <v>84.62</v>
      </c>
      <c r="D911">
        <v>5.21</v>
      </c>
      <c r="E911">
        <v>0</v>
      </c>
      <c r="F911">
        <v>4.05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4.0599999999999996</v>
      </c>
      <c r="M911">
        <v>2.06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928</v>
      </c>
      <c r="X911">
        <v>60</v>
      </c>
      <c r="Y911">
        <v>0</v>
      </c>
      <c r="Z911">
        <v>0</v>
      </c>
      <c r="AA911">
        <v>0</v>
      </c>
      <c r="AB911">
        <v>0</v>
      </c>
      <c r="AC911">
        <v>800</v>
      </c>
      <c r="AD911">
        <v>4</v>
      </c>
      <c r="AE911">
        <v>1</v>
      </c>
      <c r="AF911">
        <v>0</v>
      </c>
      <c r="AG911">
        <v>0</v>
      </c>
      <c r="AH911">
        <v>640</v>
      </c>
      <c r="AI911">
        <v>8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f t="shared" si="44"/>
        <v>5.3299999999999992</v>
      </c>
      <c r="AU911">
        <f t="shared" si="42"/>
        <v>5.8966666666666665</v>
      </c>
      <c r="AV911">
        <f t="shared" si="43"/>
        <v>814.01800000000014</v>
      </c>
      <c r="AX911">
        <v>1224.5</v>
      </c>
      <c r="AY911">
        <v>1256.5</v>
      </c>
      <c r="AZ911">
        <v>9.75</v>
      </c>
      <c r="BC911" t="s">
        <v>108</v>
      </c>
    </row>
    <row r="912" spans="3:55" x14ac:dyDescent="0.45">
      <c r="C912">
        <v>84.62</v>
      </c>
      <c r="D912">
        <v>5.21</v>
      </c>
      <c r="E912">
        <v>0</v>
      </c>
      <c r="F912">
        <v>4.05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4.0599999999999996</v>
      </c>
      <c r="M912">
        <v>2.06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918</v>
      </c>
      <c r="X912">
        <v>30</v>
      </c>
      <c r="Y912">
        <v>0</v>
      </c>
      <c r="Z912">
        <v>0</v>
      </c>
      <c r="AA912">
        <v>0</v>
      </c>
      <c r="AB912">
        <v>0</v>
      </c>
      <c r="AC912">
        <v>800</v>
      </c>
      <c r="AD912">
        <v>4</v>
      </c>
      <c r="AE912">
        <v>1</v>
      </c>
      <c r="AF912">
        <v>0</v>
      </c>
      <c r="AG912">
        <v>0</v>
      </c>
      <c r="AH912">
        <v>640</v>
      </c>
      <c r="AI912">
        <v>8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f t="shared" si="44"/>
        <v>5.3299999999999992</v>
      </c>
      <c r="AU912">
        <f t="shared" si="42"/>
        <v>5.8966666666666665</v>
      </c>
      <c r="AV912">
        <f t="shared" si="43"/>
        <v>814.01800000000014</v>
      </c>
      <c r="AX912">
        <v>1178</v>
      </c>
      <c r="AY912">
        <v>1212.5</v>
      </c>
      <c r="AZ912">
        <v>12.75</v>
      </c>
      <c r="BC912" t="s">
        <v>108</v>
      </c>
    </row>
    <row r="913" spans="3:55" x14ac:dyDescent="0.45">
      <c r="C913">
        <v>84.62</v>
      </c>
      <c r="D913">
        <v>5.21</v>
      </c>
      <c r="E913">
        <v>0</v>
      </c>
      <c r="F913">
        <v>4.05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4.0599999999999996</v>
      </c>
      <c r="M913">
        <v>2.06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918</v>
      </c>
      <c r="X913">
        <v>45</v>
      </c>
      <c r="Y913">
        <v>0</v>
      </c>
      <c r="Z913">
        <v>0</v>
      </c>
      <c r="AA913">
        <v>0</v>
      </c>
      <c r="AB913">
        <v>0</v>
      </c>
      <c r="AC913">
        <v>800</v>
      </c>
      <c r="AD913">
        <v>4</v>
      </c>
      <c r="AE913">
        <v>1</v>
      </c>
      <c r="AF913">
        <v>0</v>
      </c>
      <c r="AG913">
        <v>0</v>
      </c>
      <c r="AH913">
        <v>640</v>
      </c>
      <c r="AI913">
        <v>8</v>
      </c>
      <c r="AJ913">
        <v>0</v>
      </c>
      <c r="AK913">
        <v>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f t="shared" si="44"/>
        <v>5.3299999999999992</v>
      </c>
      <c r="AU913">
        <f t="shared" si="42"/>
        <v>5.8966666666666665</v>
      </c>
      <c r="AV913">
        <f t="shared" si="43"/>
        <v>814.01800000000014</v>
      </c>
      <c r="AX913">
        <v>1226.5</v>
      </c>
      <c r="AY913">
        <v>1258</v>
      </c>
      <c r="AZ913">
        <v>12</v>
      </c>
      <c r="BC913" t="s">
        <v>108</v>
      </c>
    </row>
    <row r="914" spans="3:55" x14ac:dyDescent="0.45">
      <c r="C914">
        <v>84.62</v>
      </c>
      <c r="D914">
        <v>5.21</v>
      </c>
      <c r="E914">
        <v>0</v>
      </c>
      <c r="F914">
        <v>4.05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4.0599999999999996</v>
      </c>
      <c r="M914">
        <v>2.06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918</v>
      </c>
      <c r="X914">
        <v>60</v>
      </c>
      <c r="Y914">
        <v>0</v>
      </c>
      <c r="Z914">
        <v>0</v>
      </c>
      <c r="AA914">
        <v>0</v>
      </c>
      <c r="AB914">
        <v>0</v>
      </c>
      <c r="AC914">
        <v>800</v>
      </c>
      <c r="AD914">
        <v>4</v>
      </c>
      <c r="AE914">
        <v>1</v>
      </c>
      <c r="AF914">
        <v>0</v>
      </c>
      <c r="AG914">
        <v>0</v>
      </c>
      <c r="AH914">
        <v>620</v>
      </c>
      <c r="AI914">
        <v>8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f t="shared" si="44"/>
        <v>5.3299999999999992</v>
      </c>
      <c r="AU914">
        <f t="shared" si="42"/>
        <v>5.8966666666666665</v>
      </c>
      <c r="AV914">
        <f t="shared" si="43"/>
        <v>814.01800000000014</v>
      </c>
      <c r="AX914">
        <v>1259.5</v>
      </c>
      <c r="AY914">
        <v>1296.5</v>
      </c>
      <c r="AZ914">
        <v>10.5</v>
      </c>
      <c r="BC914" t="s">
        <v>108</v>
      </c>
    </row>
    <row r="915" spans="3:55" x14ac:dyDescent="0.45">
      <c r="C915">
        <v>84.62</v>
      </c>
      <c r="D915">
        <v>5.21</v>
      </c>
      <c r="E915">
        <v>0</v>
      </c>
      <c r="F915">
        <v>4.05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4.0599999999999996</v>
      </c>
      <c r="M915">
        <v>2.06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918</v>
      </c>
      <c r="X915">
        <v>60</v>
      </c>
      <c r="Y915">
        <v>0</v>
      </c>
      <c r="Z915">
        <v>0</v>
      </c>
      <c r="AA915">
        <v>0</v>
      </c>
      <c r="AB915">
        <v>0</v>
      </c>
      <c r="AC915">
        <v>800</v>
      </c>
      <c r="AD915">
        <v>4</v>
      </c>
      <c r="AE915">
        <v>1</v>
      </c>
      <c r="AF915">
        <v>0</v>
      </c>
      <c r="AG915">
        <v>0</v>
      </c>
      <c r="AH915">
        <v>680</v>
      </c>
      <c r="AI915">
        <v>8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f t="shared" si="44"/>
        <v>5.3299999999999992</v>
      </c>
      <c r="AU915">
        <f t="shared" si="42"/>
        <v>5.8966666666666665</v>
      </c>
      <c r="AV915">
        <f t="shared" si="43"/>
        <v>814.01800000000014</v>
      </c>
      <c r="AX915">
        <v>1151.5</v>
      </c>
      <c r="AY915">
        <v>1176</v>
      </c>
      <c r="AZ915">
        <v>15</v>
      </c>
      <c r="BC915" t="s">
        <v>108</v>
      </c>
    </row>
    <row r="916" spans="3:55" x14ac:dyDescent="0.45">
      <c r="C916">
        <v>91.5</v>
      </c>
      <c r="D916">
        <v>4</v>
      </c>
      <c r="E916">
        <v>2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1.5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750</v>
      </c>
      <c r="AD916">
        <v>3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f t="shared" si="44"/>
        <v>1.7400000000000002</v>
      </c>
      <c r="AU916">
        <f t="shared" si="42"/>
        <v>4</v>
      </c>
      <c r="AV916">
        <f t="shared" si="43"/>
        <v>837.15</v>
      </c>
      <c r="AX916">
        <v>864</v>
      </c>
      <c r="AY916">
        <v>927</v>
      </c>
      <c r="AZ916">
        <v>20</v>
      </c>
      <c r="BC916" t="s">
        <v>108</v>
      </c>
    </row>
    <row r="917" spans="3:55" x14ac:dyDescent="0.45">
      <c r="C917">
        <v>91.5</v>
      </c>
      <c r="D917">
        <v>4</v>
      </c>
      <c r="E917">
        <v>2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1.5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800</v>
      </c>
      <c r="AD917">
        <v>3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f t="shared" si="44"/>
        <v>1.7400000000000002</v>
      </c>
      <c r="AU917">
        <f t="shared" si="42"/>
        <v>4</v>
      </c>
      <c r="AV917">
        <f t="shared" si="43"/>
        <v>837.15</v>
      </c>
      <c r="AX917">
        <v>896</v>
      </c>
      <c r="AY917">
        <v>971</v>
      </c>
      <c r="AZ917">
        <v>19</v>
      </c>
      <c r="BC917" t="s">
        <v>108</v>
      </c>
    </row>
    <row r="918" spans="3:55" x14ac:dyDescent="0.45">
      <c r="C918">
        <v>91.5</v>
      </c>
      <c r="D918">
        <v>4</v>
      </c>
      <c r="E918">
        <v>2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1.5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850</v>
      </c>
      <c r="AD918">
        <v>3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f t="shared" si="44"/>
        <v>1.7400000000000002</v>
      </c>
      <c r="AU918">
        <f t="shared" si="42"/>
        <v>4</v>
      </c>
      <c r="AV918">
        <f t="shared" si="43"/>
        <v>837.15</v>
      </c>
      <c r="AX918">
        <v>902</v>
      </c>
      <c r="AY918">
        <v>991</v>
      </c>
      <c r="AZ918">
        <v>19.399999999999999</v>
      </c>
      <c r="BC918" t="s">
        <v>108</v>
      </c>
    </row>
    <row r="919" spans="3:55" x14ac:dyDescent="0.45">
      <c r="C919">
        <v>91.5</v>
      </c>
      <c r="D919">
        <v>4</v>
      </c>
      <c r="E919">
        <v>2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1.5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870</v>
      </c>
      <c r="AD919">
        <v>3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f t="shared" si="44"/>
        <v>1.7400000000000002</v>
      </c>
      <c r="AU919">
        <f t="shared" si="42"/>
        <v>4</v>
      </c>
      <c r="AV919">
        <f t="shared" si="43"/>
        <v>837.15</v>
      </c>
      <c r="AX919">
        <v>896</v>
      </c>
      <c r="AY919">
        <v>977</v>
      </c>
      <c r="AZ919">
        <v>21</v>
      </c>
      <c r="BC919" t="s">
        <v>108</v>
      </c>
    </row>
    <row r="920" spans="3:55" x14ac:dyDescent="0.45">
      <c r="C920">
        <v>91.5</v>
      </c>
      <c r="D920">
        <v>4</v>
      </c>
      <c r="E920">
        <v>2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1.5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900</v>
      </c>
      <c r="AD920">
        <v>3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f t="shared" si="44"/>
        <v>1.7400000000000002</v>
      </c>
      <c r="AU920">
        <f t="shared" si="42"/>
        <v>4</v>
      </c>
      <c r="AV920">
        <f t="shared" si="43"/>
        <v>837.15</v>
      </c>
      <c r="AX920">
        <v>897</v>
      </c>
      <c r="AY920">
        <v>998</v>
      </c>
      <c r="AZ920">
        <v>11.1</v>
      </c>
      <c r="BC920" t="s">
        <v>108</v>
      </c>
    </row>
    <row r="921" spans="3:55" x14ac:dyDescent="0.45">
      <c r="C921">
        <v>91.5</v>
      </c>
      <c r="D921">
        <v>4</v>
      </c>
      <c r="E921">
        <v>2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1.5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850</v>
      </c>
      <c r="AD921">
        <v>3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f t="shared" si="44"/>
        <v>1.7400000000000002</v>
      </c>
      <c r="AU921">
        <f t="shared" si="42"/>
        <v>4</v>
      </c>
      <c r="AV921">
        <f t="shared" si="43"/>
        <v>837.15</v>
      </c>
      <c r="AX921">
        <v>855</v>
      </c>
      <c r="AY921">
        <v>909</v>
      </c>
      <c r="AZ921">
        <v>23</v>
      </c>
      <c r="BC921" t="s">
        <v>108</v>
      </c>
    </row>
    <row r="922" spans="3:55" x14ac:dyDescent="0.45">
      <c r="C922">
        <v>91.5</v>
      </c>
      <c r="D922">
        <v>4</v>
      </c>
      <c r="E922">
        <v>2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1.5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870</v>
      </c>
      <c r="AD922">
        <v>3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f t="shared" si="44"/>
        <v>1.7400000000000002</v>
      </c>
      <c r="AU922">
        <f t="shared" si="42"/>
        <v>4</v>
      </c>
      <c r="AV922">
        <f t="shared" si="43"/>
        <v>837.15</v>
      </c>
      <c r="AX922">
        <v>849</v>
      </c>
      <c r="AY922">
        <v>911</v>
      </c>
      <c r="AZ922">
        <v>23</v>
      </c>
      <c r="BC922" t="s">
        <v>108</v>
      </c>
    </row>
    <row r="923" spans="3:55" x14ac:dyDescent="0.45">
      <c r="C923">
        <v>91.5</v>
      </c>
      <c r="D923">
        <v>4</v>
      </c>
      <c r="E923">
        <v>2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1.5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980</v>
      </c>
      <c r="AD923">
        <v>3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f t="shared" si="44"/>
        <v>1.7400000000000002</v>
      </c>
      <c r="AU923">
        <f t="shared" si="42"/>
        <v>4</v>
      </c>
      <c r="AV923">
        <f t="shared" si="43"/>
        <v>837.15</v>
      </c>
      <c r="AX923">
        <v>819</v>
      </c>
      <c r="AY923">
        <v>906</v>
      </c>
      <c r="AZ923">
        <v>10.5</v>
      </c>
      <c r="BC923" t="s">
        <v>108</v>
      </c>
    </row>
    <row r="924" spans="3:55" x14ac:dyDescent="0.45">
      <c r="C924">
        <v>92.5</v>
      </c>
      <c r="D924">
        <v>4</v>
      </c>
      <c r="E924">
        <v>2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0.5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750</v>
      </c>
      <c r="AD924">
        <v>3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f t="shared" si="44"/>
        <v>0.74000000000000021</v>
      </c>
      <c r="AU924">
        <f t="shared" si="42"/>
        <v>4</v>
      </c>
      <c r="AV924">
        <f t="shared" si="43"/>
        <v>846.65</v>
      </c>
      <c r="AX924">
        <v>863.15599999999995</v>
      </c>
      <c r="AZ924">
        <v>18.286000000000001</v>
      </c>
      <c r="BC924" t="s">
        <v>108</v>
      </c>
    </row>
    <row r="925" spans="3:55" x14ac:dyDescent="0.45">
      <c r="C925">
        <v>92.5</v>
      </c>
      <c r="D925">
        <v>4</v>
      </c>
      <c r="E925">
        <v>2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0.5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800</v>
      </c>
      <c r="AD925">
        <v>3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f t="shared" si="44"/>
        <v>0.74000000000000021</v>
      </c>
      <c r="AU925">
        <f t="shared" si="42"/>
        <v>4</v>
      </c>
      <c r="AV925">
        <f t="shared" si="43"/>
        <v>846.65</v>
      </c>
      <c r="AX925">
        <v>858.43299999999999</v>
      </c>
      <c r="BC925" t="s">
        <v>108</v>
      </c>
    </row>
    <row r="926" spans="3:55" x14ac:dyDescent="0.45">
      <c r="C926">
        <v>92.5</v>
      </c>
      <c r="D926">
        <v>4</v>
      </c>
      <c r="E926">
        <v>2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0.5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850</v>
      </c>
      <c r="AD926">
        <v>3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f t="shared" si="44"/>
        <v>0.74000000000000021</v>
      </c>
      <c r="AU926">
        <f t="shared" si="42"/>
        <v>4</v>
      </c>
      <c r="AV926">
        <f t="shared" si="43"/>
        <v>846.65</v>
      </c>
      <c r="AX926">
        <v>845.18600000000004</v>
      </c>
      <c r="BC926" t="s">
        <v>108</v>
      </c>
    </row>
    <row r="927" spans="3:55" x14ac:dyDescent="0.45">
      <c r="C927">
        <v>92</v>
      </c>
      <c r="D927">
        <v>4</v>
      </c>
      <c r="E927">
        <v>2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750</v>
      </c>
      <c r="AD927">
        <v>3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f t="shared" si="44"/>
        <v>1.2400000000000002</v>
      </c>
      <c r="AU927">
        <f t="shared" si="42"/>
        <v>4</v>
      </c>
      <c r="AV927">
        <f t="shared" si="43"/>
        <v>841.9</v>
      </c>
      <c r="AX927">
        <v>863.524</v>
      </c>
      <c r="AZ927">
        <v>20.226099999999999</v>
      </c>
      <c r="BC927" t="s">
        <v>108</v>
      </c>
    </row>
    <row r="928" spans="3:55" x14ac:dyDescent="0.45">
      <c r="C928">
        <v>92</v>
      </c>
      <c r="D928">
        <v>4</v>
      </c>
      <c r="E928">
        <v>2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800</v>
      </c>
      <c r="AD928">
        <v>3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f t="shared" si="44"/>
        <v>1.2400000000000002</v>
      </c>
      <c r="AU928">
        <f t="shared" si="42"/>
        <v>4</v>
      </c>
      <c r="AV928">
        <f t="shared" si="43"/>
        <v>841.9</v>
      </c>
      <c r="AX928">
        <v>872.68399999999997</v>
      </c>
      <c r="BC928" t="s">
        <v>108</v>
      </c>
    </row>
    <row r="929" spans="3:55" x14ac:dyDescent="0.45">
      <c r="C929">
        <v>92</v>
      </c>
      <c r="D929">
        <v>4</v>
      </c>
      <c r="E929">
        <v>2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850</v>
      </c>
      <c r="AD929">
        <v>3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f t="shared" si="44"/>
        <v>1.2400000000000002</v>
      </c>
      <c r="AU929">
        <f t="shared" si="42"/>
        <v>4</v>
      </c>
      <c r="AV929">
        <f t="shared" si="43"/>
        <v>841.9</v>
      </c>
      <c r="AX929">
        <v>862.91300000000001</v>
      </c>
      <c r="BC929" t="s">
        <v>108</v>
      </c>
    </row>
    <row r="930" spans="3:55" x14ac:dyDescent="0.45">
      <c r="C930">
        <v>84.5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10</v>
      </c>
      <c r="L930">
        <v>2</v>
      </c>
      <c r="M930">
        <v>1</v>
      </c>
      <c r="N930">
        <v>0</v>
      </c>
      <c r="O930">
        <v>2.5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f t="shared" si="44"/>
        <v>5.3500000000000005</v>
      </c>
      <c r="AU930">
        <f t="shared" si="42"/>
        <v>0.33333333333333331</v>
      </c>
      <c r="AV930">
        <f t="shared" si="43"/>
        <v>867.2</v>
      </c>
      <c r="AW930">
        <v>76</v>
      </c>
    </row>
    <row r="931" spans="3:55" x14ac:dyDescent="0.45">
      <c r="C931">
        <v>82.5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10.5</v>
      </c>
      <c r="L931">
        <v>3</v>
      </c>
      <c r="M931">
        <v>1</v>
      </c>
      <c r="N931">
        <v>0</v>
      </c>
      <c r="O931">
        <v>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f t="shared" si="44"/>
        <v>6.6000000000000005</v>
      </c>
      <c r="AU931">
        <f t="shared" si="42"/>
        <v>0.33333333333333331</v>
      </c>
      <c r="AV931">
        <f t="shared" si="43"/>
        <v>857.7</v>
      </c>
      <c r="AW931">
        <v>73</v>
      </c>
    </row>
    <row r="932" spans="3:55" x14ac:dyDescent="0.45">
      <c r="C932">
        <v>77.8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2.8</v>
      </c>
      <c r="K932">
        <v>13.8</v>
      </c>
      <c r="L932">
        <v>0</v>
      </c>
      <c r="M932">
        <v>2.8</v>
      </c>
      <c r="N932">
        <v>0</v>
      </c>
      <c r="O932">
        <v>2.8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f t="shared" si="44"/>
        <v>4.4800000000000004</v>
      </c>
      <c r="AU932">
        <f t="shared" si="42"/>
        <v>1.4</v>
      </c>
      <c r="AV932">
        <f t="shared" si="43"/>
        <v>874.43999999999994</v>
      </c>
      <c r="AW932">
        <v>47</v>
      </c>
    </row>
    <row r="933" spans="3:55" x14ac:dyDescent="0.45">
      <c r="C933">
        <v>80.099999999999994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1.3</v>
      </c>
      <c r="K933">
        <v>14.4</v>
      </c>
      <c r="L933">
        <v>0</v>
      </c>
      <c r="M933">
        <v>3.9</v>
      </c>
      <c r="N933">
        <v>0</v>
      </c>
      <c r="O933">
        <v>0.3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f t="shared" si="44"/>
        <v>4.0980000000000008</v>
      </c>
      <c r="AU933">
        <f t="shared" si="42"/>
        <v>1.5166666666666666</v>
      </c>
      <c r="AV933">
        <f t="shared" si="43"/>
        <v>889.41</v>
      </c>
      <c r="AW933">
        <v>48.1</v>
      </c>
    </row>
    <row r="934" spans="3:55" x14ac:dyDescent="0.45">
      <c r="C934">
        <v>77.8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2.8</v>
      </c>
      <c r="K934">
        <v>13.9</v>
      </c>
      <c r="L934">
        <v>0</v>
      </c>
      <c r="M934">
        <v>2.8</v>
      </c>
      <c r="N934">
        <v>0</v>
      </c>
      <c r="O934">
        <v>2.8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f t="shared" si="44"/>
        <v>4.508</v>
      </c>
      <c r="AU934">
        <f t="shared" si="42"/>
        <v>1.4</v>
      </c>
      <c r="AV934">
        <f t="shared" si="43"/>
        <v>874.43999999999994</v>
      </c>
      <c r="AW934">
        <v>47</v>
      </c>
    </row>
    <row r="935" spans="3:55" x14ac:dyDescent="0.45">
      <c r="C935">
        <v>86.51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3.6</v>
      </c>
      <c r="K935">
        <v>0</v>
      </c>
      <c r="L935">
        <v>0</v>
      </c>
      <c r="M935">
        <v>2.8</v>
      </c>
      <c r="N935">
        <v>0</v>
      </c>
      <c r="O935">
        <v>0.72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950</v>
      </c>
      <c r="AD935">
        <v>1</v>
      </c>
      <c r="AE935">
        <v>1</v>
      </c>
      <c r="AF935">
        <v>0</v>
      </c>
      <c r="AG935">
        <v>0</v>
      </c>
      <c r="AH935">
        <v>650</v>
      </c>
      <c r="AI935">
        <v>6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f t="shared" si="44"/>
        <v>-5.8415999999999997</v>
      </c>
      <c r="AU935">
        <f t="shared" si="42"/>
        <v>7.5333333333333332</v>
      </c>
      <c r="AV935">
        <f t="shared" si="43"/>
        <v>881.52</v>
      </c>
      <c r="AX935">
        <v>899</v>
      </c>
      <c r="AY935">
        <v>990</v>
      </c>
      <c r="AZ935">
        <v>3.9</v>
      </c>
      <c r="BC935" t="s">
        <v>108</v>
      </c>
    </row>
    <row r="936" spans="3:55" x14ac:dyDescent="0.45">
      <c r="C936">
        <v>86.86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3.6</v>
      </c>
      <c r="K936">
        <v>0.37</v>
      </c>
      <c r="L936">
        <v>0</v>
      </c>
      <c r="M936">
        <v>2.8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950</v>
      </c>
      <c r="AD936">
        <v>1</v>
      </c>
      <c r="AE936">
        <v>1</v>
      </c>
      <c r="AF936">
        <v>0</v>
      </c>
      <c r="AG936">
        <v>0</v>
      </c>
      <c r="AH936">
        <v>650</v>
      </c>
      <c r="AI936">
        <v>6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f t="shared" si="44"/>
        <v>-5.8963999999999999</v>
      </c>
      <c r="AU936">
        <f t="shared" si="42"/>
        <v>7.5333333333333332</v>
      </c>
      <c r="AV936">
        <f t="shared" si="43"/>
        <v>881.52</v>
      </c>
      <c r="AX936">
        <v>898</v>
      </c>
      <c r="AY936">
        <v>990</v>
      </c>
      <c r="AZ936">
        <v>4.0999999999999996</v>
      </c>
      <c r="BC936" t="s">
        <v>108</v>
      </c>
    </row>
    <row r="937" spans="3:55" x14ac:dyDescent="0.45">
      <c r="C937">
        <v>67.33</v>
      </c>
      <c r="D937">
        <v>0</v>
      </c>
      <c r="E937">
        <v>0</v>
      </c>
      <c r="F937">
        <v>0</v>
      </c>
      <c r="G937">
        <v>0</v>
      </c>
      <c r="H937">
        <v>2.2599999999999998</v>
      </c>
      <c r="I937">
        <v>0</v>
      </c>
      <c r="J937">
        <v>4.8500000000000005</v>
      </c>
      <c r="K937">
        <v>23.810000000000002</v>
      </c>
      <c r="L937">
        <v>0</v>
      </c>
      <c r="M937">
        <v>0</v>
      </c>
      <c r="N937">
        <v>0</v>
      </c>
      <c r="O937">
        <v>1.7500000000000002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f t="shared" si="44"/>
        <v>13.6058</v>
      </c>
      <c r="AU937">
        <f t="shared" si="42"/>
        <v>0.80833333333333346</v>
      </c>
      <c r="AV937">
        <f t="shared" si="43"/>
        <v>813.73099999999999</v>
      </c>
      <c r="AW937">
        <v>81</v>
      </c>
      <c r="AX937">
        <v>588</v>
      </c>
      <c r="BC937" t="s">
        <v>60</v>
      </c>
    </row>
    <row r="938" spans="3:55" x14ac:dyDescent="0.45">
      <c r="C938">
        <v>19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21</v>
      </c>
      <c r="K938">
        <v>19</v>
      </c>
      <c r="L938">
        <v>20</v>
      </c>
      <c r="M938">
        <v>0</v>
      </c>
      <c r="N938">
        <v>0</v>
      </c>
      <c r="O938">
        <v>21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f t="shared" si="44"/>
        <v>29.94</v>
      </c>
      <c r="AU938">
        <f t="shared" si="42"/>
        <v>3.5</v>
      </c>
      <c r="AV938">
        <f t="shared" si="43"/>
        <v>547.1</v>
      </c>
      <c r="AW938">
        <v>153</v>
      </c>
      <c r="AX938">
        <v>1390</v>
      </c>
      <c r="BC938" t="s">
        <v>60</v>
      </c>
    </row>
    <row r="939" spans="3:55" x14ac:dyDescent="0.45">
      <c r="C939">
        <v>70</v>
      </c>
      <c r="D939">
        <v>0</v>
      </c>
      <c r="E939">
        <v>3</v>
      </c>
      <c r="F939">
        <v>0</v>
      </c>
      <c r="G939">
        <v>0</v>
      </c>
      <c r="H939">
        <v>0</v>
      </c>
      <c r="I939">
        <v>0</v>
      </c>
      <c r="J939">
        <v>6</v>
      </c>
      <c r="K939">
        <v>9</v>
      </c>
      <c r="L939">
        <v>0</v>
      </c>
      <c r="M939">
        <v>0</v>
      </c>
      <c r="N939">
        <v>0</v>
      </c>
      <c r="O939">
        <v>12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f t="shared" si="44"/>
        <v>7.1700000000000017</v>
      </c>
      <c r="AU939">
        <f t="shared" si="42"/>
        <v>1</v>
      </c>
      <c r="AV939">
        <f t="shared" si="43"/>
        <v>805.2</v>
      </c>
      <c r="AW939">
        <v>71.2</v>
      </c>
      <c r="AX939">
        <v>849</v>
      </c>
      <c r="BC939" t="s">
        <v>60</v>
      </c>
    </row>
    <row r="940" spans="3:55" x14ac:dyDescent="0.45">
      <c r="C940">
        <v>80.62</v>
      </c>
      <c r="D940">
        <v>10.14</v>
      </c>
      <c r="E940">
        <v>4.45</v>
      </c>
      <c r="F940">
        <v>2.2399999999999998</v>
      </c>
      <c r="G940">
        <v>0</v>
      </c>
      <c r="H940">
        <v>0.08</v>
      </c>
      <c r="I940">
        <v>0</v>
      </c>
      <c r="J940">
        <v>0</v>
      </c>
      <c r="K940">
        <v>0</v>
      </c>
      <c r="L940">
        <v>2.4699999999999998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f t="shared" si="44"/>
        <v>-0.8725000000000005</v>
      </c>
      <c r="AU940">
        <f t="shared" si="42"/>
        <v>10.14</v>
      </c>
      <c r="AV940">
        <f t="shared" si="43"/>
        <v>798.98299999999995</v>
      </c>
      <c r="AW940">
        <v>115</v>
      </c>
      <c r="AX940">
        <v>636</v>
      </c>
      <c r="BB940" t="s">
        <v>353</v>
      </c>
      <c r="BC940" t="s">
        <v>60</v>
      </c>
    </row>
    <row r="941" spans="3:55" x14ac:dyDescent="0.45">
      <c r="C941">
        <v>80.5</v>
      </c>
      <c r="D941">
        <v>5</v>
      </c>
      <c r="E941">
        <v>0</v>
      </c>
      <c r="F941">
        <v>5.5</v>
      </c>
      <c r="G941">
        <v>0</v>
      </c>
      <c r="H941">
        <v>0</v>
      </c>
      <c r="I941">
        <v>0</v>
      </c>
      <c r="J941">
        <v>2</v>
      </c>
      <c r="K941">
        <v>3</v>
      </c>
      <c r="L941">
        <v>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600</v>
      </c>
      <c r="AI941">
        <v>6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f t="shared" si="44"/>
        <v>8.64</v>
      </c>
      <c r="AU941">
        <f t="shared" si="42"/>
        <v>5.333333333333333</v>
      </c>
      <c r="AV941">
        <f t="shared" si="43"/>
        <v>774.15000000000009</v>
      </c>
      <c r="AY941">
        <v>1224.3</v>
      </c>
      <c r="AZ941">
        <v>5.2</v>
      </c>
      <c r="BB941" t="s">
        <v>353</v>
      </c>
      <c r="BC941" t="s">
        <v>195</v>
      </c>
    </row>
    <row r="942" spans="3:55" x14ac:dyDescent="0.45">
      <c r="C942">
        <v>80.5</v>
      </c>
      <c r="D942">
        <v>5</v>
      </c>
      <c r="E942">
        <v>0</v>
      </c>
      <c r="F942">
        <v>5.5</v>
      </c>
      <c r="G942">
        <v>0</v>
      </c>
      <c r="H942">
        <v>0</v>
      </c>
      <c r="I942">
        <v>0</v>
      </c>
      <c r="J942">
        <v>2</v>
      </c>
      <c r="K942">
        <v>3</v>
      </c>
      <c r="L942">
        <v>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800</v>
      </c>
      <c r="AD942">
        <v>0.5</v>
      </c>
      <c r="AE942">
        <v>0</v>
      </c>
      <c r="AF942">
        <v>0</v>
      </c>
      <c r="AG942">
        <v>1</v>
      </c>
      <c r="AH942">
        <v>600</v>
      </c>
      <c r="AI942">
        <v>6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f t="shared" si="44"/>
        <v>8.64</v>
      </c>
      <c r="AU942">
        <f t="shared" si="42"/>
        <v>5.333333333333333</v>
      </c>
      <c r="AV942">
        <f t="shared" si="43"/>
        <v>774.15000000000009</v>
      </c>
      <c r="AY942">
        <v>1125.4000000000001</v>
      </c>
      <c r="AZ942">
        <v>18.3</v>
      </c>
      <c r="BB942" t="s">
        <v>353</v>
      </c>
      <c r="BC942" t="s">
        <v>195</v>
      </c>
    </row>
    <row r="943" spans="3:55" x14ac:dyDescent="0.45">
      <c r="C943">
        <v>80.5</v>
      </c>
      <c r="D943">
        <v>5</v>
      </c>
      <c r="E943">
        <v>0</v>
      </c>
      <c r="F943">
        <v>5.5</v>
      </c>
      <c r="G943">
        <v>0</v>
      </c>
      <c r="H943">
        <v>0</v>
      </c>
      <c r="I943">
        <v>0</v>
      </c>
      <c r="J943">
        <v>2</v>
      </c>
      <c r="K943">
        <v>3</v>
      </c>
      <c r="L943">
        <v>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800</v>
      </c>
      <c r="AD943">
        <v>0.5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f t="shared" si="44"/>
        <v>8.64</v>
      </c>
      <c r="AU943">
        <f t="shared" si="42"/>
        <v>5.333333333333333</v>
      </c>
      <c r="AV943">
        <f t="shared" si="43"/>
        <v>774.15000000000009</v>
      </c>
      <c r="AY943">
        <v>886.9</v>
      </c>
      <c r="AZ943">
        <v>19.2</v>
      </c>
      <c r="BB943" t="s">
        <v>353</v>
      </c>
      <c r="BC943" t="s">
        <v>195</v>
      </c>
    </row>
    <row r="944" spans="3:55" x14ac:dyDescent="0.45">
      <c r="C944">
        <v>80.41</v>
      </c>
      <c r="D944">
        <v>3</v>
      </c>
      <c r="E944">
        <v>7.46</v>
      </c>
      <c r="F944">
        <v>3.13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20</v>
      </c>
      <c r="X944">
        <v>80</v>
      </c>
      <c r="Y944">
        <v>0</v>
      </c>
      <c r="Z944">
        <v>1</v>
      </c>
      <c r="AA944">
        <v>0</v>
      </c>
      <c r="AB944">
        <v>0</v>
      </c>
      <c r="AC944">
        <v>765</v>
      </c>
      <c r="AD944">
        <v>0.33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f t="shared" si="44"/>
        <v>12.0062</v>
      </c>
      <c r="AU944">
        <f t="shared" si="42"/>
        <v>3.1666666666666665</v>
      </c>
      <c r="AV944">
        <f t="shared" si="43"/>
        <v>707.99899999999991</v>
      </c>
      <c r="AY944">
        <v>807</v>
      </c>
      <c r="AZ944">
        <v>18.399999999999999</v>
      </c>
      <c r="BB944" t="s">
        <v>353</v>
      </c>
      <c r="BC944" t="s">
        <v>197</v>
      </c>
    </row>
    <row r="945" spans="3:55" x14ac:dyDescent="0.45">
      <c r="C945">
        <v>80.41</v>
      </c>
      <c r="D945">
        <v>3</v>
      </c>
      <c r="E945">
        <v>7.46</v>
      </c>
      <c r="F945">
        <v>3.13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20</v>
      </c>
      <c r="X945">
        <v>80</v>
      </c>
      <c r="Y945">
        <v>0</v>
      </c>
      <c r="Z945">
        <v>1</v>
      </c>
      <c r="AA945">
        <v>0</v>
      </c>
      <c r="AB945">
        <v>0</v>
      </c>
      <c r="AC945">
        <v>765</v>
      </c>
      <c r="AD945">
        <v>0.33</v>
      </c>
      <c r="AE945">
        <v>0</v>
      </c>
      <c r="AF945">
        <v>1</v>
      </c>
      <c r="AG945">
        <v>0</v>
      </c>
      <c r="AH945">
        <v>500</v>
      </c>
      <c r="AI945">
        <v>6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f t="shared" si="44"/>
        <v>12.0062</v>
      </c>
      <c r="AU945">
        <f t="shared" si="42"/>
        <v>3.1666666666666665</v>
      </c>
      <c r="AV945">
        <f t="shared" si="43"/>
        <v>707.99899999999991</v>
      </c>
      <c r="AY945">
        <v>1390.3</v>
      </c>
      <c r="AZ945">
        <v>6.1</v>
      </c>
      <c r="BB945" t="s">
        <v>353</v>
      </c>
      <c r="BC945" t="s">
        <v>197</v>
      </c>
    </row>
    <row r="946" spans="3:55" x14ac:dyDescent="0.45">
      <c r="C946">
        <v>80.41</v>
      </c>
      <c r="D946">
        <v>3</v>
      </c>
      <c r="E946">
        <v>7.46</v>
      </c>
      <c r="F946">
        <v>3.13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20</v>
      </c>
      <c r="X946">
        <v>80</v>
      </c>
      <c r="Y946">
        <v>0</v>
      </c>
      <c r="Z946">
        <v>1</v>
      </c>
      <c r="AA946">
        <v>0</v>
      </c>
      <c r="AB946">
        <v>0</v>
      </c>
      <c r="AC946">
        <v>765</v>
      </c>
      <c r="AD946">
        <v>0.33</v>
      </c>
      <c r="AE946">
        <v>0</v>
      </c>
      <c r="AF946">
        <v>1</v>
      </c>
      <c r="AG946">
        <v>0</v>
      </c>
      <c r="AH946">
        <v>500</v>
      </c>
      <c r="AI946">
        <v>8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f t="shared" si="44"/>
        <v>12.0062</v>
      </c>
      <c r="AU946">
        <f t="shared" si="42"/>
        <v>3.1666666666666665</v>
      </c>
      <c r="AV946">
        <f t="shared" si="43"/>
        <v>707.99899999999991</v>
      </c>
      <c r="AY946">
        <v>1420.1</v>
      </c>
      <c r="AZ946">
        <v>6.3</v>
      </c>
      <c r="BB946" t="s">
        <v>353</v>
      </c>
      <c r="BC946" t="s">
        <v>197</v>
      </c>
    </row>
    <row r="947" spans="3:55" x14ac:dyDescent="0.45">
      <c r="C947">
        <v>80.41</v>
      </c>
      <c r="D947">
        <v>3</v>
      </c>
      <c r="E947">
        <v>7.46</v>
      </c>
      <c r="F947">
        <v>3.13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20</v>
      </c>
      <c r="X947">
        <v>80</v>
      </c>
      <c r="Y947">
        <v>0</v>
      </c>
      <c r="Z947">
        <v>1</v>
      </c>
      <c r="AA947">
        <v>0</v>
      </c>
      <c r="AB947">
        <v>0</v>
      </c>
      <c r="AC947">
        <v>765</v>
      </c>
      <c r="AD947">
        <v>0.33</v>
      </c>
      <c r="AE947">
        <v>0</v>
      </c>
      <c r="AF947">
        <v>1</v>
      </c>
      <c r="AG947">
        <v>0</v>
      </c>
      <c r="AH947">
        <v>500</v>
      </c>
      <c r="AI947">
        <v>10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f t="shared" si="44"/>
        <v>12.0062</v>
      </c>
      <c r="AU947">
        <f t="shared" si="42"/>
        <v>3.1666666666666665</v>
      </c>
      <c r="AV947">
        <f t="shared" si="43"/>
        <v>707.99899999999991</v>
      </c>
      <c r="AY947">
        <v>1369.8</v>
      </c>
      <c r="AZ947">
        <v>5.7</v>
      </c>
      <c r="BB947" t="s">
        <v>353</v>
      </c>
      <c r="BC947" t="s">
        <v>197</v>
      </c>
    </row>
    <row r="948" spans="3:55" x14ac:dyDescent="0.45">
      <c r="C948">
        <v>80.41</v>
      </c>
      <c r="D948">
        <v>3</v>
      </c>
      <c r="E948">
        <v>7.46</v>
      </c>
      <c r="F948">
        <v>3.13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20</v>
      </c>
      <c r="X948">
        <v>80</v>
      </c>
      <c r="Y948">
        <v>0</v>
      </c>
      <c r="Z948">
        <v>1</v>
      </c>
      <c r="AA948">
        <v>0</v>
      </c>
      <c r="AB948">
        <v>0</v>
      </c>
      <c r="AC948">
        <v>765</v>
      </c>
      <c r="AD948">
        <v>0.33</v>
      </c>
      <c r="AE948">
        <v>0</v>
      </c>
      <c r="AF948">
        <v>1</v>
      </c>
      <c r="AG948">
        <v>0</v>
      </c>
      <c r="AH948">
        <v>500</v>
      </c>
      <c r="AI948">
        <v>12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f t="shared" si="44"/>
        <v>12.0062</v>
      </c>
      <c r="AU948">
        <f t="shared" si="42"/>
        <v>3.1666666666666665</v>
      </c>
      <c r="AV948">
        <f t="shared" si="43"/>
        <v>707.99899999999991</v>
      </c>
      <c r="AY948">
        <v>1344.6</v>
      </c>
      <c r="AZ948">
        <v>5</v>
      </c>
      <c r="BB948" t="s">
        <v>353</v>
      </c>
      <c r="BC948" t="s">
        <v>197</v>
      </c>
    </row>
    <row r="949" spans="3:55" x14ac:dyDescent="0.45">
      <c r="C949">
        <v>80.41</v>
      </c>
      <c r="D949">
        <v>3</v>
      </c>
      <c r="E949">
        <v>7.46</v>
      </c>
      <c r="F949">
        <v>3.13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20</v>
      </c>
      <c r="X949">
        <v>80</v>
      </c>
      <c r="Y949">
        <v>0</v>
      </c>
      <c r="Z949">
        <v>1</v>
      </c>
      <c r="AA949">
        <v>0</v>
      </c>
      <c r="AB949">
        <v>0</v>
      </c>
      <c r="AC949">
        <v>800</v>
      </c>
      <c r="AD949">
        <v>0.33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f t="shared" si="44"/>
        <v>12.0062</v>
      </c>
      <c r="AU949">
        <f t="shared" si="42"/>
        <v>3.1666666666666665</v>
      </c>
      <c r="AV949">
        <f t="shared" si="43"/>
        <v>707.99899999999991</v>
      </c>
      <c r="AY949">
        <v>773</v>
      </c>
      <c r="AZ949">
        <v>17.3</v>
      </c>
      <c r="BB949" t="s">
        <v>353</v>
      </c>
      <c r="BC949" t="s">
        <v>197</v>
      </c>
    </row>
    <row r="950" spans="3:55" x14ac:dyDescent="0.45">
      <c r="C950">
        <v>80.885999999999996</v>
      </c>
      <c r="D950">
        <v>5.0999999999999996</v>
      </c>
      <c r="E950">
        <v>4.97</v>
      </c>
      <c r="F950">
        <v>2.93</v>
      </c>
      <c r="G950">
        <v>0</v>
      </c>
      <c r="H950">
        <v>0</v>
      </c>
      <c r="I950">
        <v>0</v>
      </c>
      <c r="J950">
        <v>1.0900000000000001</v>
      </c>
      <c r="K950">
        <v>0</v>
      </c>
      <c r="L950">
        <v>4.9400000000000004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f t="shared" si="44"/>
        <v>7.8579000000000008</v>
      </c>
      <c r="AU950">
        <f t="shared" si="42"/>
        <v>5.2816666666666663</v>
      </c>
      <c r="AV950">
        <f t="shared" si="43"/>
        <v>744.16000000000008</v>
      </c>
      <c r="BB950" t="s">
        <v>353</v>
      </c>
      <c r="BC950" t="s">
        <v>198</v>
      </c>
    </row>
    <row r="951" spans="3:55" x14ac:dyDescent="0.45">
      <c r="C951">
        <v>80.885999999999996</v>
      </c>
      <c r="D951">
        <v>5.0999999999999996</v>
      </c>
      <c r="E951">
        <v>4.97</v>
      </c>
      <c r="F951">
        <v>2.93</v>
      </c>
      <c r="G951">
        <v>0</v>
      </c>
      <c r="H951">
        <v>0</v>
      </c>
      <c r="I951">
        <v>0</v>
      </c>
      <c r="J951">
        <v>1.0900000000000001</v>
      </c>
      <c r="K951">
        <v>0</v>
      </c>
      <c r="L951">
        <v>4.9400000000000004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880</v>
      </c>
      <c r="AD951">
        <v>1.5</v>
      </c>
      <c r="AE951">
        <v>0</v>
      </c>
      <c r="AF951">
        <v>0</v>
      </c>
      <c r="AG951">
        <v>0</v>
      </c>
      <c r="AH951">
        <v>600</v>
      </c>
      <c r="AI951">
        <v>8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f t="shared" si="44"/>
        <v>7.8579000000000008</v>
      </c>
      <c r="AU951">
        <f t="shared" si="42"/>
        <v>5.2816666666666663</v>
      </c>
      <c r="AV951">
        <f t="shared" si="43"/>
        <v>744.16000000000008</v>
      </c>
      <c r="BB951" t="s">
        <v>353</v>
      </c>
      <c r="BC951" t="s">
        <v>198</v>
      </c>
    </row>
    <row r="952" spans="3:55" x14ac:dyDescent="0.45">
      <c r="C952">
        <v>80.885999999999996</v>
      </c>
      <c r="D952">
        <v>5.0999999999999996</v>
      </c>
      <c r="E952">
        <v>4.97</v>
      </c>
      <c r="F952">
        <v>2.93</v>
      </c>
      <c r="G952">
        <v>0</v>
      </c>
      <c r="H952">
        <v>0</v>
      </c>
      <c r="I952">
        <v>0</v>
      </c>
      <c r="J952">
        <v>1.0900000000000001</v>
      </c>
      <c r="K952">
        <v>0</v>
      </c>
      <c r="L952">
        <v>4.9400000000000004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790</v>
      </c>
      <c r="AD952">
        <v>1.5</v>
      </c>
      <c r="AE952">
        <v>0</v>
      </c>
      <c r="AF952">
        <v>1</v>
      </c>
      <c r="AG952">
        <v>0</v>
      </c>
      <c r="AH952">
        <v>600</v>
      </c>
      <c r="AI952">
        <v>8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f t="shared" si="44"/>
        <v>7.8579000000000008</v>
      </c>
      <c r="AU952">
        <f t="shared" si="42"/>
        <v>5.2816666666666663</v>
      </c>
      <c r="AV952">
        <f t="shared" si="43"/>
        <v>744.16000000000008</v>
      </c>
      <c r="BB952" t="s">
        <v>353</v>
      </c>
      <c r="BC952" t="s">
        <v>198</v>
      </c>
    </row>
    <row r="953" spans="3:55" x14ac:dyDescent="0.45">
      <c r="C953">
        <v>80.885999999999996</v>
      </c>
      <c r="D953">
        <v>5.0999999999999996</v>
      </c>
      <c r="E953">
        <v>4.97</v>
      </c>
      <c r="F953">
        <v>2.93</v>
      </c>
      <c r="G953">
        <v>0</v>
      </c>
      <c r="H953">
        <v>0</v>
      </c>
      <c r="I953">
        <v>0</v>
      </c>
      <c r="J953">
        <v>1.0900000000000001</v>
      </c>
      <c r="K953">
        <v>0</v>
      </c>
      <c r="L953">
        <v>4.9400000000000004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810</v>
      </c>
      <c r="AD953">
        <v>2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f t="shared" si="44"/>
        <v>7.8579000000000008</v>
      </c>
      <c r="AU953">
        <f t="shared" si="42"/>
        <v>5.2816666666666663</v>
      </c>
      <c r="AV953">
        <f t="shared" si="43"/>
        <v>744.16000000000008</v>
      </c>
      <c r="BB953" t="s">
        <v>353</v>
      </c>
      <c r="BC953" t="s">
        <v>198</v>
      </c>
    </row>
    <row r="954" spans="3:55" x14ac:dyDescent="0.45">
      <c r="C954">
        <v>80.885999999999996</v>
      </c>
      <c r="D954">
        <v>5.0999999999999996</v>
      </c>
      <c r="E954">
        <v>4.97</v>
      </c>
      <c r="F954">
        <v>2.93</v>
      </c>
      <c r="G954">
        <v>0</v>
      </c>
      <c r="H954">
        <v>0</v>
      </c>
      <c r="I954">
        <v>0</v>
      </c>
      <c r="J954">
        <v>1.0900000000000001</v>
      </c>
      <c r="K954">
        <v>0</v>
      </c>
      <c r="L954">
        <v>4.9400000000000004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f t="shared" si="44"/>
        <v>7.8579000000000008</v>
      </c>
      <c r="AU954">
        <f t="shared" si="42"/>
        <v>5.2816666666666663</v>
      </c>
      <c r="AV954">
        <f t="shared" si="43"/>
        <v>744.16000000000008</v>
      </c>
      <c r="BB954" t="s">
        <v>353</v>
      </c>
      <c r="BC954" t="s">
        <v>198</v>
      </c>
    </row>
    <row r="955" spans="3:55" x14ac:dyDescent="0.45">
      <c r="C955">
        <v>80.885999999999996</v>
      </c>
      <c r="D955">
        <v>5.0999999999999996</v>
      </c>
      <c r="E955">
        <v>4.97</v>
      </c>
      <c r="F955">
        <v>2.93</v>
      </c>
      <c r="G955">
        <v>0</v>
      </c>
      <c r="H955">
        <v>0</v>
      </c>
      <c r="I955">
        <v>0</v>
      </c>
      <c r="J955">
        <v>1.0900000000000001</v>
      </c>
      <c r="K955">
        <v>0</v>
      </c>
      <c r="L955">
        <v>4.9400000000000004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810</v>
      </c>
      <c r="AD955">
        <v>2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f t="shared" si="44"/>
        <v>7.8579000000000008</v>
      </c>
      <c r="AU955">
        <f t="shared" si="42"/>
        <v>5.2816666666666663</v>
      </c>
      <c r="AV955">
        <f t="shared" si="43"/>
        <v>744.16000000000008</v>
      </c>
      <c r="BB955" t="s">
        <v>353</v>
      </c>
      <c r="BC955" t="s">
        <v>198</v>
      </c>
    </row>
    <row r="956" spans="3:55" x14ac:dyDescent="0.45">
      <c r="C956">
        <v>79.760000000000005</v>
      </c>
      <c r="D956">
        <v>5.39</v>
      </c>
      <c r="E956">
        <v>4.95</v>
      </c>
      <c r="F956">
        <v>3.9</v>
      </c>
      <c r="G956">
        <v>0</v>
      </c>
      <c r="H956">
        <v>0</v>
      </c>
      <c r="I956">
        <v>0</v>
      </c>
      <c r="J956">
        <v>1.0900000000000001</v>
      </c>
      <c r="K956">
        <v>0</v>
      </c>
      <c r="L956">
        <v>4.8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800</v>
      </c>
      <c r="AD956">
        <v>2</v>
      </c>
      <c r="AE956">
        <v>0</v>
      </c>
      <c r="AF956">
        <v>1</v>
      </c>
      <c r="AG956">
        <v>0</v>
      </c>
      <c r="AH956">
        <v>600</v>
      </c>
      <c r="AI956">
        <v>6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f t="shared" si="44"/>
        <v>8.9664999999999999</v>
      </c>
      <c r="AU956">
        <f t="shared" si="42"/>
        <v>5.5716666666666663</v>
      </c>
      <c r="AV956">
        <f t="shared" si="43"/>
        <v>734.59799999999996</v>
      </c>
      <c r="AX956">
        <v>1230.75</v>
      </c>
      <c r="AY956">
        <v>1241.75</v>
      </c>
      <c r="AZ956">
        <v>3.7719999999999998</v>
      </c>
      <c r="BB956" t="s">
        <v>353</v>
      </c>
      <c r="BC956" t="s">
        <v>108</v>
      </c>
    </row>
    <row r="957" spans="3:55" x14ac:dyDescent="0.45">
      <c r="C957">
        <v>79.760000000000005</v>
      </c>
      <c r="D957">
        <v>5.39</v>
      </c>
      <c r="E957">
        <v>4.95</v>
      </c>
      <c r="F957">
        <v>3.9</v>
      </c>
      <c r="G957">
        <v>0</v>
      </c>
      <c r="H957">
        <v>0</v>
      </c>
      <c r="I957">
        <v>0</v>
      </c>
      <c r="J957">
        <v>1.0900000000000001</v>
      </c>
      <c r="K957">
        <v>0</v>
      </c>
      <c r="L957">
        <v>4.8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800</v>
      </c>
      <c r="AD957">
        <v>2</v>
      </c>
      <c r="AE957">
        <v>0</v>
      </c>
      <c r="AF957">
        <v>1</v>
      </c>
      <c r="AG957">
        <v>0</v>
      </c>
      <c r="AH957">
        <v>600</v>
      </c>
      <c r="AI957">
        <v>7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f t="shared" si="44"/>
        <v>8.9664999999999999</v>
      </c>
      <c r="AU957">
        <f t="shared" si="42"/>
        <v>5.5716666666666663</v>
      </c>
      <c r="AV957">
        <f t="shared" si="43"/>
        <v>734.59799999999996</v>
      </c>
      <c r="AX957">
        <v>1234.29</v>
      </c>
      <c r="AY957">
        <v>1265.29</v>
      </c>
      <c r="AZ957">
        <v>3.4079999999999999</v>
      </c>
      <c r="BC957" t="s">
        <v>108</v>
      </c>
    </row>
    <row r="958" spans="3:55" x14ac:dyDescent="0.45">
      <c r="C958">
        <v>79.760000000000005</v>
      </c>
      <c r="D958">
        <v>5.39</v>
      </c>
      <c r="E958">
        <v>4.95</v>
      </c>
      <c r="F958">
        <v>3.9</v>
      </c>
      <c r="G958">
        <v>0</v>
      </c>
      <c r="H958">
        <v>0</v>
      </c>
      <c r="I958">
        <v>0</v>
      </c>
      <c r="J958">
        <v>1.0900000000000001</v>
      </c>
      <c r="K958">
        <v>0</v>
      </c>
      <c r="L958">
        <v>4.8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800</v>
      </c>
      <c r="AD958">
        <v>2</v>
      </c>
      <c r="AE958">
        <v>0</v>
      </c>
      <c r="AF958">
        <v>1</v>
      </c>
      <c r="AG958">
        <v>0</v>
      </c>
      <c r="AH958">
        <v>600</v>
      </c>
      <c r="AI958">
        <v>8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f t="shared" si="44"/>
        <v>8.9664999999999999</v>
      </c>
      <c r="AU958">
        <f t="shared" si="42"/>
        <v>5.5716666666666663</v>
      </c>
      <c r="AV958">
        <f t="shared" si="43"/>
        <v>734.59799999999996</v>
      </c>
      <c r="AX958">
        <v>1255.3399999999999</v>
      </c>
      <c r="AY958">
        <v>1277.3399999999999</v>
      </c>
      <c r="AZ958">
        <v>4.9790000000000001</v>
      </c>
      <c r="BB958" t="s">
        <v>354</v>
      </c>
      <c r="BC958" t="s">
        <v>108</v>
      </c>
    </row>
    <row r="959" spans="3:55" x14ac:dyDescent="0.45">
      <c r="C959">
        <v>79.760000000000005</v>
      </c>
      <c r="D959">
        <v>5.39</v>
      </c>
      <c r="E959">
        <v>4.95</v>
      </c>
      <c r="F959">
        <v>3.9</v>
      </c>
      <c r="G959">
        <v>0</v>
      </c>
      <c r="H959">
        <v>0</v>
      </c>
      <c r="I959">
        <v>0</v>
      </c>
      <c r="J959">
        <v>1.0900000000000001</v>
      </c>
      <c r="K959">
        <v>0</v>
      </c>
      <c r="L959">
        <v>4.8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800</v>
      </c>
      <c r="AD959">
        <v>2</v>
      </c>
      <c r="AE959">
        <v>0</v>
      </c>
      <c r="AF959">
        <v>1</v>
      </c>
      <c r="AG959">
        <v>0</v>
      </c>
      <c r="AH959">
        <v>600</v>
      </c>
      <c r="AI959">
        <v>9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f t="shared" si="44"/>
        <v>8.9664999999999999</v>
      </c>
      <c r="AU959">
        <f t="shared" si="42"/>
        <v>5.5716666666666663</v>
      </c>
      <c r="AV959">
        <f t="shared" si="43"/>
        <v>734.59799999999996</v>
      </c>
      <c r="AX959">
        <v>1238</v>
      </c>
      <c r="AY959">
        <v>1268</v>
      </c>
      <c r="AZ959">
        <v>4.3109999999999999</v>
      </c>
      <c r="BB959" t="s">
        <v>354</v>
      </c>
      <c r="BC959" t="s">
        <v>108</v>
      </c>
    </row>
    <row r="960" spans="3:55" x14ac:dyDescent="0.45">
      <c r="C960">
        <v>79.760000000000005</v>
      </c>
      <c r="D960">
        <v>5.39</v>
      </c>
      <c r="E960">
        <v>4.95</v>
      </c>
      <c r="F960">
        <v>3.9</v>
      </c>
      <c r="G960">
        <v>0</v>
      </c>
      <c r="H960">
        <v>0</v>
      </c>
      <c r="I960">
        <v>0</v>
      </c>
      <c r="J960">
        <v>1.0900000000000001</v>
      </c>
      <c r="K960">
        <v>0</v>
      </c>
      <c r="L960">
        <v>4.8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800</v>
      </c>
      <c r="AD960">
        <v>2</v>
      </c>
      <c r="AE960">
        <v>0</v>
      </c>
      <c r="AF960">
        <v>1</v>
      </c>
      <c r="AG960">
        <v>0</v>
      </c>
      <c r="AH960">
        <v>600</v>
      </c>
      <c r="AI960">
        <v>10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f t="shared" si="44"/>
        <v>8.9664999999999999</v>
      </c>
      <c r="AU960">
        <f t="shared" si="42"/>
        <v>5.5716666666666663</v>
      </c>
      <c r="AV960">
        <f t="shared" si="43"/>
        <v>734.59799999999996</v>
      </c>
      <c r="AX960">
        <v>1219.6600000000001</v>
      </c>
      <c r="AY960">
        <v>1255.6600000000001</v>
      </c>
      <c r="AZ960">
        <v>5.6360000000000001</v>
      </c>
      <c r="BB960" t="s">
        <v>354</v>
      </c>
      <c r="BC960" t="s">
        <v>108</v>
      </c>
    </row>
    <row r="961" spans="3:55" x14ac:dyDescent="0.45">
      <c r="C961">
        <v>79.760000000000005</v>
      </c>
      <c r="D961">
        <v>5.39</v>
      </c>
      <c r="E961">
        <v>4.95</v>
      </c>
      <c r="F961">
        <v>3.9</v>
      </c>
      <c r="G961">
        <v>0</v>
      </c>
      <c r="H961">
        <v>0</v>
      </c>
      <c r="I961">
        <v>0</v>
      </c>
      <c r="J961">
        <v>1.0900000000000001</v>
      </c>
      <c r="K961">
        <v>0</v>
      </c>
      <c r="L961">
        <v>4.8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800</v>
      </c>
      <c r="AD961">
        <v>2</v>
      </c>
      <c r="AE961">
        <v>0</v>
      </c>
      <c r="AF961">
        <v>1</v>
      </c>
      <c r="AG961">
        <v>0</v>
      </c>
      <c r="AH961">
        <v>620</v>
      </c>
      <c r="AI961">
        <v>6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f t="shared" si="44"/>
        <v>8.9664999999999999</v>
      </c>
      <c r="AU961">
        <f t="shared" si="42"/>
        <v>5.5716666666666663</v>
      </c>
      <c r="AV961">
        <f t="shared" si="43"/>
        <v>734.59799999999996</v>
      </c>
      <c r="AX961">
        <v>1144.8900000000001</v>
      </c>
      <c r="AY961">
        <v>1176.8900000000001</v>
      </c>
      <c r="AZ961">
        <v>3.431</v>
      </c>
      <c r="BC961" t="s">
        <v>108</v>
      </c>
    </row>
    <row r="962" spans="3:55" x14ac:dyDescent="0.45">
      <c r="C962">
        <v>79.760000000000005</v>
      </c>
      <c r="D962">
        <v>5.39</v>
      </c>
      <c r="E962">
        <v>4.95</v>
      </c>
      <c r="F962">
        <v>3.9</v>
      </c>
      <c r="G962">
        <v>0</v>
      </c>
      <c r="H962">
        <v>0</v>
      </c>
      <c r="I962">
        <v>0</v>
      </c>
      <c r="J962">
        <v>1.0900000000000001</v>
      </c>
      <c r="K962">
        <v>0</v>
      </c>
      <c r="L962">
        <v>4.8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800</v>
      </c>
      <c r="AD962">
        <v>2</v>
      </c>
      <c r="AE962">
        <v>0</v>
      </c>
      <c r="AF962">
        <v>1</v>
      </c>
      <c r="AG962">
        <v>0</v>
      </c>
      <c r="AH962">
        <v>620</v>
      </c>
      <c r="AI962">
        <v>7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f t="shared" si="44"/>
        <v>8.9664999999999999</v>
      </c>
      <c r="AU962">
        <f t="shared" ref="AU962:AU1025" si="45">D962+J962/6+M962/3+(T962+S962)/10</f>
        <v>5.5716666666666663</v>
      </c>
      <c r="AV962">
        <f t="shared" ref="AV962:AV1025" si="46">882+2.1*D962-9.5*L962+4.2*M962-6.9*J962-11.8*E962-12.1*F962-15.4*H962+23.3*Q962+123*T962</f>
        <v>734.59799999999996</v>
      </c>
      <c r="AX962">
        <v>1170.47</v>
      </c>
      <c r="AY962">
        <v>1196.47</v>
      </c>
      <c r="AZ962">
        <v>4.1500000000000004</v>
      </c>
      <c r="BC962" t="s">
        <v>108</v>
      </c>
    </row>
    <row r="963" spans="3:55" x14ac:dyDescent="0.45">
      <c r="C963">
        <v>79.760000000000005</v>
      </c>
      <c r="D963">
        <v>5.39</v>
      </c>
      <c r="E963">
        <v>4.95</v>
      </c>
      <c r="F963">
        <v>3.9</v>
      </c>
      <c r="G963">
        <v>0</v>
      </c>
      <c r="H963">
        <v>0</v>
      </c>
      <c r="I963">
        <v>0</v>
      </c>
      <c r="J963">
        <v>1.0900000000000001</v>
      </c>
      <c r="K963">
        <v>0</v>
      </c>
      <c r="L963">
        <v>4.8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800</v>
      </c>
      <c r="AD963">
        <v>2</v>
      </c>
      <c r="AE963">
        <v>0</v>
      </c>
      <c r="AF963">
        <v>1</v>
      </c>
      <c r="AG963">
        <v>0</v>
      </c>
      <c r="AH963">
        <v>620</v>
      </c>
      <c r="AI963">
        <v>8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f t="shared" ref="AT963:AT1026" si="47">L963+0.67*E963+0.44*P963+0.28*K963+0.22*O963+2.9*H963+1.6*F963+1.7*G963-D963</f>
        <v>8.9664999999999999</v>
      </c>
      <c r="AU963">
        <f t="shared" si="45"/>
        <v>5.5716666666666663</v>
      </c>
      <c r="AV963">
        <f t="shared" si="46"/>
        <v>734.59799999999996</v>
      </c>
      <c r="AX963">
        <v>1178.9000000000001</v>
      </c>
      <c r="AY963">
        <v>1216.9000000000001</v>
      </c>
      <c r="AZ963">
        <v>7.7450000000000001</v>
      </c>
      <c r="BC963" t="s">
        <v>108</v>
      </c>
    </row>
    <row r="964" spans="3:55" x14ac:dyDescent="0.45">
      <c r="C964">
        <v>79.760000000000005</v>
      </c>
      <c r="D964">
        <v>5.39</v>
      </c>
      <c r="E964">
        <v>4.95</v>
      </c>
      <c r="F964">
        <v>3.9</v>
      </c>
      <c r="G964">
        <v>0</v>
      </c>
      <c r="H964">
        <v>0</v>
      </c>
      <c r="I964">
        <v>0</v>
      </c>
      <c r="J964">
        <v>1.0900000000000001</v>
      </c>
      <c r="K964">
        <v>0</v>
      </c>
      <c r="L964">
        <v>4.8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800</v>
      </c>
      <c r="AD964">
        <v>2</v>
      </c>
      <c r="AE964">
        <v>0</v>
      </c>
      <c r="AF964">
        <v>1</v>
      </c>
      <c r="AG964">
        <v>0</v>
      </c>
      <c r="AH964">
        <v>620</v>
      </c>
      <c r="AI964">
        <v>9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f t="shared" si="47"/>
        <v>8.9664999999999999</v>
      </c>
      <c r="AU964">
        <f t="shared" si="45"/>
        <v>5.5716666666666663</v>
      </c>
      <c r="AV964">
        <f t="shared" si="46"/>
        <v>734.59799999999996</v>
      </c>
      <c r="AX964">
        <v>1163.05</v>
      </c>
      <c r="AY964">
        <v>1193.05</v>
      </c>
      <c r="AZ964">
        <v>8.8780000000000001</v>
      </c>
      <c r="BC964" t="s">
        <v>108</v>
      </c>
    </row>
    <row r="965" spans="3:55" x14ac:dyDescent="0.45">
      <c r="C965">
        <v>79.760000000000005</v>
      </c>
      <c r="D965">
        <v>5.39</v>
      </c>
      <c r="E965">
        <v>4.95</v>
      </c>
      <c r="F965">
        <v>3.9</v>
      </c>
      <c r="G965">
        <v>0</v>
      </c>
      <c r="H965">
        <v>0</v>
      </c>
      <c r="I965">
        <v>0</v>
      </c>
      <c r="J965">
        <v>1.0900000000000001</v>
      </c>
      <c r="K965">
        <v>0</v>
      </c>
      <c r="L965">
        <v>4.8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800</v>
      </c>
      <c r="AD965">
        <v>2</v>
      </c>
      <c r="AE965">
        <v>0</v>
      </c>
      <c r="AF965">
        <v>1</v>
      </c>
      <c r="AG965">
        <v>0</v>
      </c>
      <c r="AH965">
        <v>620</v>
      </c>
      <c r="AI965">
        <v>10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f t="shared" si="47"/>
        <v>8.9664999999999999</v>
      </c>
      <c r="AU965">
        <f t="shared" si="45"/>
        <v>5.5716666666666663</v>
      </c>
      <c r="AV965">
        <f t="shared" si="46"/>
        <v>734.59799999999996</v>
      </c>
      <c r="AX965">
        <v>1140.98</v>
      </c>
      <c r="AY965">
        <v>1176.98</v>
      </c>
      <c r="AZ965">
        <v>7.2370000000000001</v>
      </c>
      <c r="BB965" t="s">
        <v>355</v>
      </c>
      <c r="BC965" t="s">
        <v>108</v>
      </c>
    </row>
    <row r="966" spans="3:55" x14ac:dyDescent="0.45">
      <c r="C966">
        <v>79.760000000000005</v>
      </c>
      <c r="D966">
        <v>5.39</v>
      </c>
      <c r="E966">
        <v>4.95</v>
      </c>
      <c r="F966">
        <v>3.9</v>
      </c>
      <c r="G966">
        <v>0</v>
      </c>
      <c r="H966">
        <v>0</v>
      </c>
      <c r="I966">
        <v>0</v>
      </c>
      <c r="J966">
        <v>1.0900000000000001</v>
      </c>
      <c r="K966">
        <v>0</v>
      </c>
      <c r="L966">
        <v>4.8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800</v>
      </c>
      <c r="AD966">
        <v>2</v>
      </c>
      <c r="AE966">
        <v>0</v>
      </c>
      <c r="AF966">
        <v>1</v>
      </c>
      <c r="AG966">
        <v>0</v>
      </c>
      <c r="AH966">
        <v>640</v>
      </c>
      <c r="AI966">
        <v>6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f t="shared" si="47"/>
        <v>8.9664999999999999</v>
      </c>
      <c r="AU966">
        <f t="shared" si="45"/>
        <v>5.5716666666666663</v>
      </c>
      <c r="AV966">
        <f t="shared" si="46"/>
        <v>734.59799999999996</v>
      </c>
      <c r="AX966">
        <v>1120.8900000000001</v>
      </c>
      <c r="AY966">
        <v>1169.8900000000001</v>
      </c>
      <c r="AZ966">
        <v>4.2640000000000002</v>
      </c>
      <c r="BB966" t="s">
        <v>355</v>
      </c>
      <c r="BC966" t="s">
        <v>108</v>
      </c>
    </row>
    <row r="967" spans="3:55" x14ac:dyDescent="0.45">
      <c r="C967">
        <v>79.760000000000005</v>
      </c>
      <c r="D967">
        <v>5.39</v>
      </c>
      <c r="E967">
        <v>4.95</v>
      </c>
      <c r="F967">
        <v>3.9</v>
      </c>
      <c r="G967">
        <v>0</v>
      </c>
      <c r="H967">
        <v>0</v>
      </c>
      <c r="I967">
        <v>0</v>
      </c>
      <c r="J967">
        <v>1.0900000000000001</v>
      </c>
      <c r="K967">
        <v>0</v>
      </c>
      <c r="L967">
        <v>4.8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800</v>
      </c>
      <c r="AD967">
        <v>2</v>
      </c>
      <c r="AE967">
        <v>0</v>
      </c>
      <c r="AF967">
        <v>1</v>
      </c>
      <c r="AG967">
        <v>0</v>
      </c>
      <c r="AH967">
        <v>640</v>
      </c>
      <c r="AI967">
        <v>7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f t="shared" si="47"/>
        <v>8.9664999999999999</v>
      </c>
      <c r="AU967">
        <f t="shared" si="45"/>
        <v>5.5716666666666663</v>
      </c>
      <c r="AV967">
        <f t="shared" si="46"/>
        <v>734.59799999999996</v>
      </c>
      <c r="AX967">
        <v>1138</v>
      </c>
      <c r="AY967">
        <v>1168</v>
      </c>
      <c r="AZ967">
        <v>7.4560000000000004</v>
      </c>
      <c r="BB967" t="s">
        <v>355</v>
      </c>
      <c r="BC967" t="s">
        <v>108</v>
      </c>
    </row>
    <row r="968" spans="3:55" x14ac:dyDescent="0.45">
      <c r="C968">
        <v>79.760000000000005</v>
      </c>
      <c r="D968">
        <v>5.39</v>
      </c>
      <c r="E968">
        <v>4.95</v>
      </c>
      <c r="F968">
        <v>3.9</v>
      </c>
      <c r="G968">
        <v>0</v>
      </c>
      <c r="H968">
        <v>0</v>
      </c>
      <c r="I968">
        <v>0</v>
      </c>
      <c r="J968">
        <v>1.0900000000000001</v>
      </c>
      <c r="K968">
        <v>0</v>
      </c>
      <c r="L968">
        <v>4.8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800</v>
      </c>
      <c r="AD968">
        <v>2</v>
      </c>
      <c r="AE968">
        <v>0</v>
      </c>
      <c r="AF968">
        <v>1</v>
      </c>
      <c r="AG968">
        <v>0</v>
      </c>
      <c r="AH968">
        <v>640</v>
      </c>
      <c r="AI968">
        <v>8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f t="shared" si="47"/>
        <v>8.9664999999999999</v>
      </c>
      <c r="AU968">
        <f t="shared" si="45"/>
        <v>5.5716666666666663</v>
      </c>
      <c r="AV968">
        <f t="shared" si="46"/>
        <v>734.59799999999996</v>
      </c>
      <c r="AX968">
        <v>1150.1500000000001</v>
      </c>
      <c r="AY968">
        <v>1185.1500000000001</v>
      </c>
      <c r="AZ968">
        <v>6.5209999999999999</v>
      </c>
      <c r="BB968" t="s">
        <v>355</v>
      </c>
      <c r="BC968" t="s">
        <v>108</v>
      </c>
    </row>
    <row r="969" spans="3:55" x14ac:dyDescent="0.45">
      <c r="C969">
        <v>79.760000000000005</v>
      </c>
      <c r="D969">
        <v>5.39</v>
      </c>
      <c r="E969">
        <v>4.95</v>
      </c>
      <c r="F969">
        <v>3.9</v>
      </c>
      <c r="G969">
        <v>0</v>
      </c>
      <c r="H969">
        <v>0</v>
      </c>
      <c r="I969">
        <v>0</v>
      </c>
      <c r="J969">
        <v>1.0900000000000001</v>
      </c>
      <c r="K969">
        <v>0</v>
      </c>
      <c r="L969">
        <v>4.8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800</v>
      </c>
      <c r="AD969">
        <v>2</v>
      </c>
      <c r="AE969">
        <v>0</v>
      </c>
      <c r="AF969">
        <v>1</v>
      </c>
      <c r="AG969">
        <v>0</v>
      </c>
      <c r="AH969">
        <v>640</v>
      </c>
      <c r="AI969">
        <v>9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f t="shared" si="47"/>
        <v>8.9664999999999999</v>
      </c>
      <c r="AU969">
        <f t="shared" si="45"/>
        <v>5.5716666666666663</v>
      </c>
      <c r="AV969">
        <f t="shared" si="46"/>
        <v>734.59799999999996</v>
      </c>
      <c r="AX969">
        <v>1142.9100000000001</v>
      </c>
      <c r="AY969">
        <v>1173.9100000000001</v>
      </c>
      <c r="AZ969">
        <v>6.9349999999999996</v>
      </c>
      <c r="BB969" t="s">
        <v>355</v>
      </c>
      <c r="BC969" t="s">
        <v>108</v>
      </c>
    </row>
    <row r="970" spans="3:55" x14ac:dyDescent="0.45">
      <c r="C970">
        <v>79.760000000000005</v>
      </c>
      <c r="D970">
        <v>5.39</v>
      </c>
      <c r="E970">
        <v>4.95</v>
      </c>
      <c r="F970">
        <v>3.9</v>
      </c>
      <c r="G970">
        <v>0</v>
      </c>
      <c r="H970">
        <v>0</v>
      </c>
      <c r="I970">
        <v>0</v>
      </c>
      <c r="J970">
        <v>1.0900000000000001</v>
      </c>
      <c r="K970">
        <v>0</v>
      </c>
      <c r="L970">
        <v>4.8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800</v>
      </c>
      <c r="AD970">
        <v>2</v>
      </c>
      <c r="AE970">
        <v>0</v>
      </c>
      <c r="AF970">
        <v>1</v>
      </c>
      <c r="AG970">
        <v>0</v>
      </c>
      <c r="AH970">
        <v>640</v>
      </c>
      <c r="AI970">
        <v>10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f t="shared" si="47"/>
        <v>8.9664999999999999</v>
      </c>
      <c r="AU970">
        <f t="shared" si="45"/>
        <v>5.5716666666666663</v>
      </c>
      <c r="AV970">
        <f t="shared" si="46"/>
        <v>734.59799999999996</v>
      </c>
      <c r="AX970">
        <v>1129.5899999999999</v>
      </c>
      <c r="AY970">
        <v>1165.5899999999999</v>
      </c>
      <c r="AZ970">
        <v>5.1959999999999997</v>
      </c>
      <c r="BB970" t="s">
        <v>355</v>
      </c>
      <c r="BC970" t="s">
        <v>108</v>
      </c>
    </row>
    <row r="971" spans="3:55" x14ac:dyDescent="0.45">
      <c r="C971">
        <v>79.760000000000005</v>
      </c>
      <c r="D971">
        <v>5.39</v>
      </c>
      <c r="E971">
        <v>4.95</v>
      </c>
      <c r="F971">
        <v>3.9</v>
      </c>
      <c r="G971">
        <v>0</v>
      </c>
      <c r="H971">
        <v>0</v>
      </c>
      <c r="I971">
        <v>0</v>
      </c>
      <c r="J971">
        <v>1.0900000000000001</v>
      </c>
      <c r="K971">
        <v>0</v>
      </c>
      <c r="L971">
        <v>4.8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860</v>
      </c>
      <c r="AD971">
        <v>1.5</v>
      </c>
      <c r="AE971">
        <v>0</v>
      </c>
      <c r="AF971">
        <v>1</v>
      </c>
      <c r="AG971">
        <v>0</v>
      </c>
      <c r="AH971">
        <v>600</v>
      </c>
      <c r="AI971">
        <v>9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f t="shared" si="47"/>
        <v>8.9664999999999999</v>
      </c>
      <c r="AU971">
        <f t="shared" si="45"/>
        <v>5.5716666666666663</v>
      </c>
      <c r="AV971">
        <f t="shared" si="46"/>
        <v>734.59799999999996</v>
      </c>
      <c r="AX971">
        <v>1158.93</v>
      </c>
      <c r="AY971">
        <v>1196.83</v>
      </c>
      <c r="BC971" t="s">
        <v>108</v>
      </c>
    </row>
    <row r="972" spans="3:55" x14ac:dyDescent="0.45">
      <c r="C972">
        <v>79.760000000000005</v>
      </c>
      <c r="D972">
        <v>5.39</v>
      </c>
      <c r="E972">
        <v>4.95</v>
      </c>
      <c r="F972">
        <v>3.9</v>
      </c>
      <c r="G972">
        <v>0</v>
      </c>
      <c r="H972">
        <v>0</v>
      </c>
      <c r="I972">
        <v>0</v>
      </c>
      <c r="J972">
        <v>1.0900000000000001</v>
      </c>
      <c r="K972">
        <v>0</v>
      </c>
      <c r="L972">
        <v>4.8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880</v>
      </c>
      <c r="AD972">
        <v>1.5</v>
      </c>
      <c r="AE972">
        <v>0</v>
      </c>
      <c r="AF972">
        <v>1</v>
      </c>
      <c r="AG972">
        <v>0</v>
      </c>
      <c r="AH972">
        <v>620</v>
      </c>
      <c r="AI972">
        <v>9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f t="shared" si="47"/>
        <v>8.9664999999999999</v>
      </c>
      <c r="AU972">
        <f t="shared" si="45"/>
        <v>5.5716666666666663</v>
      </c>
      <c r="AV972">
        <f t="shared" si="46"/>
        <v>734.59799999999996</v>
      </c>
      <c r="AX972">
        <v>1133.51</v>
      </c>
      <c r="AY972">
        <v>1180.6600000000001</v>
      </c>
      <c r="BC972" t="s">
        <v>108</v>
      </c>
    </row>
    <row r="973" spans="3:55" x14ac:dyDescent="0.45">
      <c r="C973">
        <v>79.760000000000005</v>
      </c>
      <c r="D973">
        <v>5.39</v>
      </c>
      <c r="E973">
        <v>4.95</v>
      </c>
      <c r="F973">
        <v>3.9</v>
      </c>
      <c r="G973">
        <v>0</v>
      </c>
      <c r="H973">
        <v>0</v>
      </c>
      <c r="I973">
        <v>0</v>
      </c>
      <c r="J973">
        <v>1.0900000000000001</v>
      </c>
      <c r="K973">
        <v>0</v>
      </c>
      <c r="L973">
        <v>4.8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900</v>
      </c>
      <c r="AD973">
        <v>1.5</v>
      </c>
      <c r="AE973">
        <v>0</v>
      </c>
      <c r="AF973">
        <v>1</v>
      </c>
      <c r="AG973">
        <v>0</v>
      </c>
      <c r="AH973">
        <v>580</v>
      </c>
      <c r="AI973">
        <v>9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f t="shared" si="47"/>
        <v>8.9664999999999999</v>
      </c>
      <c r="AU973">
        <f t="shared" si="45"/>
        <v>5.5716666666666663</v>
      </c>
      <c r="AV973">
        <f t="shared" si="46"/>
        <v>734.59799999999996</v>
      </c>
      <c r="AX973">
        <v>1263.77</v>
      </c>
      <c r="AY973">
        <v>1316.93</v>
      </c>
      <c r="BC973" t="s">
        <v>108</v>
      </c>
    </row>
    <row r="974" spans="3:55" x14ac:dyDescent="0.45">
      <c r="C974">
        <v>79.760000000000005</v>
      </c>
      <c r="D974">
        <v>5.39</v>
      </c>
      <c r="E974">
        <v>4.95</v>
      </c>
      <c r="F974">
        <v>3.9</v>
      </c>
      <c r="G974">
        <v>0</v>
      </c>
      <c r="H974">
        <v>0</v>
      </c>
      <c r="I974">
        <v>0</v>
      </c>
      <c r="J974">
        <v>1.0900000000000001</v>
      </c>
      <c r="K974">
        <v>0</v>
      </c>
      <c r="L974">
        <v>4.8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900</v>
      </c>
      <c r="AD974">
        <v>1.5</v>
      </c>
      <c r="AE974">
        <v>0</v>
      </c>
      <c r="AF974">
        <v>1</v>
      </c>
      <c r="AG974">
        <v>0</v>
      </c>
      <c r="AH974">
        <v>600</v>
      </c>
      <c r="AI974">
        <v>9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f t="shared" si="47"/>
        <v>8.9664999999999999</v>
      </c>
      <c r="AU974">
        <f t="shared" si="45"/>
        <v>5.5716666666666663</v>
      </c>
      <c r="AV974">
        <f t="shared" si="46"/>
        <v>734.59799999999996</v>
      </c>
      <c r="AX974">
        <v>1239.08</v>
      </c>
      <c r="AY974">
        <v>1268.04</v>
      </c>
      <c r="BC974" t="s">
        <v>108</v>
      </c>
    </row>
    <row r="975" spans="3:55" x14ac:dyDescent="0.45">
      <c r="C975">
        <v>79.760000000000005</v>
      </c>
      <c r="D975">
        <v>5.39</v>
      </c>
      <c r="E975">
        <v>4.95</v>
      </c>
      <c r="F975">
        <v>3.9</v>
      </c>
      <c r="G975">
        <v>0</v>
      </c>
      <c r="H975">
        <v>0</v>
      </c>
      <c r="I975">
        <v>0</v>
      </c>
      <c r="J975">
        <v>1.0900000000000001</v>
      </c>
      <c r="K975">
        <v>0</v>
      </c>
      <c r="L975">
        <v>4.8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900</v>
      </c>
      <c r="AD975">
        <v>1.5</v>
      </c>
      <c r="AE975">
        <v>0</v>
      </c>
      <c r="AF975">
        <v>1</v>
      </c>
      <c r="AG975">
        <v>0</v>
      </c>
      <c r="AH975">
        <v>620</v>
      </c>
      <c r="AI975">
        <v>6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f t="shared" si="47"/>
        <v>8.9664999999999999</v>
      </c>
      <c r="AU975">
        <f t="shared" si="45"/>
        <v>5.5716666666666663</v>
      </c>
      <c r="AV975">
        <f t="shared" si="46"/>
        <v>734.59799999999996</v>
      </c>
      <c r="AX975">
        <v>1105.5</v>
      </c>
      <c r="AY975">
        <v>1153.17</v>
      </c>
      <c r="BC975" t="s">
        <v>108</v>
      </c>
    </row>
    <row r="976" spans="3:55" x14ac:dyDescent="0.45">
      <c r="C976">
        <v>79.760000000000005</v>
      </c>
      <c r="D976">
        <v>5.39</v>
      </c>
      <c r="E976">
        <v>4.95</v>
      </c>
      <c r="F976">
        <v>3.9</v>
      </c>
      <c r="G976">
        <v>0</v>
      </c>
      <c r="H976">
        <v>0</v>
      </c>
      <c r="I976">
        <v>0</v>
      </c>
      <c r="J976">
        <v>1.0900000000000001</v>
      </c>
      <c r="K976">
        <v>0</v>
      </c>
      <c r="L976">
        <v>4.8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900</v>
      </c>
      <c r="AD976">
        <v>1.5</v>
      </c>
      <c r="AE976">
        <v>0</v>
      </c>
      <c r="AF976">
        <v>1</v>
      </c>
      <c r="AG976">
        <v>0</v>
      </c>
      <c r="AH976">
        <v>620</v>
      </c>
      <c r="AI976">
        <v>7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f t="shared" si="47"/>
        <v>8.9664999999999999</v>
      </c>
      <c r="AU976">
        <f t="shared" si="45"/>
        <v>5.5716666666666663</v>
      </c>
      <c r="AV976">
        <f t="shared" si="46"/>
        <v>734.59799999999996</v>
      </c>
      <c r="AX976">
        <v>1155.2</v>
      </c>
      <c r="AY976">
        <v>1193.55</v>
      </c>
      <c r="BC976" t="s">
        <v>108</v>
      </c>
    </row>
    <row r="977" spans="3:55" x14ac:dyDescent="0.45">
      <c r="C977">
        <v>79.760000000000005</v>
      </c>
      <c r="D977">
        <v>5.39</v>
      </c>
      <c r="E977">
        <v>4.95</v>
      </c>
      <c r="F977">
        <v>3.9</v>
      </c>
      <c r="G977">
        <v>0</v>
      </c>
      <c r="H977">
        <v>0</v>
      </c>
      <c r="I977">
        <v>0</v>
      </c>
      <c r="J977">
        <v>1.0900000000000001</v>
      </c>
      <c r="K977">
        <v>0</v>
      </c>
      <c r="L977">
        <v>4.8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900</v>
      </c>
      <c r="AD977">
        <v>1.5</v>
      </c>
      <c r="AE977">
        <v>0</v>
      </c>
      <c r="AF977">
        <v>1</v>
      </c>
      <c r="AG977">
        <v>0</v>
      </c>
      <c r="AH977">
        <v>620</v>
      </c>
      <c r="AI977">
        <v>8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f t="shared" si="47"/>
        <v>8.9664999999999999</v>
      </c>
      <c r="AU977">
        <f t="shared" si="45"/>
        <v>5.5716666666666663</v>
      </c>
      <c r="AV977">
        <f t="shared" si="46"/>
        <v>734.59799999999996</v>
      </c>
      <c r="AX977">
        <v>1209.2</v>
      </c>
      <c r="AY977">
        <v>1246.83</v>
      </c>
      <c r="BC977" t="s">
        <v>108</v>
      </c>
    </row>
    <row r="978" spans="3:55" x14ac:dyDescent="0.45">
      <c r="C978">
        <v>79.760000000000005</v>
      </c>
      <c r="D978">
        <v>5.39</v>
      </c>
      <c r="E978">
        <v>4.95</v>
      </c>
      <c r="F978">
        <v>3.9</v>
      </c>
      <c r="G978">
        <v>0</v>
      </c>
      <c r="H978">
        <v>0</v>
      </c>
      <c r="I978">
        <v>0</v>
      </c>
      <c r="J978">
        <v>1.0900000000000001</v>
      </c>
      <c r="K978">
        <v>0</v>
      </c>
      <c r="L978">
        <v>4.8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900</v>
      </c>
      <c r="AD978">
        <v>1.5</v>
      </c>
      <c r="AE978">
        <v>0</v>
      </c>
      <c r="AF978">
        <v>1</v>
      </c>
      <c r="AG978">
        <v>0</v>
      </c>
      <c r="AH978">
        <v>620</v>
      </c>
      <c r="AI978">
        <v>9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f t="shared" si="47"/>
        <v>8.9664999999999999</v>
      </c>
      <c r="AU978">
        <f t="shared" si="45"/>
        <v>5.5716666666666663</v>
      </c>
      <c r="AV978">
        <f t="shared" si="46"/>
        <v>734.59799999999996</v>
      </c>
      <c r="AX978">
        <v>1182.56</v>
      </c>
      <c r="AY978">
        <v>1234.52</v>
      </c>
      <c r="BC978" t="s">
        <v>108</v>
      </c>
    </row>
    <row r="979" spans="3:55" x14ac:dyDescent="0.45">
      <c r="C979">
        <v>79.760000000000005</v>
      </c>
      <c r="D979">
        <v>5.39</v>
      </c>
      <c r="E979">
        <v>4.95</v>
      </c>
      <c r="F979">
        <v>3.9</v>
      </c>
      <c r="G979">
        <v>0</v>
      </c>
      <c r="H979">
        <v>0</v>
      </c>
      <c r="I979">
        <v>0</v>
      </c>
      <c r="J979">
        <v>1.0900000000000001</v>
      </c>
      <c r="K979">
        <v>0</v>
      </c>
      <c r="L979">
        <v>4.8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900</v>
      </c>
      <c r="AD979">
        <v>1.5</v>
      </c>
      <c r="AE979">
        <v>0</v>
      </c>
      <c r="AF979">
        <v>1</v>
      </c>
      <c r="AG979">
        <v>0</v>
      </c>
      <c r="AH979">
        <v>620</v>
      </c>
      <c r="AI979">
        <v>10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f t="shared" si="47"/>
        <v>8.9664999999999999</v>
      </c>
      <c r="AU979">
        <f t="shared" si="45"/>
        <v>5.5716666666666663</v>
      </c>
      <c r="AV979">
        <f t="shared" si="46"/>
        <v>734.59799999999996</v>
      </c>
      <c r="AX979">
        <v>1133.33</v>
      </c>
      <c r="AY979">
        <v>1179.21</v>
      </c>
      <c r="BC979" t="s">
        <v>108</v>
      </c>
    </row>
    <row r="980" spans="3:55" x14ac:dyDescent="0.45">
      <c r="C980">
        <v>79.760000000000005</v>
      </c>
      <c r="D980">
        <v>5.39</v>
      </c>
      <c r="E980">
        <v>4.95</v>
      </c>
      <c r="F980">
        <v>3.9</v>
      </c>
      <c r="G980">
        <v>0</v>
      </c>
      <c r="H980">
        <v>0</v>
      </c>
      <c r="I980">
        <v>0</v>
      </c>
      <c r="J980">
        <v>1.0900000000000001</v>
      </c>
      <c r="K980">
        <v>0</v>
      </c>
      <c r="L980">
        <v>4.8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900</v>
      </c>
      <c r="AD980">
        <v>1.5</v>
      </c>
      <c r="AE980">
        <v>0</v>
      </c>
      <c r="AF980">
        <v>1</v>
      </c>
      <c r="AG980">
        <v>0</v>
      </c>
      <c r="AH980">
        <v>640</v>
      </c>
      <c r="AI980">
        <v>9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f t="shared" si="47"/>
        <v>8.9664999999999999</v>
      </c>
      <c r="AU980">
        <f t="shared" si="45"/>
        <v>5.5716666666666663</v>
      </c>
      <c r="AV980">
        <f t="shared" si="46"/>
        <v>734.59799999999996</v>
      </c>
      <c r="AX980">
        <v>1173.0999999999999</v>
      </c>
      <c r="AY980">
        <v>1208.23</v>
      </c>
      <c r="BC980" t="s">
        <v>108</v>
      </c>
    </row>
    <row r="981" spans="3:55" x14ac:dyDescent="0.45">
      <c r="C981">
        <v>91.28</v>
      </c>
      <c r="D981">
        <v>4.95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0.78500000000000003</v>
      </c>
      <c r="M981">
        <v>0.98499999999999999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f t="shared" si="47"/>
        <v>-3.4950000000000001</v>
      </c>
      <c r="AU981">
        <f t="shared" si="45"/>
        <v>5.4450000000000003</v>
      </c>
      <c r="AV981">
        <f t="shared" si="46"/>
        <v>870.37450000000001</v>
      </c>
      <c r="AX981">
        <v>788.3</v>
      </c>
      <c r="AY981">
        <v>882.3</v>
      </c>
      <c r="AZ981">
        <v>12.8</v>
      </c>
      <c r="BC981" t="s">
        <v>200</v>
      </c>
    </row>
    <row r="982" spans="3:55" x14ac:dyDescent="0.45">
      <c r="C982">
        <v>91.28</v>
      </c>
      <c r="D982">
        <v>4.95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0.78500000000000003</v>
      </c>
      <c r="M982">
        <v>0.98499999999999999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900</v>
      </c>
      <c r="AD982">
        <v>1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f t="shared" si="47"/>
        <v>-3.4950000000000001</v>
      </c>
      <c r="AU982">
        <f t="shared" si="45"/>
        <v>5.4450000000000003</v>
      </c>
      <c r="AV982">
        <f t="shared" si="46"/>
        <v>870.37450000000001</v>
      </c>
      <c r="AX982">
        <v>740</v>
      </c>
      <c r="AY982">
        <v>853.6</v>
      </c>
      <c r="AZ982">
        <v>11.2</v>
      </c>
      <c r="BC982" t="s">
        <v>200</v>
      </c>
    </row>
    <row r="983" spans="3:55" x14ac:dyDescent="0.45">
      <c r="C983">
        <v>91.28</v>
      </c>
      <c r="D983">
        <v>4.95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0.78500000000000003</v>
      </c>
      <c r="M983">
        <v>0.98499999999999999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950</v>
      </c>
      <c r="AD983">
        <v>1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f t="shared" si="47"/>
        <v>-3.4950000000000001</v>
      </c>
      <c r="AU983">
        <f t="shared" si="45"/>
        <v>5.4450000000000003</v>
      </c>
      <c r="AV983">
        <f t="shared" si="46"/>
        <v>870.37450000000001</v>
      </c>
      <c r="AX983">
        <v>711.7</v>
      </c>
      <c r="AY983">
        <v>836</v>
      </c>
      <c r="AZ983">
        <v>14.1</v>
      </c>
      <c r="BC983" t="s">
        <v>200</v>
      </c>
    </row>
    <row r="984" spans="3:55" x14ac:dyDescent="0.45">
      <c r="C984">
        <v>87.6798</v>
      </c>
      <c r="D984">
        <v>6.04</v>
      </c>
      <c r="E984">
        <v>0</v>
      </c>
      <c r="F984">
        <v>0</v>
      </c>
      <c r="G984">
        <v>0</v>
      </c>
      <c r="H984">
        <v>0.1</v>
      </c>
      <c r="I984">
        <v>0</v>
      </c>
      <c r="J984">
        <v>2.0499999999999998</v>
      </c>
      <c r="K984">
        <v>3.05</v>
      </c>
      <c r="L984">
        <v>1.04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970</v>
      </c>
      <c r="AD984">
        <v>2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f t="shared" si="47"/>
        <v>-3.8559999999999999</v>
      </c>
      <c r="AU984">
        <f t="shared" si="45"/>
        <v>6.3816666666666668</v>
      </c>
      <c r="AV984">
        <f t="shared" si="46"/>
        <v>869.11900000000003</v>
      </c>
      <c r="AX984">
        <v>731</v>
      </c>
      <c r="AY984">
        <v>793</v>
      </c>
      <c r="AZ984">
        <v>14.5</v>
      </c>
      <c r="BC984" t="s">
        <v>201</v>
      </c>
    </row>
    <row r="985" spans="3:55" x14ac:dyDescent="0.45">
      <c r="C985">
        <v>87.6798</v>
      </c>
      <c r="D985">
        <v>6.04</v>
      </c>
      <c r="E985">
        <v>0</v>
      </c>
      <c r="F985">
        <v>0</v>
      </c>
      <c r="G985">
        <v>0</v>
      </c>
      <c r="H985">
        <v>0.1</v>
      </c>
      <c r="I985">
        <v>0</v>
      </c>
      <c r="J985">
        <v>2.0499999999999998</v>
      </c>
      <c r="K985">
        <v>3.05</v>
      </c>
      <c r="L985">
        <v>1.04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970</v>
      </c>
      <c r="AD985">
        <v>2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f t="shared" si="47"/>
        <v>-3.8559999999999999</v>
      </c>
      <c r="AU985">
        <f t="shared" si="45"/>
        <v>6.3816666666666668</v>
      </c>
      <c r="AV985">
        <f t="shared" si="46"/>
        <v>869.11900000000003</v>
      </c>
      <c r="AX985">
        <v>763</v>
      </c>
      <c r="AY985">
        <v>880</v>
      </c>
      <c r="AZ985">
        <v>12.6</v>
      </c>
      <c r="BC985" t="s">
        <v>201</v>
      </c>
    </row>
    <row r="986" spans="3:55" x14ac:dyDescent="0.45">
      <c r="C986">
        <v>87.6798</v>
      </c>
      <c r="D986">
        <v>6.04</v>
      </c>
      <c r="E986">
        <v>0</v>
      </c>
      <c r="F986">
        <v>0</v>
      </c>
      <c r="G986">
        <v>0</v>
      </c>
      <c r="H986">
        <v>0.1</v>
      </c>
      <c r="I986">
        <v>0</v>
      </c>
      <c r="J986">
        <v>2.0499999999999998</v>
      </c>
      <c r="K986">
        <v>3.05</v>
      </c>
      <c r="L986">
        <v>1.04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970</v>
      </c>
      <c r="AD986">
        <v>2</v>
      </c>
      <c r="AE986">
        <v>1</v>
      </c>
      <c r="AF986">
        <v>0</v>
      </c>
      <c r="AG986">
        <v>0</v>
      </c>
      <c r="AH986">
        <v>600</v>
      </c>
      <c r="AI986">
        <v>5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f t="shared" si="47"/>
        <v>-3.8559999999999999</v>
      </c>
      <c r="AU986">
        <f t="shared" si="45"/>
        <v>6.3816666666666668</v>
      </c>
      <c r="AV986">
        <f t="shared" si="46"/>
        <v>869.11900000000003</v>
      </c>
      <c r="AX986">
        <v>918</v>
      </c>
      <c r="AY986">
        <v>984</v>
      </c>
      <c r="AZ986">
        <v>10.1</v>
      </c>
      <c r="BC986" t="s">
        <v>201</v>
      </c>
    </row>
    <row r="987" spans="3:55" x14ac:dyDescent="0.45">
      <c r="C987">
        <v>80.722999999999999</v>
      </c>
      <c r="D987">
        <v>5.0599999999999996</v>
      </c>
      <c r="E987">
        <v>0</v>
      </c>
      <c r="F987">
        <v>3.62</v>
      </c>
      <c r="G987">
        <v>0</v>
      </c>
      <c r="H987">
        <v>0.47699999999999998</v>
      </c>
      <c r="I987">
        <v>0</v>
      </c>
      <c r="J987">
        <v>0</v>
      </c>
      <c r="K987">
        <v>2.9</v>
      </c>
      <c r="L987">
        <v>7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910</v>
      </c>
      <c r="AD987">
        <v>0.5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f t="shared" si="47"/>
        <v>9.9273000000000025</v>
      </c>
      <c r="AU987">
        <f t="shared" si="45"/>
        <v>5.0599999999999996</v>
      </c>
      <c r="AV987">
        <f t="shared" si="46"/>
        <v>774.9781999999999</v>
      </c>
      <c r="AX987">
        <v>877</v>
      </c>
      <c r="AY987">
        <v>880</v>
      </c>
      <c r="AZ987">
        <v>13.6</v>
      </c>
      <c r="BC987" t="s">
        <v>108</v>
      </c>
    </row>
    <row r="988" spans="3:55" x14ac:dyDescent="0.45">
      <c r="C988">
        <v>80.722999999999999</v>
      </c>
      <c r="D988">
        <v>5.0599999999999996</v>
      </c>
      <c r="E988">
        <v>0</v>
      </c>
      <c r="F988">
        <v>3.62</v>
      </c>
      <c r="G988">
        <v>0</v>
      </c>
      <c r="H988">
        <v>0.47699999999999998</v>
      </c>
      <c r="I988">
        <v>0</v>
      </c>
      <c r="J988">
        <v>0</v>
      </c>
      <c r="K988">
        <v>2.9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850</v>
      </c>
      <c r="AD988">
        <v>0.5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f t="shared" si="47"/>
        <v>9.9273000000000025</v>
      </c>
      <c r="AU988">
        <f t="shared" si="45"/>
        <v>5.0599999999999996</v>
      </c>
      <c r="AV988">
        <f t="shared" si="46"/>
        <v>774.9781999999999</v>
      </c>
      <c r="AX988">
        <v>895</v>
      </c>
      <c r="AY988">
        <v>931</v>
      </c>
      <c r="AZ988">
        <v>8.1999999999999993</v>
      </c>
      <c r="BC988" t="s">
        <v>108</v>
      </c>
    </row>
    <row r="989" spans="3:55" x14ac:dyDescent="0.45">
      <c r="C989">
        <v>80.722999999999999</v>
      </c>
      <c r="D989">
        <v>5.0599999999999996</v>
      </c>
      <c r="E989">
        <v>0</v>
      </c>
      <c r="F989">
        <v>3.62</v>
      </c>
      <c r="G989">
        <v>0</v>
      </c>
      <c r="H989">
        <v>0.47699999999999998</v>
      </c>
      <c r="I989">
        <v>0</v>
      </c>
      <c r="J989">
        <v>0</v>
      </c>
      <c r="K989">
        <v>2.9</v>
      </c>
      <c r="L989">
        <v>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910</v>
      </c>
      <c r="AD989">
        <v>0.5</v>
      </c>
      <c r="AE989">
        <v>1</v>
      </c>
      <c r="AF989">
        <v>0</v>
      </c>
      <c r="AG989">
        <v>0</v>
      </c>
      <c r="AH989">
        <v>560</v>
      </c>
      <c r="AI989">
        <v>6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f t="shared" si="47"/>
        <v>9.9273000000000025</v>
      </c>
      <c r="AU989">
        <f t="shared" si="45"/>
        <v>5.0599999999999996</v>
      </c>
      <c r="AV989">
        <f t="shared" si="46"/>
        <v>774.9781999999999</v>
      </c>
      <c r="AX989">
        <v>1180</v>
      </c>
      <c r="AY989">
        <v>1417</v>
      </c>
      <c r="AZ989">
        <v>1.7</v>
      </c>
      <c r="BC989" t="s">
        <v>108</v>
      </c>
    </row>
    <row r="990" spans="3:55" x14ac:dyDescent="0.45">
      <c r="C990">
        <v>80.722999999999999</v>
      </c>
      <c r="D990">
        <v>5.0599999999999996</v>
      </c>
      <c r="E990">
        <v>0</v>
      </c>
      <c r="F990">
        <v>3.62</v>
      </c>
      <c r="G990">
        <v>0</v>
      </c>
      <c r="H990">
        <v>0.47699999999999998</v>
      </c>
      <c r="I990">
        <v>0</v>
      </c>
      <c r="J990">
        <v>0</v>
      </c>
      <c r="K990">
        <v>2.9</v>
      </c>
      <c r="L990">
        <v>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850</v>
      </c>
      <c r="AD990">
        <v>0.5</v>
      </c>
      <c r="AE990">
        <v>1</v>
      </c>
      <c r="AF990">
        <v>0</v>
      </c>
      <c r="AG990">
        <v>0</v>
      </c>
      <c r="AH990">
        <v>560</v>
      </c>
      <c r="AI990">
        <v>6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f t="shared" si="47"/>
        <v>9.9273000000000025</v>
      </c>
      <c r="AU990">
        <f t="shared" si="45"/>
        <v>5.0599999999999996</v>
      </c>
      <c r="AV990">
        <f t="shared" si="46"/>
        <v>774.9781999999999</v>
      </c>
      <c r="AX990">
        <v>1105</v>
      </c>
      <c r="AY990">
        <v>1366</v>
      </c>
      <c r="AZ990">
        <v>4.5</v>
      </c>
      <c r="BC990" t="s">
        <v>108</v>
      </c>
    </row>
    <row r="991" spans="3:55" x14ac:dyDescent="0.45">
      <c r="C991">
        <v>79.95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7</v>
      </c>
      <c r="K991">
        <v>1</v>
      </c>
      <c r="L991">
        <v>0.8</v>
      </c>
      <c r="M991">
        <v>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f t="shared" si="47"/>
        <v>-4.92</v>
      </c>
      <c r="AU991">
        <f t="shared" si="45"/>
        <v>8.5</v>
      </c>
      <c r="AV991">
        <f t="shared" si="46"/>
        <v>855.5</v>
      </c>
      <c r="AX991">
        <v>1066</v>
      </c>
      <c r="AY991">
        <v>1130</v>
      </c>
      <c r="AZ991">
        <v>1.8</v>
      </c>
      <c r="BC991" t="s">
        <v>108</v>
      </c>
    </row>
    <row r="992" spans="3:55" x14ac:dyDescent="0.45">
      <c r="C992">
        <v>77.95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9</v>
      </c>
      <c r="K992">
        <v>1</v>
      </c>
      <c r="L992">
        <v>0.8</v>
      </c>
      <c r="M992">
        <v>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f t="shared" si="47"/>
        <v>-4.92</v>
      </c>
      <c r="AU992">
        <f t="shared" si="45"/>
        <v>8.8333333333333339</v>
      </c>
      <c r="AV992">
        <f t="shared" si="46"/>
        <v>841.69999999999993</v>
      </c>
      <c r="AX992">
        <v>985</v>
      </c>
      <c r="AY992">
        <v>1068</v>
      </c>
      <c r="AZ992">
        <v>1.1399999999999999</v>
      </c>
      <c r="BC992" t="s">
        <v>108</v>
      </c>
    </row>
    <row r="993" spans="3:55" x14ac:dyDescent="0.45">
      <c r="C993">
        <v>75.95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11</v>
      </c>
      <c r="K993">
        <v>1</v>
      </c>
      <c r="L993">
        <v>0.8</v>
      </c>
      <c r="M993">
        <v>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f t="shared" si="47"/>
        <v>-4.92</v>
      </c>
      <c r="AU993">
        <f t="shared" si="45"/>
        <v>9.1666666666666661</v>
      </c>
      <c r="AV993">
        <f t="shared" si="46"/>
        <v>827.9</v>
      </c>
      <c r="AX993">
        <v>963</v>
      </c>
      <c r="AY993">
        <v>1050</v>
      </c>
      <c r="AZ993">
        <v>1.7</v>
      </c>
      <c r="BC993" t="s">
        <v>108</v>
      </c>
    </row>
    <row r="994" spans="3:55" x14ac:dyDescent="0.45">
      <c r="C994">
        <v>81.3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6.3</v>
      </c>
      <c r="K994">
        <v>3.1</v>
      </c>
      <c r="L994">
        <v>3.1</v>
      </c>
      <c r="M994">
        <v>3.1</v>
      </c>
      <c r="N994">
        <v>0</v>
      </c>
      <c r="O994">
        <v>3.1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f t="shared" si="47"/>
        <v>4.6500000000000004</v>
      </c>
      <c r="AU994">
        <f t="shared" si="45"/>
        <v>2.0833333333333335</v>
      </c>
      <c r="AV994">
        <f t="shared" si="46"/>
        <v>822.09999999999991</v>
      </c>
      <c r="AW994">
        <v>49</v>
      </c>
    </row>
    <row r="995" spans="3:55" x14ac:dyDescent="0.45">
      <c r="C995">
        <v>79.400000000000006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2.9</v>
      </c>
      <c r="K995">
        <v>8.8000000000000007</v>
      </c>
      <c r="L995">
        <v>1.8</v>
      </c>
      <c r="M995">
        <v>4.2</v>
      </c>
      <c r="N995">
        <v>0</v>
      </c>
      <c r="O995">
        <v>2.9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f t="shared" si="47"/>
        <v>4.9020000000000001</v>
      </c>
      <c r="AU995">
        <f t="shared" si="45"/>
        <v>1.8833333333333335</v>
      </c>
      <c r="AV995">
        <f t="shared" si="46"/>
        <v>862.53</v>
      </c>
      <c r="AW995">
        <v>46</v>
      </c>
    </row>
    <row r="996" spans="3:55" x14ac:dyDescent="0.45">
      <c r="C996">
        <v>78.2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2.5</v>
      </c>
      <c r="K996">
        <v>16.399999999999999</v>
      </c>
      <c r="L996">
        <v>0.6</v>
      </c>
      <c r="M996">
        <v>2</v>
      </c>
      <c r="N996">
        <v>0</v>
      </c>
      <c r="O996">
        <v>0.3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f t="shared" si="47"/>
        <v>5.2579999999999991</v>
      </c>
      <c r="AU996">
        <f t="shared" si="45"/>
        <v>1.0833333333333333</v>
      </c>
      <c r="AV996">
        <f t="shared" si="46"/>
        <v>867.44999999999993</v>
      </c>
      <c r="AW996">
        <v>47.3</v>
      </c>
    </row>
    <row r="997" spans="3:55" x14ac:dyDescent="0.45">
      <c r="C997">
        <v>81.3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6.3</v>
      </c>
      <c r="K997">
        <v>3.1</v>
      </c>
      <c r="L997">
        <v>3.1</v>
      </c>
      <c r="M997">
        <v>3.1</v>
      </c>
      <c r="N997">
        <v>0</v>
      </c>
      <c r="O997">
        <v>3.1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f t="shared" si="47"/>
        <v>4.6500000000000004</v>
      </c>
      <c r="AU997">
        <f t="shared" si="45"/>
        <v>2.0833333333333335</v>
      </c>
      <c r="AV997">
        <f t="shared" si="46"/>
        <v>822.09999999999991</v>
      </c>
      <c r="AW997">
        <v>49</v>
      </c>
    </row>
    <row r="998" spans="3:55" x14ac:dyDescent="0.45">
      <c r="C998">
        <v>79.400000000000006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2.9</v>
      </c>
      <c r="K998">
        <v>8.8000000000000007</v>
      </c>
      <c r="L998">
        <v>1.8</v>
      </c>
      <c r="M998">
        <v>4.0999999999999996</v>
      </c>
      <c r="N998">
        <v>0</v>
      </c>
      <c r="O998">
        <v>2.9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f t="shared" si="47"/>
        <v>4.9020000000000001</v>
      </c>
      <c r="AU998">
        <f t="shared" si="45"/>
        <v>1.8499999999999999</v>
      </c>
      <c r="AV998">
        <f t="shared" si="46"/>
        <v>862.11</v>
      </c>
      <c r="AW998">
        <v>46</v>
      </c>
    </row>
    <row r="999" spans="3:55" x14ac:dyDescent="0.45">
      <c r="C999">
        <v>86.69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3.6</v>
      </c>
      <c r="K999">
        <v>0.18</v>
      </c>
      <c r="L999">
        <v>0</v>
      </c>
      <c r="M999">
        <v>2.8</v>
      </c>
      <c r="N999">
        <v>0</v>
      </c>
      <c r="O999">
        <v>0.36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950</v>
      </c>
      <c r="AD999">
        <v>1</v>
      </c>
      <c r="AE999">
        <v>1</v>
      </c>
      <c r="AF999">
        <v>0</v>
      </c>
      <c r="AG999">
        <v>0</v>
      </c>
      <c r="AH999">
        <v>650</v>
      </c>
      <c r="AI999">
        <v>6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f t="shared" si="47"/>
        <v>-5.8704000000000001</v>
      </c>
      <c r="AU999">
        <f t="shared" si="45"/>
        <v>7.5333333333333332</v>
      </c>
      <c r="AV999">
        <f t="shared" si="46"/>
        <v>881.52</v>
      </c>
      <c r="AX999">
        <v>970</v>
      </c>
      <c r="AY999">
        <v>1032</v>
      </c>
      <c r="AZ999">
        <v>2.7</v>
      </c>
      <c r="BC999" t="s">
        <v>108</v>
      </c>
    </row>
    <row r="1000" spans="3:55" x14ac:dyDescent="0.45">
      <c r="C1000">
        <v>82.97</v>
      </c>
      <c r="D1000">
        <v>6.42</v>
      </c>
      <c r="E1000">
        <v>0</v>
      </c>
      <c r="F1000">
        <v>1.26</v>
      </c>
      <c r="G1000">
        <v>0</v>
      </c>
      <c r="H1000">
        <v>0</v>
      </c>
      <c r="I1000">
        <v>0</v>
      </c>
      <c r="J1000">
        <v>2.25</v>
      </c>
      <c r="K1000">
        <v>1.93</v>
      </c>
      <c r="L1000">
        <v>3.05</v>
      </c>
      <c r="M1000">
        <v>2.12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f t="shared" si="47"/>
        <v>-0.8136000000000001</v>
      </c>
      <c r="AU1000">
        <f t="shared" si="45"/>
        <v>7.5016666666666669</v>
      </c>
      <c r="AV1000">
        <f t="shared" si="46"/>
        <v>844.64</v>
      </c>
      <c r="AX1000">
        <v>908</v>
      </c>
      <c r="AY1000">
        <v>1043</v>
      </c>
      <c r="AZ1000">
        <v>9.4</v>
      </c>
      <c r="BC1000" t="s">
        <v>204</v>
      </c>
    </row>
    <row r="1001" spans="3:55" x14ac:dyDescent="0.45">
      <c r="C1001">
        <v>82.97</v>
      </c>
      <c r="D1001">
        <v>6.42</v>
      </c>
      <c r="E1001">
        <v>0</v>
      </c>
      <c r="F1001">
        <v>1.26</v>
      </c>
      <c r="G1001">
        <v>0</v>
      </c>
      <c r="H1001">
        <v>0</v>
      </c>
      <c r="I1001">
        <v>0</v>
      </c>
      <c r="J1001">
        <v>2.25</v>
      </c>
      <c r="K1001">
        <v>1.93</v>
      </c>
      <c r="L1001">
        <v>3.05</v>
      </c>
      <c r="M1001">
        <v>2.12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900</v>
      </c>
      <c r="AD1001">
        <v>2</v>
      </c>
      <c r="AE1001">
        <v>0</v>
      </c>
      <c r="AF1001">
        <v>1</v>
      </c>
      <c r="AG1001">
        <v>0</v>
      </c>
      <c r="AH1001">
        <v>590</v>
      </c>
      <c r="AI1001">
        <v>4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f t="shared" si="47"/>
        <v>-0.8136000000000001</v>
      </c>
      <c r="AU1001">
        <f t="shared" si="45"/>
        <v>7.5016666666666669</v>
      </c>
      <c r="AV1001">
        <f t="shared" si="46"/>
        <v>844.64</v>
      </c>
      <c r="AX1001">
        <v>1063</v>
      </c>
      <c r="AY1001">
        <v>1181</v>
      </c>
      <c r="AZ1001">
        <v>6.6</v>
      </c>
      <c r="BC1001" t="s">
        <v>204</v>
      </c>
    </row>
    <row r="1002" spans="3:55" x14ac:dyDescent="0.45">
      <c r="C1002">
        <v>82.97</v>
      </c>
      <c r="D1002">
        <v>6.42</v>
      </c>
      <c r="E1002">
        <v>0</v>
      </c>
      <c r="F1002">
        <v>1.26</v>
      </c>
      <c r="G1002">
        <v>0</v>
      </c>
      <c r="H1002">
        <v>0</v>
      </c>
      <c r="I1002">
        <v>0</v>
      </c>
      <c r="J1002">
        <v>2.25</v>
      </c>
      <c r="K1002">
        <v>1.93</v>
      </c>
      <c r="L1002">
        <v>3.05</v>
      </c>
      <c r="M1002">
        <v>2.12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915</v>
      </c>
      <c r="AD1002">
        <v>2</v>
      </c>
      <c r="AE1002">
        <v>0</v>
      </c>
      <c r="AF1002">
        <v>1</v>
      </c>
      <c r="AG1002">
        <v>0</v>
      </c>
      <c r="AH1002">
        <v>590</v>
      </c>
      <c r="AI1002">
        <v>4</v>
      </c>
      <c r="AJ1002">
        <v>0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f t="shared" si="47"/>
        <v>-0.8136000000000001</v>
      </c>
      <c r="AU1002">
        <f t="shared" si="45"/>
        <v>7.5016666666666669</v>
      </c>
      <c r="AV1002">
        <f t="shared" si="46"/>
        <v>844.64</v>
      </c>
      <c r="AX1002">
        <v>1086</v>
      </c>
      <c r="AY1002">
        <v>1213</v>
      </c>
      <c r="AZ1002">
        <v>5.6</v>
      </c>
      <c r="BC1002" t="s">
        <v>204</v>
      </c>
    </row>
    <row r="1003" spans="3:55" x14ac:dyDescent="0.45">
      <c r="C1003">
        <v>82.97</v>
      </c>
      <c r="D1003">
        <v>6.42</v>
      </c>
      <c r="E1003">
        <v>0</v>
      </c>
      <c r="F1003">
        <v>1.26</v>
      </c>
      <c r="G1003">
        <v>0</v>
      </c>
      <c r="H1003">
        <v>0</v>
      </c>
      <c r="I1003">
        <v>0</v>
      </c>
      <c r="J1003">
        <v>2.25</v>
      </c>
      <c r="K1003">
        <v>1.93</v>
      </c>
      <c r="L1003">
        <v>3.05</v>
      </c>
      <c r="M1003">
        <v>2.12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930</v>
      </c>
      <c r="AD1003">
        <v>2</v>
      </c>
      <c r="AE1003">
        <v>0</v>
      </c>
      <c r="AF1003">
        <v>1</v>
      </c>
      <c r="AG1003">
        <v>0</v>
      </c>
      <c r="AH1003">
        <v>590</v>
      </c>
      <c r="AI1003">
        <v>4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f t="shared" si="47"/>
        <v>-0.8136000000000001</v>
      </c>
      <c r="AU1003">
        <f t="shared" si="45"/>
        <v>7.5016666666666669</v>
      </c>
      <c r="AV1003">
        <f t="shared" si="46"/>
        <v>844.64</v>
      </c>
      <c r="AX1003">
        <v>1101</v>
      </c>
      <c r="AY1003">
        <v>1244</v>
      </c>
      <c r="AZ1003">
        <v>4.3</v>
      </c>
      <c r="BC1003" t="s">
        <v>204</v>
      </c>
    </row>
    <row r="1004" spans="3:55" x14ac:dyDescent="0.45">
      <c r="C1004">
        <v>82.97</v>
      </c>
      <c r="D1004">
        <v>6.42</v>
      </c>
      <c r="E1004">
        <v>0</v>
      </c>
      <c r="F1004">
        <v>1.26</v>
      </c>
      <c r="G1004">
        <v>0</v>
      </c>
      <c r="H1004">
        <v>0</v>
      </c>
      <c r="I1004">
        <v>0</v>
      </c>
      <c r="J1004">
        <v>2.25</v>
      </c>
      <c r="K1004">
        <v>1.93</v>
      </c>
      <c r="L1004">
        <v>3.05</v>
      </c>
      <c r="M1004">
        <v>2.12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945</v>
      </c>
      <c r="AD1004">
        <v>2</v>
      </c>
      <c r="AE1004">
        <v>0</v>
      </c>
      <c r="AF1004">
        <v>1</v>
      </c>
      <c r="AG1004">
        <v>0</v>
      </c>
      <c r="AH1004">
        <v>590</v>
      </c>
      <c r="AI1004">
        <v>4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f t="shared" si="47"/>
        <v>-0.8136000000000001</v>
      </c>
      <c r="AU1004">
        <f t="shared" si="45"/>
        <v>7.5016666666666669</v>
      </c>
      <c r="AV1004">
        <f t="shared" si="46"/>
        <v>844.64</v>
      </c>
      <c r="AX1004">
        <v>1140</v>
      </c>
      <c r="AY1004">
        <v>1266</v>
      </c>
      <c r="AZ1004">
        <v>5.5</v>
      </c>
      <c r="BC1004" t="s">
        <v>204</v>
      </c>
    </row>
    <row r="1005" spans="3:55" x14ac:dyDescent="0.45">
      <c r="C1005">
        <v>82.97</v>
      </c>
      <c r="D1005">
        <v>6.42</v>
      </c>
      <c r="E1005">
        <v>0</v>
      </c>
      <c r="F1005">
        <v>1.26</v>
      </c>
      <c r="G1005">
        <v>0</v>
      </c>
      <c r="H1005">
        <v>0</v>
      </c>
      <c r="I1005">
        <v>0</v>
      </c>
      <c r="J1005">
        <v>2.25</v>
      </c>
      <c r="K1005">
        <v>1.93</v>
      </c>
      <c r="L1005">
        <v>3.05</v>
      </c>
      <c r="M1005">
        <v>2.12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930</v>
      </c>
      <c r="AD1005">
        <v>2</v>
      </c>
      <c r="AE1005">
        <v>0</v>
      </c>
      <c r="AF1005">
        <v>1</v>
      </c>
      <c r="AG1005">
        <v>0</v>
      </c>
      <c r="AH1005">
        <v>590</v>
      </c>
      <c r="AI1005">
        <v>2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f t="shared" si="47"/>
        <v>-0.8136000000000001</v>
      </c>
      <c r="AU1005">
        <f t="shared" si="45"/>
        <v>7.5016666666666669</v>
      </c>
      <c r="AV1005">
        <f t="shared" si="46"/>
        <v>844.64</v>
      </c>
      <c r="AX1005">
        <v>1107.5999999999999</v>
      </c>
      <c r="AY1005">
        <v>1237.8</v>
      </c>
      <c r="AZ1005">
        <v>3.74</v>
      </c>
      <c r="BC1005" t="s">
        <v>204</v>
      </c>
    </row>
    <row r="1006" spans="3:55" x14ac:dyDescent="0.45">
      <c r="C1006">
        <v>82.97</v>
      </c>
      <c r="D1006">
        <v>6.42</v>
      </c>
      <c r="E1006">
        <v>0</v>
      </c>
      <c r="F1006">
        <v>1.26</v>
      </c>
      <c r="G1006">
        <v>0</v>
      </c>
      <c r="H1006">
        <v>0</v>
      </c>
      <c r="I1006">
        <v>0</v>
      </c>
      <c r="J1006">
        <v>2.25</v>
      </c>
      <c r="K1006">
        <v>1.93</v>
      </c>
      <c r="L1006">
        <v>3.05</v>
      </c>
      <c r="M1006">
        <v>2.12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930</v>
      </c>
      <c r="AD1006">
        <v>2</v>
      </c>
      <c r="AE1006">
        <v>0</v>
      </c>
      <c r="AF1006">
        <v>1</v>
      </c>
      <c r="AG1006">
        <v>0</v>
      </c>
      <c r="AH1006">
        <v>590</v>
      </c>
      <c r="AI1006">
        <v>4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f t="shared" si="47"/>
        <v>-0.8136000000000001</v>
      </c>
      <c r="AU1006">
        <f t="shared" si="45"/>
        <v>7.5016666666666669</v>
      </c>
      <c r="AV1006">
        <f t="shared" si="46"/>
        <v>844.64</v>
      </c>
      <c r="AX1006">
        <v>1094.4000000000001</v>
      </c>
      <c r="AY1006">
        <v>1237</v>
      </c>
      <c r="AZ1006">
        <v>4.3</v>
      </c>
      <c r="BC1006" t="s">
        <v>204</v>
      </c>
    </row>
    <row r="1007" spans="3:55" x14ac:dyDescent="0.45">
      <c r="C1007">
        <v>82.97</v>
      </c>
      <c r="D1007">
        <v>6.42</v>
      </c>
      <c r="E1007">
        <v>0</v>
      </c>
      <c r="F1007">
        <v>1.26</v>
      </c>
      <c r="G1007">
        <v>0</v>
      </c>
      <c r="H1007">
        <v>0</v>
      </c>
      <c r="I1007">
        <v>0</v>
      </c>
      <c r="J1007">
        <v>2.25</v>
      </c>
      <c r="K1007">
        <v>1.93</v>
      </c>
      <c r="L1007">
        <v>3.05</v>
      </c>
      <c r="M1007">
        <v>2.12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930</v>
      </c>
      <c r="AD1007">
        <v>2</v>
      </c>
      <c r="AE1007">
        <v>0</v>
      </c>
      <c r="AF1007">
        <v>1</v>
      </c>
      <c r="AG1007">
        <v>0</v>
      </c>
      <c r="AH1007">
        <v>590</v>
      </c>
      <c r="AI1007">
        <v>6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f t="shared" si="47"/>
        <v>-0.8136000000000001</v>
      </c>
      <c r="AU1007">
        <f t="shared" si="45"/>
        <v>7.5016666666666669</v>
      </c>
      <c r="AV1007">
        <f t="shared" si="46"/>
        <v>844.64</v>
      </c>
      <c r="AX1007">
        <v>1123</v>
      </c>
      <c r="AY1007">
        <v>1248.5999999999999</v>
      </c>
      <c r="AZ1007">
        <v>5.55</v>
      </c>
      <c r="BC1007" t="s">
        <v>204</v>
      </c>
    </row>
    <row r="1008" spans="3:55" x14ac:dyDescent="0.45">
      <c r="C1008">
        <v>82.97</v>
      </c>
      <c r="D1008">
        <v>6.42</v>
      </c>
      <c r="E1008">
        <v>0</v>
      </c>
      <c r="F1008">
        <v>1.26</v>
      </c>
      <c r="G1008">
        <v>0</v>
      </c>
      <c r="H1008">
        <v>0</v>
      </c>
      <c r="I1008">
        <v>0</v>
      </c>
      <c r="J1008">
        <v>2.25</v>
      </c>
      <c r="K1008">
        <v>1.93</v>
      </c>
      <c r="L1008">
        <v>3.05</v>
      </c>
      <c r="M1008">
        <v>2.12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930</v>
      </c>
      <c r="AD1008">
        <v>2</v>
      </c>
      <c r="AE1008">
        <v>0</v>
      </c>
      <c r="AF1008">
        <v>1</v>
      </c>
      <c r="AG1008">
        <v>0</v>
      </c>
      <c r="AH1008">
        <v>590</v>
      </c>
      <c r="AI1008">
        <v>8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f t="shared" si="47"/>
        <v>-0.8136000000000001</v>
      </c>
      <c r="AU1008">
        <f t="shared" si="45"/>
        <v>7.5016666666666669</v>
      </c>
      <c r="AV1008">
        <f t="shared" si="46"/>
        <v>844.64</v>
      </c>
      <c r="AX1008">
        <v>1119.2</v>
      </c>
      <c r="AY1008">
        <v>1226</v>
      </c>
      <c r="AZ1008">
        <v>4.13</v>
      </c>
      <c r="BC1008" t="s">
        <v>204</v>
      </c>
    </row>
    <row r="1009" spans="3:55" x14ac:dyDescent="0.45">
      <c r="C1009">
        <v>82.97</v>
      </c>
      <c r="D1009">
        <v>6.42</v>
      </c>
      <c r="E1009">
        <v>0</v>
      </c>
      <c r="F1009">
        <v>1.26</v>
      </c>
      <c r="G1009">
        <v>0</v>
      </c>
      <c r="H1009">
        <v>0</v>
      </c>
      <c r="I1009">
        <v>0</v>
      </c>
      <c r="J1009">
        <v>2.25</v>
      </c>
      <c r="K1009">
        <v>1.93</v>
      </c>
      <c r="L1009">
        <v>3.05</v>
      </c>
      <c r="M1009">
        <v>2.12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930</v>
      </c>
      <c r="AD1009">
        <v>2</v>
      </c>
      <c r="AE1009">
        <v>0</v>
      </c>
      <c r="AF1009">
        <v>1</v>
      </c>
      <c r="AG1009">
        <v>0</v>
      </c>
      <c r="AH1009">
        <v>500</v>
      </c>
      <c r="AI1009">
        <v>4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f t="shared" si="47"/>
        <v>-0.8136000000000001</v>
      </c>
      <c r="AU1009">
        <f t="shared" si="45"/>
        <v>7.5016666666666669</v>
      </c>
      <c r="AV1009">
        <f t="shared" si="46"/>
        <v>844.64</v>
      </c>
      <c r="AX1009">
        <v>1108</v>
      </c>
      <c r="AY1009">
        <v>1255</v>
      </c>
      <c r="AZ1009">
        <v>2.5</v>
      </c>
      <c r="BC1009" t="s">
        <v>204</v>
      </c>
    </row>
    <row r="1010" spans="3:55" x14ac:dyDescent="0.45">
      <c r="C1010">
        <v>82.97</v>
      </c>
      <c r="D1010">
        <v>6.42</v>
      </c>
      <c r="E1010">
        <v>0</v>
      </c>
      <c r="F1010">
        <v>1.26</v>
      </c>
      <c r="G1010">
        <v>0</v>
      </c>
      <c r="H1010">
        <v>0</v>
      </c>
      <c r="I1010">
        <v>0</v>
      </c>
      <c r="J1010">
        <v>2.25</v>
      </c>
      <c r="K1010">
        <v>1.93</v>
      </c>
      <c r="L1010">
        <v>3.05</v>
      </c>
      <c r="M1010">
        <v>2.12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930</v>
      </c>
      <c r="AD1010">
        <v>2</v>
      </c>
      <c r="AE1010">
        <v>0</v>
      </c>
      <c r="AF1010">
        <v>1</v>
      </c>
      <c r="AG1010">
        <v>0</v>
      </c>
      <c r="AH1010">
        <v>530</v>
      </c>
      <c r="AI1010">
        <v>4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f t="shared" si="47"/>
        <v>-0.8136000000000001</v>
      </c>
      <c r="AU1010">
        <f t="shared" si="45"/>
        <v>7.5016666666666669</v>
      </c>
      <c r="AV1010">
        <f t="shared" si="46"/>
        <v>844.64</v>
      </c>
      <c r="AX1010">
        <v>1109</v>
      </c>
      <c r="AY1010">
        <v>1261</v>
      </c>
      <c r="AZ1010">
        <v>5.35</v>
      </c>
      <c r="BC1010" t="s">
        <v>204</v>
      </c>
    </row>
    <row r="1011" spans="3:55" x14ac:dyDescent="0.45">
      <c r="C1011">
        <v>82.97</v>
      </c>
      <c r="D1011">
        <v>6.42</v>
      </c>
      <c r="E1011">
        <v>0</v>
      </c>
      <c r="F1011">
        <v>1.26</v>
      </c>
      <c r="G1011">
        <v>0</v>
      </c>
      <c r="H1011">
        <v>0</v>
      </c>
      <c r="I1011">
        <v>0</v>
      </c>
      <c r="J1011">
        <v>2.25</v>
      </c>
      <c r="K1011">
        <v>1.93</v>
      </c>
      <c r="L1011">
        <v>3.05</v>
      </c>
      <c r="M1011">
        <v>2.12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930</v>
      </c>
      <c r="AD1011">
        <v>2</v>
      </c>
      <c r="AE1011">
        <v>0</v>
      </c>
      <c r="AF1011">
        <v>1</v>
      </c>
      <c r="AG1011">
        <v>0</v>
      </c>
      <c r="AH1011">
        <v>560</v>
      </c>
      <c r="AI1011">
        <v>4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f t="shared" si="47"/>
        <v>-0.8136000000000001</v>
      </c>
      <c r="AU1011">
        <f t="shared" si="45"/>
        <v>7.5016666666666669</v>
      </c>
      <c r="AV1011">
        <f t="shared" si="46"/>
        <v>844.64</v>
      </c>
      <c r="AX1011">
        <v>1124</v>
      </c>
      <c r="AY1011">
        <v>1265</v>
      </c>
      <c r="AZ1011">
        <v>2.94</v>
      </c>
      <c r="BC1011" t="s">
        <v>204</v>
      </c>
    </row>
    <row r="1012" spans="3:55" x14ac:dyDescent="0.45">
      <c r="C1012">
        <v>82.97</v>
      </c>
      <c r="D1012">
        <v>6.42</v>
      </c>
      <c r="E1012">
        <v>0</v>
      </c>
      <c r="F1012">
        <v>1.26</v>
      </c>
      <c r="G1012">
        <v>0</v>
      </c>
      <c r="H1012">
        <v>0</v>
      </c>
      <c r="I1012">
        <v>0</v>
      </c>
      <c r="J1012">
        <v>2.25</v>
      </c>
      <c r="K1012">
        <v>1.93</v>
      </c>
      <c r="L1012">
        <v>3.05</v>
      </c>
      <c r="M1012">
        <v>2.12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930</v>
      </c>
      <c r="AD1012">
        <v>2</v>
      </c>
      <c r="AE1012">
        <v>0</v>
      </c>
      <c r="AF1012">
        <v>1</v>
      </c>
      <c r="AG1012">
        <v>0</v>
      </c>
      <c r="AH1012">
        <v>590</v>
      </c>
      <c r="AI1012">
        <v>4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f t="shared" si="47"/>
        <v>-0.8136000000000001</v>
      </c>
      <c r="AU1012">
        <f t="shared" si="45"/>
        <v>7.5016666666666669</v>
      </c>
      <c r="AV1012">
        <f t="shared" si="46"/>
        <v>844.64</v>
      </c>
      <c r="AX1012">
        <v>1095</v>
      </c>
      <c r="AY1012">
        <v>1238</v>
      </c>
      <c r="AZ1012">
        <v>4.3600000000000003</v>
      </c>
      <c r="BC1012" t="s">
        <v>204</v>
      </c>
    </row>
    <row r="1013" spans="3:55" x14ac:dyDescent="0.45">
      <c r="C1013">
        <v>83.4</v>
      </c>
      <c r="D1013">
        <v>6</v>
      </c>
      <c r="E1013">
        <v>0</v>
      </c>
      <c r="F1013">
        <v>1.5</v>
      </c>
      <c r="G1013">
        <v>0</v>
      </c>
      <c r="H1013">
        <v>0</v>
      </c>
      <c r="I1013">
        <v>0</v>
      </c>
      <c r="J1013">
        <v>2</v>
      </c>
      <c r="K1013">
        <v>2</v>
      </c>
      <c r="L1013">
        <v>3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850</v>
      </c>
      <c r="AD1013">
        <v>1</v>
      </c>
      <c r="AE1013">
        <v>0</v>
      </c>
      <c r="AF1013">
        <v>1</v>
      </c>
      <c r="AG1013">
        <v>0</v>
      </c>
      <c r="AH1013">
        <v>600</v>
      </c>
      <c r="AI1013">
        <v>4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f t="shared" si="47"/>
        <v>-3.9999999999999147E-2</v>
      </c>
      <c r="AU1013">
        <f t="shared" si="45"/>
        <v>7</v>
      </c>
      <c r="AV1013">
        <f t="shared" si="46"/>
        <v>842.55000000000007</v>
      </c>
      <c r="AX1013">
        <v>1136</v>
      </c>
      <c r="AY1013">
        <v>1213</v>
      </c>
      <c r="AZ1013">
        <v>10</v>
      </c>
      <c r="BC1013" t="s">
        <v>205</v>
      </c>
    </row>
    <row r="1014" spans="3:55" x14ac:dyDescent="0.45">
      <c r="C1014">
        <v>83.4</v>
      </c>
      <c r="D1014">
        <v>6</v>
      </c>
      <c r="E1014">
        <v>0</v>
      </c>
      <c r="F1014">
        <v>1.5</v>
      </c>
      <c r="G1014">
        <v>0</v>
      </c>
      <c r="H1014">
        <v>0</v>
      </c>
      <c r="I1014">
        <v>0</v>
      </c>
      <c r="J1014">
        <v>2</v>
      </c>
      <c r="K1014">
        <v>2</v>
      </c>
      <c r="L1014">
        <v>3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900</v>
      </c>
      <c r="AD1014">
        <v>1</v>
      </c>
      <c r="AE1014">
        <v>0</v>
      </c>
      <c r="AF1014">
        <v>1</v>
      </c>
      <c r="AG1014">
        <v>0</v>
      </c>
      <c r="AH1014">
        <v>600</v>
      </c>
      <c r="AI1014">
        <v>4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f t="shared" si="47"/>
        <v>-3.9999999999999147E-2</v>
      </c>
      <c r="AU1014">
        <f t="shared" si="45"/>
        <v>7</v>
      </c>
      <c r="AV1014">
        <f t="shared" si="46"/>
        <v>842.55000000000007</v>
      </c>
      <c r="AX1014">
        <v>1248</v>
      </c>
      <c r="AY1014">
        <v>1340</v>
      </c>
      <c r="AZ1014">
        <v>9</v>
      </c>
      <c r="BC1014" t="s">
        <v>205</v>
      </c>
    </row>
    <row r="1015" spans="3:55" x14ac:dyDescent="0.45">
      <c r="C1015">
        <v>83.4</v>
      </c>
      <c r="D1015">
        <v>6</v>
      </c>
      <c r="E1015">
        <v>0</v>
      </c>
      <c r="F1015">
        <v>1.5</v>
      </c>
      <c r="G1015">
        <v>0</v>
      </c>
      <c r="H1015">
        <v>0</v>
      </c>
      <c r="I1015">
        <v>0</v>
      </c>
      <c r="J1015">
        <v>2</v>
      </c>
      <c r="K1015">
        <v>2</v>
      </c>
      <c r="L1015">
        <v>3</v>
      </c>
      <c r="M1015">
        <v>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920</v>
      </c>
      <c r="AD1015">
        <v>1</v>
      </c>
      <c r="AE1015">
        <v>0</v>
      </c>
      <c r="AF1015">
        <v>1</v>
      </c>
      <c r="AG1015">
        <v>0</v>
      </c>
      <c r="AH1015">
        <v>600</v>
      </c>
      <c r="AI1015">
        <v>4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f t="shared" si="47"/>
        <v>-3.9999999999999147E-2</v>
      </c>
      <c r="AU1015">
        <f t="shared" si="45"/>
        <v>7</v>
      </c>
      <c r="AV1015">
        <f t="shared" si="46"/>
        <v>842.55000000000007</v>
      </c>
      <c r="AX1015">
        <v>1175</v>
      </c>
      <c r="AY1015">
        <v>1259</v>
      </c>
      <c r="AZ1015">
        <v>8</v>
      </c>
      <c r="BC1015" t="s">
        <v>205</v>
      </c>
    </row>
    <row r="1016" spans="3:55" x14ac:dyDescent="0.45">
      <c r="C1016">
        <v>83.4</v>
      </c>
      <c r="D1016">
        <v>6</v>
      </c>
      <c r="E1016">
        <v>0</v>
      </c>
      <c r="F1016">
        <v>1.5</v>
      </c>
      <c r="G1016">
        <v>0</v>
      </c>
      <c r="H1016">
        <v>0</v>
      </c>
      <c r="I1016">
        <v>0</v>
      </c>
      <c r="J1016">
        <v>2</v>
      </c>
      <c r="K1016">
        <v>2</v>
      </c>
      <c r="L1016">
        <v>3</v>
      </c>
      <c r="M1016">
        <v>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920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f t="shared" si="47"/>
        <v>-3.9999999999999147E-2</v>
      </c>
      <c r="AU1016">
        <f t="shared" si="45"/>
        <v>7</v>
      </c>
      <c r="AV1016">
        <f t="shared" si="46"/>
        <v>842.55000000000007</v>
      </c>
      <c r="AX1016">
        <v>943</v>
      </c>
      <c r="AY1016">
        <v>1018</v>
      </c>
      <c r="AZ1016">
        <v>20</v>
      </c>
      <c r="BC1016" t="s">
        <v>205</v>
      </c>
    </row>
    <row r="1017" spans="3:55" x14ac:dyDescent="0.45">
      <c r="C1017">
        <v>83.4</v>
      </c>
      <c r="D1017">
        <v>6</v>
      </c>
      <c r="E1017">
        <v>0</v>
      </c>
      <c r="F1017">
        <v>1.5</v>
      </c>
      <c r="G1017">
        <v>0</v>
      </c>
      <c r="H1017">
        <v>0</v>
      </c>
      <c r="I1017">
        <v>0</v>
      </c>
      <c r="J1017">
        <v>2</v>
      </c>
      <c r="K1017">
        <v>2</v>
      </c>
      <c r="L1017">
        <v>3</v>
      </c>
      <c r="M1017">
        <v>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970</v>
      </c>
      <c r="AD1017">
        <v>1</v>
      </c>
      <c r="AE1017">
        <v>0</v>
      </c>
      <c r="AF1017">
        <v>1</v>
      </c>
      <c r="AG1017">
        <v>0</v>
      </c>
      <c r="AH1017">
        <v>600</v>
      </c>
      <c r="AI1017">
        <v>4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f t="shared" si="47"/>
        <v>-3.9999999999999147E-2</v>
      </c>
      <c r="AU1017">
        <f t="shared" si="45"/>
        <v>7</v>
      </c>
      <c r="AV1017">
        <f t="shared" si="46"/>
        <v>842.55000000000007</v>
      </c>
      <c r="AX1017">
        <v>1299</v>
      </c>
      <c r="AY1017">
        <v>1318</v>
      </c>
      <c r="AZ1017">
        <v>1</v>
      </c>
      <c r="BC1017" t="s">
        <v>205</v>
      </c>
    </row>
    <row r="1018" spans="3:55" x14ac:dyDescent="0.45">
      <c r="C1018">
        <v>83.4</v>
      </c>
      <c r="D1018">
        <v>6</v>
      </c>
      <c r="E1018">
        <v>0</v>
      </c>
      <c r="F1018">
        <v>1.5</v>
      </c>
      <c r="G1018">
        <v>0</v>
      </c>
      <c r="H1018">
        <v>0</v>
      </c>
      <c r="I1018">
        <v>0</v>
      </c>
      <c r="J1018">
        <v>2</v>
      </c>
      <c r="K1018">
        <v>2</v>
      </c>
      <c r="L1018">
        <v>3</v>
      </c>
      <c r="M1018">
        <v>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970</v>
      </c>
      <c r="AD1018">
        <v>1</v>
      </c>
      <c r="AE1018">
        <v>0</v>
      </c>
      <c r="AF1018">
        <v>0</v>
      </c>
      <c r="AG1018">
        <v>0</v>
      </c>
      <c r="AH1018">
        <v>600</v>
      </c>
      <c r="AI1018">
        <v>4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f t="shared" si="47"/>
        <v>-3.9999999999999147E-2</v>
      </c>
      <c r="AU1018">
        <f t="shared" si="45"/>
        <v>7</v>
      </c>
      <c r="AV1018">
        <f t="shared" si="46"/>
        <v>842.55000000000007</v>
      </c>
      <c r="AX1018">
        <v>938</v>
      </c>
      <c r="AY1018">
        <v>1064</v>
      </c>
      <c r="AZ1018">
        <v>9</v>
      </c>
      <c r="BB1018" t="s">
        <v>356</v>
      </c>
      <c r="BC1018" t="s">
        <v>205</v>
      </c>
    </row>
    <row r="1019" spans="3:55" x14ac:dyDescent="0.45">
      <c r="C1019">
        <v>83.4</v>
      </c>
      <c r="D1019">
        <v>6</v>
      </c>
      <c r="E1019">
        <v>0</v>
      </c>
      <c r="F1019">
        <v>1.5</v>
      </c>
      <c r="G1019">
        <v>0</v>
      </c>
      <c r="H1019">
        <v>0</v>
      </c>
      <c r="I1019">
        <v>0</v>
      </c>
      <c r="J1019">
        <v>2</v>
      </c>
      <c r="K1019">
        <v>2</v>
      </c>
      <c r="L1019">
        <v>3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970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f t="shared" si="47"/>
        <v>-3.9999999999999147E-2</v>
      </c>
      <c r="AU1019">
        <f t="shared" si="45"/>
        <v>7</v>
      </c>
      <c r="AV1019">
        <f t="shared" si="46"/>
        <v>842.55000000000007</v>
      </c>
      <c r="AX1019">
        <v>950</v>
      </c>
      <c r="AY1019">
        <v>1059</v>
      </c>
      <c r="AZ1019">
        <v>10</v>
      </c>
      <c r="BB1019" t="s">
        <v>356</v>
      </c>
      <c r="BC1019" t="s">
        <v>205</v>
      </c>
    </row>
    <row r="1020" spans="3:55" x14ac:dyDescent="0.45">
      <c r="C1020">
        <v>82.817999999999998</v>
      </c>
      <c r="D1020">
        <v>6.28</v>
      </c>
      <c r="E1020">
        <v>0</v>
      </c>
      <c r="F1020">
        <v>1.61</v>
      </c>
      <c r="G1020">
        <v>0</v>
      </c>
      <c r="H1020">
        <v>0</v>
      </c>
      <c r="I1020">
        <v>0</v>
      </c>
      <c r="J1020">
        <v>2.1800000000000002</v>
      </c>
      <c r="K1020">
        <v>1.89</v>
      </c>
      <c r="L1020">
        <v>3.06</v>
      </c>
      <c r="M1020">
        <v>2.04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800</v>
      </c>
      <c r="AD1020">
        <v>1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f t="shared" si="47"/>
        <v>-0.11479999999999979</v>
      </c>
      <c r="AU1020">
        <f t="shared" si="45"/>
        <v>7.3233333333333333</v>
      </c>
      <c r="AV1020">
        <f t="shared" si="46"/>
        <v>840.1629999999999</v>
      </c>
      <c r="AX1020">
        <v>1010</v>
      </c>
      <c r="AY1020">
        <v>1184</v>
      </c>
      <c r="AZ1020">
        <v>19</v>
      </c>
      <c r="BB1020" t="s">
        <v>356</v>
      </c>
      <c r="BC1020" t="s">
        <v>108</v>
      </c>
    </row>
    <row r="1021" spans="3:55" x14ac:dyDescent="0.45">
      <c r="C1021">
        <v>82.817999999999998</v>
      </c>
      <c r="D1021">
        <v>6.28</v>
      </c>
      <c r="E1021">
        <v>0</v>
      </c>
      <c r="F1021">
        <v>1.61</v>
      </c>
      <c r="G1021">
        <v>0</v>
      </c>
      <c r="H1021">
        <v>0</v>
      </c>
      <c r="I1021">
        <v>0</v>
      </c>
      <c r="J1021">
        <v>2.1800000000000002</v>
      </c>
      <c r="K1021">
        <v>1.89</v>
      </c>
      <c r="L1021">
        <v>3.06</v>
      </c>
      <c r="M1021">
        <v>2.04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800</v>
      </c>
      <c r="AD1021">
        <v>3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f t="shared" si="47"/>
        <v>-0.11479999999999979</v>
      </c>
      <c r="AU1021">
        <f t="shared" si="45"/>
        <v>7.3233333333333333</v>
      </c>
      <c r="AV1021">
        <f t="shared" si="46"/>
        <v>840.1629999999999</v>
      </c>
      <c r="AX1021">
        <v>1002</v>
      </c>
      <c r="AY1021">
        <v>1177</v>
      </c>
      <c r="AZ1021">
        <v>19.3</v>
      </c>
      <c r="BB1021" t="s">
        <v>356</v>
      </c>
      <c r="BC1021" t="s">
        <v>108</v>
      </c>
    </row>
    <row r="1022" spans="3:55" x14ac:dyDescent="0.45">
      <c r="C1022">
        <v>82.817999999999998</v>
      </c>
      <c r="D1022">
        <v>6.28</v>
      </c>
      <c r="E1022">
        <v>0</v>
      </c>
      <c r="F1022">
        <v>1.61</v>
      </c>
      <c r="G1022">
        <v>0</v>
      </c>
      <c r="H1022">
        <v>0</v>
      </c>
      <c r="I1022">
        <v>0</v>
      </c>
      <c r="J1022">
        <v>2.1800000000000002</v>
      </c>
      <c r="K1022">
        <v>1.89</v>
      </c>
      <c r="L1022">
        <v>3.06</v>
      </c>
      <c r="M1022">
        <v>2.04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800</v>
      </c>
      <c r="AD1022">
        <v>6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f t="shared" si="47"/>
        <v>-0.11479999999999979</v>
      </c>
      <c r="AU1022">
        <f t="shared" si="45"/>
        <v>7.3233333333333333</v>
      </c>
      <c r="AV1022">
        <f t="shared" si="46"/>
        <v>840.1629999999999</v>
      </c>
      <c r="AX1022">
        <v>990</v>
      </c>
      <c r="AY1022">
        <v>1156</v>
      </c>
      <c r="AZ1022">
        <v>20.100000000000001</v>
      </c>
      <c r="BB1022" t="s">
        <v>356</v>
      </c>
      <c r="BC1022" t="s">
        <v>108</v>
      </c>
    </row>
    <row r="1023" spans="3:55" x14ac:dyDescent="0.45">
      <c r="C1023">
        <v>82.817999999999998</v>
      </c>
      <c r="D1023">
        <v>6.28</v>
      </c>
      <c r="E1023">
        <v>0</v>
      </c>
      <c r="F1023">
        <v>1.61</v>
      </c>
      <c r="G1023">
        <v>0</v>
      </c>
      <c r="H1023">
        <v>0</v>
      </c>
      <c r="I1023">
        <v>0</v>
      </c>
      <c r="J1023">
        <v>2.1800000000000002</v>
      </c>
      <c r="K1023">
        <v>1.89</v>
      </c>
      <c r="L1023">
        <v>3.06</v>
      </c>
      <c r="M1023">
        <v>2.04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880</v>
      </c>
      <c r="AD1023">
        <v>1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f t="shared" si="47"/>
        <v>-0.11479999999999979</v>
      </c>
      <c r="AU1023">
        <f t="shared" si="45"/>
        <v>7.3233333333333333</v>
      </c>
      <c r="AV1023">
        <f t="shared" si="46"/>
        <v>840.1629999999999</v>
      </c>
      <c r="AX1023">
        <v>695</v>
      </c>
      <c r="AY1023">
        <v>1340</v>
      </c>
      <c r="AZ1023">
        <v>20.3</v>
      </c>
      <c r="BB1023" t="s">
        <v>356</v>
      </c>
      <c r="BC1023" t="s">
        <v>108</v>
      </c>
    </row>
    <row r="1024" spans="3:55" x14ac:dyDescent="0.45">
      <c r="C1024">
        <v>82.817999999999998</v>
      </c>
      <c r="D1024">
        <v>6.28</v>
      </c>
      <c r="E1024">
        <v>0</v>
      </c>
      <c r="F1024">
        <v>1.61</v>
      </c>
      <c r="G1024">
        <v>0</v>
      </c>
      <c r="H1024">
        <v>0</v>
      </c>
      <c r="I1024">
        <v>0</v>
      </c>
      <c r="J1024">
        <v>2.1800000000000002</v>
      </c>
      <c r="K1024">
        <v>1.89</v>
      </c>
      <c r="L1024">
        <v>3.06</v>
      </c>
      <c r="M1024">
        <v>2.04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880</v>
      </c>
      <c r="AD1024">
        <v>3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f t="shared" si="47"/>
        <v>-0.11479999999999979</v>
      </c>
      <c r="AU1024">
        <f t="shared" si="45"/>
        <v>7.3233333333333333</v>
      </c>
      <c r="AV1024">
        <f t="shared" si="46"/>
        <v>840.1629999999999</v>
      </c>
      <c r="AX1024">
        <v>674</v>
      </c>
      <c r="AY1024">
        <v>1333</v>
      </c>
      <c r="AZ1024">
        <v>20.399999999999999</v>
      </c>
      <c r="BC1024" t="s">
        <v>108</v>
      </c>
    </row>
    <row r="1025" spans="3:55" x14ac:dyDescent="0.45">
      <c r="C1025">
        <v>82.817999999999998</v>
      </c>
      <c r="D1025">
        <v>6.28</v>
      </c>
      <c r="E1025">
        <v>0</v>
      </c>
      <c r="F1025">
        <v>1.61</v>
      </c>
      <c r="G1025">
        <v>0</v>
      </c>
      <c r="H1025">
        <v>0</v>
      </c>
      <c r="I1025">
        <v>0</v>
      </c>
      <c r="J1025">
        <v>2.1800000000000002</v>
      </c>
      <c r="K1025">
        <v>1.89</v>
      </c>
      <c r="L1025">
        <v>3.06</v>
      </c>
      <c r="M1025">
        <v>2.04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880</v>
      </c>
      <c r="AD1025">
        <v>6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f t="shared" si="47"/>
        <v>-0.11479999999999979</v>
      </c>
      <c r="AU1025">
        <f t="shared" si="45"/>
        <v>7.3233333333333333</v>
      </c>
      <c r="AV1025">
        <f t="shared" si="46"/>
        <v>840.1629999999999</v>
      </c>
      <c r="AX1025">
        <v>656</v>
      </c>
      <c r="AY1025">
        <v>1317</v>
      </c>
      <c r="AZ1025">
        <v>20.7</v>
      </c>
      <c r="BC1025" t="s">
        <v>108</v>
      </c>
    </row>
    <row r="1026" spans="3:55" x14ac:dyDescent="0.45">
      <c r="C1026">
        <v>82.817999999999998</v>
      </c>
      <c r="D1026">
        <v>6.28</v>
      </c>
      <c r="E1026">
        <v>0</v>
      </c>
      <c r="F1026">
        <v>1.61</v>
      </c>
      <c r="G1026">
        <v>0</v>
      </c>
      <c r="H1026">
        <v>0</v>
      </c>
      <c r="I1026">
        <v>0</v>
      </c>
      <c r="J1026">
        <v>2.1800000000000002</v>
      </c>
      <c r="K1026">
        <v>1.89</v>
      </c>
      <c r="L1026">
        <v>3.06</v>
      </c>
      <c r="M1026">
        <v>2.04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920</v>
      </c>
      <c r="AD1026">
        <v>1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f t="shared" si="47"/>
        <v>-0.11479999999999979</v>
      </c>
      <c r="AU1026">
        <f t="shared" ref="AU1026:AU1066" si="48">D1026+J1026/6+M1026/3+(T1026+S1026)/10</f>
        <v>7.3233333333333333</v>
      </c>
      <c r="AV1026">
        <f t="shared" ref="AV1026:AV1089" si="49">882+2.1*D1026-9.5*L1026+4.2*M1026-6.9*J1026-11.8*E1026-12.1*F1026-15.4*H1026+23.3*Q1026+123*T1026</f>
        <v>840.1629999999999</v>
      </c>
      <c r="AX1026">
        <v>1126</v>
      </c>
      <c r="AY1026">
        <v>1582</v>
      </c>
      <c r="AZ1026">
        <v>10.1</v>
      </c>
      <c r="BC1026" t="s">
        <v>108</v>
      </c>
    </row>
    <row r="1027" spans="3:55" x14ac:dyDescent="0.45">
      <c r="C1027">
        <v>82.817999999999998</v>
      </c>
      <c r="D1027">
        <v>6.28</v>
      </c>
      <c r="E1027">
        <v>0</v>
      </c>
      <c r="F1027">
        <v>1.61</v>
      </c>
      <c r="G1027">
        <v>0</v>
      </c>
      <c r="H1027">
        <v>0</v>
      </c>
      <c r="I1027">
        <v>0</v>
      </c>
      <c r="J1027">
        <v>2.1800000000000002</v>
      </c>
      <c r="K1027">
        <v>1.89</v>
      </c>
      <c r="L1027">
        <v>3.06</v>
      </c>
      <c r="M1027">
        <v>2.04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920</v>
      </c>
      <c r="AD1027">
        <v>3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f t="shared" ref="AT1027:AT1090" si="50">L1027+0.67*E1027+0.44*P1027+0.28*K1027+0.22*O1027+2.9*H1027+1.6*F1027+1.7*G1027-D1027</f>
        <v>-0.11479999999999979</v>
      </c>
      <c r="AU1027">
        <f t="shared" si="48"/>
        <v>7.3233333333333333</v>
      </c>
      <c r="AV1027">
        <f t="shared" si="49"/>
        <v>840.1629999999999</v>
      </c>
      <c r="AX1027">
        <v>1040</v>
      </c>
      <c r="AY1027">
        <v>1565</v>
      </c>
      <c r="AZ1027">
        <v>10.7</v>
      </c>
      <c r="BC1027" t="s">
        <v>108</v>
      </c>
    </row>
    <row r="1028" spans="3:55" x14ac:dyDescent="0.45">
      <c r="C1028">
        <v>82.817999999999998</v>
      </c>
      <c r="D1028">
        <v>6.28</v>
      </c>
      <c r="E1028">
        <v>0</v>
      </c>
      <c r="F1028">
        <v>1.61</v>
      </c>
      <c r="G1028">
        <v>0</v>
      </c>
      <c r="H1028">
        <v>0</v>
      </c>
      <c r="I1028">
        <v>0</v>
      </c>
      <c r="J1028">
        <v>2.1800000000000002</v>
      </c>
      <c r="K1028">
        <v>1.89</v>
      </c>
      <c r="L1028">
        <v>3.06</v>
      </c>
      <c r="M1028">
        <v>2.04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920</v>
      </c>
      <c r="AD1028">
        <v>6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f t="shared" si="50"/>
        <v>-0.11479999999999979</v>
      </c>
      <c r="AU1028">
        <f t="shared" si="48"/>
        <v>7.3233333333333333</v>
      </c>
      <c r="AV1028">
        <f t="shared" si="49"/>
        <v>840.1629999999999</v>
      </c>
      <c r="AX1028">
        <v>1051</v>
      </c>
      <c r="AY1028">
        <v>1605</v>
      </c>
      <c r="AZ1028">
        <v>10.7</v>
      </c>
      <c r="BC1028" t="s">
        <v>108</v>
      </c>
    </row>
    <row r="1029" spans="3:55" x14ac:dyDescent="0.45">
      <c r="C1029">
        <v>83.5</v>
      </c>
      <c r="D1029">
        <v>6.17</v>
      </c>
      <c r="E1029">
        <v>0</v>
      </c>
      <c r="F1029">
        <v>1.41</v>
      </c>
      <c r="G1029">
        <v>0</v>
      </c>
      <c r="H1029">
        <v>0</v>
      </c>
      <c r="I1029">
        <v>0</v>
      </c>
      <c r="J1029">
        <v>1.93</v>
      </c>
      <c r="K1029">
        <v>2.0099999999999998</v>
      </c>
      <c r="L1029">
        <v>3.01</v>
      </c>
      <c r="M1029">
        <v>1.97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f t="shared" si="50"/>
        <v>-0.34120000000000061</v>
      </c>
      <c r="AU1029">
        <f t="shared" si="48"/>
        <v>7.1483333333333325</v>
      </c>
      <c r="AV1029">
        <f t="shared" si="49"/>
        <v>844.25799999999992</v>
      </c>
      <c r="AX1029">
        <v>1136</v>
      </c>
      <c r="AY1029">
        <v>1183</v>
      </c>
      <c r="AZ1029">
        <v>7.5</v>
      </c>
      <c r="BC1029" t="s">
        <v>206</v>
      </c>
    </row>
    <row r="1030" spans="3:55" x14ac:dyDescent="0.45">
      <c r="C1030">
        <v>83.5</v>
      </c>
      <c r="D1030">
        <v>6.17</v>
      </c>
      <c r="E1030">
        <v>0</v>
      </c>
      <c r="F1030">
        <v>1.41</v>
      </c>
      <c r="G1030">
        <v>0</v>
      </c>
      <c r="H1030">
        <v>0</v>
      </c>
      <c r="I1030">
        <v>0</v>
      </c>
      <c r="J1030">
        <v>1.93</v>
      </c>
      <c r="K1030">
        <v>2.0099999999999998</v>
      </c>
      <c r="L1030">
        <v>3.01</v>
      </c>
      <c r="M1030">
        <v>1.97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880</v>
      </c>
      <c r="AD1030">
        <v>1</v>
      </c>
      <c r="AE1030">
        <v>0</v>
      </c>
      <c r="AF1030">
        <v>1</v>
      </c>
      <c r="AG1030">
        <v>0</v>
      </c>
      <c r="AH1030">
        <v>590</v>
      </c>
      <c r="AI1030">
        <v>2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f t="shared" si="50"/>
        <v>-0.34120000000000061</v>
      </c>
      <c r="AU1030">
        <f t="shared" si="48"/>
        <v>7.1483333333333325</v>
      </c>
      <c r="AV1030">
        <f t="shared" si="49"/>
        <v>844.25799999999992</v>
      </c>
      <c r="AY1030">
        <v>1145</v>
      </c>
      <c r="AZ1030">
        <v>12.5</v>
      </c>
      <c r="BC1030" t="s">
        <v>206</v>
      </c>
    </row>
    <row r="1031" spans="3:55" x14ac:dyDescent="0.45">
      <c r="C1031">
        <v>80.63</v>
      </c>
      <c r="D1031">
        <v>5.21</v>
      </c>
      <c r="E1031">
        <v>4.91</v>
      </c>
      <c r="F1031">
        <v>2.76</v>
      </c>
      <c r="G1031">
        <v>0</v>
      </c>
      <c r="H1031">
        <v>0.39</v>
      </c>
      <c r="I1031">
        <v>0</v>
      </c>
      <c r="J1031">
        <v>1.1000000000000001</v>
      </c>
      <c r="K1031">
        <v>0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840</v>
      </c>
      <c r="AD1031">
        <v>1.5</v>
      </c>
      <c r="AE1031">
        <v>0</v>
      </c>
      <c r="AF1031">
        <v>0</v>
      </c>
      <c r="AG1031">
        <v>1</v>
      </c>
      <c r="AH1031">
        <v>580</v>
      </c>
      <c r="AI1031">
        <v>8</v>
      </c>
      <c r="AJ1031">
        <v>0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f t="shared" si="50"/>
        <v>8.6266999999999996</v>
      </c>
      <c r="AU1031">
        <f t="shared" si="48"/>
        <v>5.3933333333333335</v>
      </c>
      <c r="AV1031">
        <f t="shared" si="49"/>
        <v>740.51100000000008</v>
      </c>
      <c r="AY1031">
        <v>1154</v>
      </c>
      <c r="AZ1031">
        <v>16.899999999999999</v>
      </c>
      <c r="BC1031" t="s">
        <v>207</v>
      </c>
    </row>
    <row r="1032" spans="3:55" x14ac:dyDescent="0.45">
      <c r="C1032">
        <v>80.63</v>
      </c>
      <c r="D1032">
        <v>5.21</v>
      </c>
      <c r="E1032">
        <v>4.91</v>
      </c>
      <c r="F1032">
        <v>2.76</v>
      </c>
      <c r="G1032">
        <v>0</v>
      </c>
      <c r="H1032">
        <v>0.39</v>
      </c>
      <c r="I1032">
        <v>0</v>
      </c>
      <c r="J1032">
        <v>1.1000000000000001</v>
      </c>
      <c r="K1032">
        <v>0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860</v>
      </c>
      <c r="AD1032">
        <v>1.5</v>
      </c>
      <c r="AE1032">
        <v>0</v>
      </c>
      <c r="AF1032">
        <v>0</v>
      </c>
      <c r="AG1032">
        <v>1</v>
      </c>
      <c r="AH1032">
        <v>580</v>
      </c>
      <c r="AI1032">
        <v>8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f t="shared" si="50"/>
        <v>8.6266999999999996</v>
      </c>
      <c r="AU1032">
        <f t="shared" si="48"/>
        <v>5.3933333333333335</v>
      </c>
      <c r="AV1032">
        <f t="shared" si="49"/>
        <v>740.51100000000008</v>
      </c>
      <c r="AY1032">
        <v>1158</v>
      </c>
      <c r="AZ1032">
        <v>17.3</v>
      </c>
      <c r="BC1032" t="s">
        <v>207</v>
      </c>
    </row>
    <row r="1033" spans="3:55" x14ac:dyDescent="0.45">
      <c r="C1033">
        <v>80.63</v>
      </c>
      <c r="D1033">
        <v>5.21</v>
      </c>
      <c r="E1033">
        <v>4.91</v>
      </c>
      <c r="F1033">
        <v>2.76</v>
      </c>
      <c r="G1033">
        <v>0</v>
      </c>
      <c r="H1033">
        <v>0.39</v>
      </c>
      <c r="I1033">
        <v>0</v>
      </c>
      <c r="J1033">
        <v>1.1000000000000001</v>
      </c>
      <c r="K1033">
        <v>0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870</v>
      </c>
      <c r="AD1033">
        <v>1.5</v>
      </c>
      <c r="AE1033">
        <v>0</v>
      </c>
      <c r="AF1033">
        <v>0</v>
      </c>
      <c r="AG1033">
        <v>1</v>
      </c>
      <c r="AH1033">
        <v>580</v>
      </c>
      <c r="AI1033">
        <v>8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f t="shared" si="50"/>
        <v>8.6266999999999996</v>
      </c>
      <c r="AU1033">
        <f t="shared" si="48"/>
        <v>5.3933333333333335</v>
      </c>
      <c r="AV1033">
        <f t="shared" si="49"/>
        <v>740.51100000000008</v>
      </c>
      <c r="AY1033">
        <v>1156</v>
      </c>
      <c r="AZ1033">
        <v>15.7</v>
      </c>
      <c r="BC1033" t="s">
        <v>207</v>
      </c>
    </row>
    <row r="1034" spans="3:55" x14ac:dyDescent="0.45">
      <c r="C1034">
        <v>80.63</v>
      </c>
      <c r="D1034">
        <v>5.21</v>
      </c>
      <c r="E1034">
        <v>4.91</v>
      </c>
      <c r="F1034">
        <v>2.76</v>
      </c>
      <c r="G1034">
        <v>0</v>
      </c>
      <c r="H1034">
        <v>0.39</v>
      </c>
      <c r="I1034">
        <v>0</v>
      </c>
      <c r="J1034">
        <v>1.1000000000000001</v>
      </c>
      <c r="K1034">
        <v>0</v>
      </c>
      <c r="L1034">
        <v>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880</v>
      </c>
      <c r="AD1034">
        <v>1.5</v>
      </c>
      <c r="AE1034">
        <v>0</v>
      </c>
      <c r="AF1034">
        <v>0</v>
      </c>
      <c r="AG1034">
        <v>1</v>
      </c>
      <c r="AH1034">
        <v>580</v>
      </c>
      <c r="AI1034">
        <v>8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f t="shared" si="50"/>
        <v>8.6266999999999996</v>
      </c>
      <c r="AU1034">
        <f t="shared" si="48"/>
        <v>5.3933333333333335</v>
      </c>
      <c r="AV1034">
        <f t="shared" si="49"/>
        <v>740.51100000000008</v>
      </c>
      <c r="AY1034">
        <v>1150</v>
      </c>
      <c r="AZ1034">
        <v>14.9</v>
      </c>
      <c r="BC1034" t="s">
        <v>207</v>
      </c>
    </row>
    <row r="1035" spans="3:55" x14ac:dyDescent="0.45">
      <c r="C1035">
        <v>80.63</v>
      </c>
      <c r="D1035">
        <v>5.21</v>
      </c>
      <c r="E1035">
        <v>4.91</v>
      </c>
      <c r="F1035">
        <v>2.76</v>
      </c>
      <c r="G1035">
        <v>0</v>
      </c>
      <c r="H1035">
        <v>0.39</v>
      </c>
      <c r="I1035">
        <v>0</v>
      </c>
      <c r="J1035">
        <v>1.1000000000000001</v>
      </c>
      <c r="K1035">
        <v>0</v>
      </c>
      <c r="L1035">
        <v>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900</v>
      </c>
      <c r="AD1035">
        <v>1.5</v>
      </c>
      <c r="AE1035">
        <v>0</v>
      </c>
      <c r="AF1035">
        <v>0</v>
      </c>
      <c r="AG1035">
        <v>1</v>
      </c>
      <c r="AH1035">
        <v>580</v>
      </c>
      <c r="AI1035">
        <v>8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f t="shared" si="50"/>
        <v>8.6266999999999996</v>
      </c>
      <c r="AU1035">
        <f t="shared" si="48"/>
        <v>5.3933333333333335</v>
      </c>
      <c r="AV1035">
        <f t="shared" si="49"/>
        <v>740.51100000000008</v>
      </c>
      <c r="AY1035">
        <v>1176</v>
      </c>
      <c r="AZ1035">
        <v>13.8</v>
      </c>
      <c r="BC1035" t="s">
        <v>207</v>
      </c>
    </row>
    <row r="1036" spans="3:55" x14ac:dyDescent="0.45">
      <c r="C1036">
        <v>80.63</v>
      </c>
      <c r="D1036">
        <v>5.21</v>
      </c>
      <c r="E1036">
        <v>4.91</v>
      </c>
      <c r="F1036">
        <v>2.76</v>
      </c>
      <c r="G1036">
        <v>0</v>
      </c>
      <c r="H1036">
        <v>0.39</v>
      </c>
      <c r="I1036">
        <v>0</v>
      </c>
      <c r="J1036">
        <v>1.1000000000000001</v>
      </c>
      <c r="K1036">
        <v>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790</v>
      </c>
      <c r="AD1036">
        <v>1</v>
      </c>
      <c r="AE1036">
        <v>0</v>
      </c>
      <c r="AF1036">
        <v>1</v>
      </c>
      <c r="AG1036">
        <v>0</v>
      </c>
      <c r="AH1036">
        <v>580</v>
      </c>
      <c r="AI1036">
        <v>8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f t="shared" si="50"/>
        <v>8.6266999999999996</v>
      </c>
      <c r="AU1036">
        <f t="shared" si="48"/>
        <v>5.3933333333333335</v>
      </c>
      <c r="AV1036">
        <f t="shared" si="49"/>
        <v>740.51100000000008</v>
      </c>
      <c r="AY1036">
        <v>1037</v>
      </c>
      <c r="AZ1036">
        <v>13.8</v>
      </c>
      <c r="BC1036" t="s">
        <v>207</v>
      </c>
    </row>
    <row r="1037" spans="3:55" x14ac:dyDescent="0.45">
      <c r="C1037">
        <v>80.63</v>
      </c>
      <c r="D1037">
        <v>5.21</v>
      </c>
      <c r="E1037">
        <v>4.91</v>
      </c>
      <c r="F1037">
        <v>2.76</v>
      </c>
      <c r="G1037">
        <v>0</v>
      </c>
      <c r="H1037">
        <v>0.39</v>
      </c>
      <c r="I1037">
        <v>0</v>
      </c>
      <c r="J1037">
        <v>1.1000000000000001</v>
      </c>
      <c r="K1037">
        <v>0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800</v>
      </c>
      <c r="AD1037">
        <v>1</v>
      </c>
      <c r="AE1037">
        <v>0</v>
      </c>
      <c r="AF1037">
        <v>1</v>
      </c>
      <c r="AG1037">
        <v>0</v>
      </c>
      <c r="AH1037">
        <v>580</v>
      </c>
      <c r="AI1037">
        <v>8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f t="shared" si="50"/>
        <v>8.6266999999999996</v>
      </c>
      <c r="AU1037">
        <f t="shared" si="48"/>
        <v>5.3933333333333335</v>
      </c>
      <c r="AV1037">
        <f t="shared" si="49"/>
        <v>740.51100000000008</v>
      </c>
      <c r="AY1037">
        <v>1357</v>
      </c>
      <c r="AZ1037">
        <v>13.1</v>
      </c>
      <c r="BC1037" t="s">
        <v>207</v>
      </c>
    </row>
    <row r="1038" spans="3:55" x14ac:dyDescent="0.45">
      <c r="C1038">
        <v>80.63</v>
      </c>
      <c r="D1038">
        <v>5.21</v>
      </c>
      <c r="E1038">
        <v>4.91</v>
      </c>
      <c r="F1038">
        <v>2.76</v>
      </c>
      <c r="G1038">
        <v>0</v>
      </c>
      <c r="H1038">
        <v>0.39</v>
      </c>
      <c r="I1038">
        <v>0</v>
      </c>
      <c r="J1038">
        <v>1.1000000000000001</v>
      </c>
      <c r="K1038">
        <v>0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805</v>
      </c>
      <c r="AD1038">
        <v>1</v>
      </c>
      <c r="AE1038">
        <v>0</v>
      </c>
      <c r="AF1038">
        <v>1</v>
      </c>
      <c r="AG1038">
        <v>0</v>
      </c>
      <c r="AH1038">
        <v>580</v>
      </c>
      <c r="AI1038">
        <v>8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f t="shared" si="50"/>
        <v>8.6266999999999996</v>
      </c>
      <c r="AU1038">
        <f t="shared" si="48"/>
        <v>5.3933333333333335</v>
      </c>
      <c r="AV1038">
        <f t="shared" si="49"/>
        <v>740.51100000000008</v>
      </c>
      <c r="AY1038">
        <v>1311</v>
      </c>
      <c r="AZ1038">
        <v>15.7</v>
      </c>
      <c r="BC1038" t="s">
        <v>207</v>
      </c>
    </row>
    <row r="1039" spans="3:55" x14ac:dyDescent="0.45">
      <c r="C1039">
        <v>80.63</v>
      </c>
      <c r="D1039">
        <v>5.21</v>
      </c>
      <c r="E1039">
        <v>4.91</v>
      </c>
      <c r="F1039">
        <v>2.76</v>
      </c>
      <c r="G1039">
        <v>0</v>
      </c>
      <c r="H1039">
        <v>0.39</v>
      </c>
      <c r="I1039">
        <v>0</v>
      </c>
      <c r="J1039">
        <v>1.1000000000000001</v>
      </c>
      <c r="K1039">
        <v>0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810</v>
      </c>
      <c r="AD1039">
        <v>1</v>
      </c>
      <c r="AE1039">
        <v>0</v>
      </c>
      <c r="AF1039">
        <v>1</v>
      </c>
      <c r="AG1039">
        <v>0</v>
      </c>
      <c r="AH1039">
        <v>580</v>
      </c>
      <c r="AI1039">
        <v>8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f t="shared" si="50"/>
        <v>8.6266999999999996</v>
      </c>
      <c r="AU1039">
        <f t="shared" si="48"/>
        <v>5.3933333333333335</v>
      </c>
      <c r="AV1039">
        <f t="shared" si="49"/>
        <v>740.51100000000008</v>
      </c>
      <c r="AY1039">
        <v>1311</v>
      </c>
      <c r="AZ1039">
        <v>16.7</v>
      </c>
      <c r="BC1039" t="s">
        <v>207</v>
      </c>
    </row>
    <row r="1040" spans="3:55" x14ac:dyDescent="0.45">
      <c r="C1040">
        <v>80.63</v>
      </c>
      <c r="D1040">
        <v>5.21</v>
      </c>
      <c r="E1040">
        <v>4.91</v>
      </c>
      <c r="F1040">
        <v>2.76</v>
      </c>
      <c r="G1040">
        <v>0</v>
      </c>
      <c r="H1040">
        <v>0.39</v>
      </c>
      <c r="I1040">
        <v>0</v>
      </c>
      <c r="J1040">
        <v>1.1000000000000001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815</v>
      </c>
      <c r="AD1040">
        <v>1</v>
      </c>
      <c r="AE1040">
        <v>0</v>
      </c>
      <c r="AF1040">
        <v>1</v>
      </c>
      <c r="AG1040">
        <v>0</v>
      </c>
      <c r="AH1040">
        <v>580</v>
      </c>
      <c r="AI1040">
        <v>8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f t="shared" si="50"/>
        <v>8.6266999999999996</v>
      </c>
      <c r="AU1040">
        <f t="shared" si="48"/>
        <v>5.3933333333333335</v>
      </c>
      <c r="AV1040">
        <f t="shared" si="49"/>
        <v>740.51100000000008</v>
      </c>
      <c r="AY1040">
        <v>1342</v>
      </c>
      <c r="AZ1040">
        <v>14</v>
      </c>
      <c r="BC1040" t="s">
        <v>207</v>
      </c>
    </row>
    <row r="1041" spans="3:55" x14ac:dyDescent="0.45">
      <c r="C1041">
        <v>80.63</v>
      </c>
      <c r="D1041">
        <v>5.21</v>
      </c>
      <c r="E1041">
        <v>4.91</v>
      </c>
      <c r="F1041">
        <v>2.76</v>
      </c>
      <c r="G1041">
        <v>0</v>
      </c>
      <c r="H1041">
        <v>0.39</v>
      </c>
      <c r="I1041">
        <v>0</v>
      </c>
      <c r="J1041">
        <v>1.1000000000000001</v>
      </c>
      <c r="K1041">
        <v>0</v>
      </c>
      <c r="L1041">
        <v>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820</v>
      </c>
      <c r="AD1041">
        <v>1</v>
      </c>
      <c r="AE1041">
        <v>0</v>
      </c>
      <c r="AF1041">
        <v>1</v>
      </c>
      <c r="AG1041">
        <v>0</v>
      </c>
      <c r="AH1041">
        <v>580</v>
      </c>
      <c r="AI1041">
        <v>8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f t="shared" si="50"/>
        <v>8.6266999999999996</v>
      </c>
      <c r="AU1041">
        <f t="shared" si="48"/>
        <v>5.3933333333333335</v>
      </c>
      <c r="AV1041">
        <f t="shared" si="49"/>
        <v>740.51100000000008</v>
      </c>
      <c r="AY1041">
        <v>1365</v>
      </c>
      <c r="AZ1041">
        <v>11.6</v>
      </c>
      <c r="BC1041" t="s">
        <v>207</v>
      </c>
    </row>
    <row r="1042" spans="3:55" x14ac:dyDescent="0.45">
      <c r="C1042">
        <v>80.63</v>
      </c>
      <c r="D1042">
        <v>5.21</v>
      </c>
      <c r="E1042">
        <v>4.91</v>
      </c>
      <c r="F1042">
        <v>2.76</v>
      </c>
      <c r="G1042">
        <v>0</v>
      </c>
      <c r="H1042">
        <v>0.39</v>
      </c>
      <c r="I1042">
        <v>0</v>
      </c>
      <c r="J1042">
        <v>1.1000000000000001</v>
      </c>
      <c r="K1042">
        <v>0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830</v>
      </c>
      <c r="AD1042">
        <v>1</v>
      </c>
      <c r="AE1042">
        <v>0</v>
      </c>
      <c r="AF1042">
        <v>1</v>
      </c>
      <c r="AG1042">
        <v>0</v>
      </c>
      <c r="AH1042">
        <v>580</v>
      </c>
      <c r="AI1042">
        <v>8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f t="shared" si="50"/>
        <v>8.6266999999999996</v>
      </c>
      <c r="AU1042">
        <f t="shared" si="48"/>
        <v>5.3933333333333335</v>
      </c>
      <c r="AV1042">
        <f t="shared" si="49"/>
        <v>740.51100000000008</v>
      </c>
      <c r="AY1042">
        <v>1356</v>
      </c>
      <c r="AZ1042">
        <v>9.4</v>
      </c>
      <c r="BC1042" t="s">
        <v>207</v>
      </c>
    </row>
    <row r="1043" spans="3:55" x14ac:dyDescent="0.45">
      <c r="C1043">
        <v>86.125</v>
      </c>
      <c r="D1043">
        <v>4.8600000000000003</v>
      </c>
      <c r="E1043">
        <v>4.87</v>
      </c>
      <c r="F1043">
        <v>1.3</v>
      </c>
      <c r="G1043">
        <v>0</v>
      </c>
      <c r="H1043">
        <v>0.8</v>
      </c>
      <c r="I1043">
        <v>0</v>
      </c>
      <c r="J1043">
        <v>2.5000000000000001E-2</v>
      </c>
      <c r="K1043">
        <v>0</v>
      </c>
      <c r="L1043">
        <v>1.87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800</v>
      </c>
      <c r="AD1043">
        <v>1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f t="shared" si="50"/>
        <v>4.6728999999999994</v>
      </c>
      <c r="AU1043">
        <f t="shared" si="48"/>
        <v>4.8641666666666667</v>
      </c>
      <c r="AV1043">
        <f t="shared" si="49"/>
        <v>788.75249999999994</v>
      </c>
      <c r="AX1043">
        <v>870</v>
      </c>
      <c r="AY1043">
        <v>990</v>
      </c>
      <c r="AZ1043">
        <v>17</v>
      </c>
      <c r="BC1043" t="s">
        <v>209</v>
      </c>
    </row>
    <row r="1044" spans="3:55" x14ac:dyDescent="0.45">
      <c r="C1044">
        <v>86.125</v>
      </c>
      <c r="D1044">
        <v>4.8600000000000003</v>
      </c>
      <c r="E1044">
        <v>4.87</v>
      </c>
      <c r="F1044">
        <v>1.3</v>
      </c>
      <c r="G1044">
        <v>0</v>
      </c>
      <c r="H1044">
        <v>0.8</v>
      </c>
      <c r="I1044">
        <v>0</v>
      </c>
      <c r="J1044">
        <v>2.5000000000000001E-2</v>
      </c>
      <c r="K1044">
        <v>0</v>
      </c>
      <c r="L1044">
        <v>1.87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860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f t="shared" si="50"/>
        <v>4.6728999999999994</v>
      </c>
      <c r="AU1044">
        <f t="shared" si="48"/>
        <v>4.8641666666666667</v>
      </c>
      <c r="AV1044">
        <f t="shared" si="49"/>
        <v>788.75249999999994</v>
      </c>
      <c r="AX1044">
        <v>920</v>
      </c>
      <c r="AY1044">
        <v>1050</v>
      </c>
      <c r="AZ1044">
        <v>11</v>
      </c>
      <c r="BC1044" t="s">
        <v>209</v>
      </c>
    </row>
    <row r="1045" spans="3:55" x14ac:dyDescent="0.45">
      <c r="C1045">
        <v>82.14</v>
      </c>
      <c r="D1045">
        <v>5.0999999999999996</v>
      </c>
      <c r="E1045">
        <v>0</v>
      </c>
      <c r="F1045">
        <v>3.21</v>
      </c>
      <c r="G1045">
        <v>0</v>
      </c>
      <c r="H1045">
        <v>0.1</v>
      </c>
      <c r="I1045">
        <v>0</v>
      </c>
      <c r="J1045">
        <v>1.83</v>
      </c>
      <c r="K1045">
        <v>0</v>
      </c>
      <c r="L1045">
        <v>4.7</v>
      </c>
      <c r="M1045">
        <v>2.88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630</v>
      </c>
      <c r="AI1045">
        <v>8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f t="shared" si="50"/>
        <v>5.0260000000000016</v>
      </c>
      <c r="AU1045">
        <f t="shared" si="48"/>
        <v>6.3649999999999993</v>
      </c>
      <c r="AV1045">
        <f t="shared" si="49"/>
        <v>807.14800000000014</v>
      </c>
      <c r="AX1045">
        <v>1030</v>
      </c>
      <c r="AY1045">
        <v>1120</v>
      </c>
      <c r="AZ1045">
        <v>7</v>
      </c>
      <c r="BC1045" t="s">
        <v>210</v>
      </c>
    </row>
    <row r="1046" spans="3:55" x14ac:dyDescent="0.45">
      <c r="C1046">
        <v>82.594999999999999</v>
      </c>
      <c r="D1046">
        <v>5.22</v>
      </c>
      <c r="E1046">
        <v>0</v>
      </c>
      <c r="F1046">
        <v>3.66</v>
      </c>
      <c r="G1046">
        <v>0</v>
      </c>
      <c r="H1046">
        <v>0.09</v>
      </c>
      <c r="I1046">
        <v>0</v>
      </c>
      <c r="J1046">
        <v>2.0499999999999998</v>
      </c>
      <c r="K1046">
        <v>0</v>
      </c>
      <c r="L1046">
        <v>4.12</v>
      </c>
      <c r="M1046">
        <v>2.15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600</v>
      </c>
      <c r="AD1046">
        <v>8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f t="shared" si="50"/>
        <v>5.0170000000000021</v>
      </c>
      <c r="AU1046">
        <f t="shared" si="48"/>
        <v>6.2783333333333333</v>
      </c>
      <c r="AV1046">
        <f t="shared" si="49"/>
        <v>803.03500000000008</v>
      </c>
      <c r="BC1046" t="s">
        <v>212</v>
      </c>
    </row>
    <row r="1047" spans="3:55" x14ac:dyDescent="0.45">
      <c r="C1047">
        <v>82.594999999999999</v>
      </c>
      <c r="D1047">
        <v>5.22</v>
      </c>
      <c r="E1047">
        <v>0</v>
      </c>
      <c r="F1047">
        <v>3.66</v>
      </c>
      <c r="G1047">
        <v>0</v>
      </c>
      <c r="H1047">
        <v>0.09</v>
      </c>
      <c r="I1047">
        <v>0</v>
      </c>
      <c r="J1047">
        <v>2.0499999999999998</v>
      </c>
      <c r="K1047">
        <v>0</v>
      </c>
      <c r="L1047">
        <v>4.12</v>
      </c>
      <c r="M1047">
        <v>2.15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20</v>
      </c>
      <c r="Y1047">
        <v>0</v>
      </c>
      <c r="Z1047">
        <v>0</v>
      </c>
      <c r="AA1047">
        <v>0</v>
      </c>
      <c r="AB1047">
        <v>0</v>
      </c>
      <c r="AC1047">
        <v>601</v>
      </c>
      <c r="AD1047">
        <v>8.0166666666666693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f t="shared" si="50"/>
        <v>5.0170000000000021</v>
      </c>
      <c r="AU1047">
        <f t="shared" si="48"/>
        <v>6.2783333333333333</v>
      </c>
      <c r="AV1047">
        <f t="shared" si="49"/>
        <v>803.03500000000008</v>
      </c>
      <c r="BC1047" t="s">
        <v>212</v>
      </c>
    </row>
    <row r="1048" spans="3:55" x14ac:dyDescent="0.45">
      <c r="C1048">
        <v>82.594999999999999</v>
      </c>
      <c r="D1048">
        <v>5.22</v>
      </c>
      <c r="E1048">
        <v>0</v>
      </c>
      <c r="F1048">
        <v>3.66</v>
      </c>
      <c r="G1048">
        <v>0</v>
      </c>
      <c r="H1048">
        <v>0.09</v>
      </c>
      <c r="I1048">
        <v>0</v>
      </c>
      <c r="J1048">
        <v>2.0499999999999998</v>
      </c>
      <c r="K1048">
        <v>0</v>
      </c>
      <c r="L1048">
        <v>4.12</v>
      </c>
      <c r="M1048">
        <v>2.15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40</v>
      </c>
      <c r="Y1048">
        <v>0</v>
      </c>
      <c r="Z1048">
        <v>0</v>
      </c>
      <c r="AA1048">
        <v>0</v>
      </c>
      <c r="AB1048">
        <v>0</v>
      </c>
      <c r="AC1048">
        <v>602</v>
      </c>
      <c r="AD1048">
        <v>8.0333333333333297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f t="shared" si="50"/>
        <v>5.0170000000000021</v>
      </c>
      <c r="AU1048">
        <f t="shared" si="48"/>
        <v>6.2783333333333333</v>
      </c>
      <c r="AV1048">
        <f t="shared" si="49"/>
        <v>803.03500000000008</v>
      </c>
      <c r="BC1048" t="s">
        <v>212</v>
      </c>
    </row>
    <row r="1049" spans="3:55" x14ac:dyDescent="0.45">
      <c r="C1049">
        <v>82.594999999999999</v>
      </c>
      <c r="D1049">
        <v>5.22</v>
      </c>
      <c r="E1049">
        <v>0</v>
      </c>
      <c r="F1049">
        <v>3.66</v>
      </c>
      <c r="G1049">
        <v>0</v>
      </c>
      <c r="H1049">
        <v>0.09</v>
      </c>
      <c r="I1049">
        <v>0</v>
      </c>
      <c r="J1049">
        <v>2.0499999999999998</v>
      </c>
      <c r="K1049">
        <v>0</v>
      </c>
      <c r="L1049">
        <v>4.12</v>
      </c>
      <c r="M1049">
        <v>2.15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60</v>
      </c>
      <c r="Y1049">
        <v>0</v>
      </c>
      <c r="Z1049">
        <v>0</v>
      </c>
      <c r="AA1049">
        <v>0</v>
      </c>
      <c r="AB1049">
        <v>0</v>
      </c>
      <c r="AC1049">
        <v>603</v>
      </c>
      <c r="AD1049">
        <v>8.0500000000000007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f t="shared" si="50"/>
        <v>5.0170000000000021</v>
      </c>
      <c r="AU1049">
        <f t="shared" si="48"/>
        <v>6.2783333333333333</v>
      </c>
      <c r="AV1049">
        <f t="shared" si="49"/>
        <v>803.03500000000008</v>
      </c>
      <c r="BC1049" t="s">
        <v>212</v>
      </c>
    </row>
    <row r="1050" spans="3:55" x14ac:dyDescent="0.45">
      <c r="C1050">
        <v>83.978999999999999</v>
      </c>
      <c r="D1050">
        <v>5.93</v>
      </c>
      <c r="E1050">
        <v>1.99</v>
      </c>
      <c r="F1050">
        <v>2</v>
      </c>
      <c r="G1050">
        <v>0</v>
      </c>
      <c r="H1050">
        <v>0</v>
      </c>
      <c r="I1050">
        <v>0</v>
      </c>
      <c r="J1050">
        <v>2.0299999999999998</v>
      </c>
      <c r="K1050">
        <v>0</v>
      </c>
      <c r="L1050">
        <v>2.04</v>
      </c>
      <c r="M1050">
        <v>1.97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f t="shared" si="50"/>
        <v>0.64330000000000087</v>
      </c>
      <c r="AU1050">
        <f t="shared" si="48"/>
        <v>6.9249999999999989</v>
      </c>
      <c r="AV1050">
        <f t="shared" si="49"/>
        <v>821.65800000000002</v>
      </c>
      <c r="AX1050">
        <v>943</v>
      </c>
      <c r="AY1050">
        <v>1025</v>
      </c>
      <c r="AZ1050">
        <v>6</v>
      </c>
      <c r="BC1050" t="s">
        <v>213</v>
      </c>
    </row>
    <row r="1051" spans="3:55" x14ac:dyDescent="0.45">
      <c r="C1051">
        <v>83.978999999999999</v>
      </c>
      <c r="D1051">
        <v>5.93</v>
      </c>
      <c r="E1051">
        <v>1.99</v>
      </c>
      <c r="F1051">
        <v>2</v>
      </c>
      <c r="G1051">
        <v>0</v>
      </c>
      <c r="H1051">
        <v>0</v>
      </c>
      <c r="I1051">
        <v>0</v>
      </c>
      <c r="J1051">
        <v>2.0299999999999998</v>
      </c>
      <c r="K1051">
        <v>0</v>
      </c>
      <c r="L1051">
        <v>2.04</v>
      </c>
      <c r="M1051">
        <v>1.97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900</v>
      </c>
      <c r="AD1051">
        <v>2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f t="shared" si="50"/>
        <v>0.64330000000000087</v>
      </c>
      <c r="AU1051">
        <f t="shared" si="48"/>
        <v>6.9249999999999989</v>
      </c>
      <c r="AV1051">
        <f t="shared" si="49"/>
        <v>821.65800000000002</v>
      </c>
      <c r="BC1051" t="s">
        <v>213</v>
      </c>
    </row>
    <row r="1052" spans="3:55" x14ac:dyDescent="0.45">
      <c r="C1052">
        <v>83.978999999999999</v>
      </c>
      <c r="D1052">
        <v>5.93</v>
      </c>
      <c r="E1052">
        <v>1.99</v>
      </c>
      <c r="F1052">
        <v>2</v>
      </c>
      <c r="G1052">
        <v>0</v>
      </c>
      <c r="H1052">
        <v>0</v>
      </c>
      <c r="I1052">
        <v>0</v>
      </c>
      <c r="J1052">
        <v>2.0299999999999998</v>
      </c>
      <c r="K1052">
        <v>0</v>
      </c>
      <c r="L1052">
        <v>2.04</v>
      </c>
      <c r="M1052">
        <v>1.97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920</v>
      </c>
      <c r="AD1052">
        <v>2</v>
      </c>
      <c r="AE1052">
        <v>0</v>
      </c>
      <c r="AF1052">
        <v>1</v>
      </c>
      <c r="AG1052">
        <v>0</v>
      </c>
      <c r="AH1052">
        <v>540</v>
      </c>
      <c r="AI1052">
        <v>4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f t="shared" si="50"/>
        <v>0.64330000000000087</v>
      </c>
      <c r="AU1052">
        <f t="shared" si="48"/>
        <v>6.9249999999999989</v>
      </c>
      <c r="AV1052">
        <f t="shared" si="49"/>
        <v>821.65800000000002</v>
      </c>
      <c r="BC1052" t="s">
        <v>213</v>
      </c>
    </row>
    <row r="1053" spans="3:55" x14ac:dyDescent="0.45">
      <c r="C1053">
        <v>83.978999999999999</v>
      </c>
      <c r="D1053">
        <v>5.93</v>
      </c>
      <c r="E1053">
        <v>1.99</v>
      </c>
      <c r="F1053">
        <v>2</v>
      </c>
      <c r="G1053">
        <v>0</v>
      </c>
      <c r="H1053">
        <v>0</v>
      </c>
      <c r="I1053">
        <v>0</v>
      </c>
      <c r="J1053">
        <v>2.0299999999999998</v>
      </c>
      <c r="K1053">
        <v>0</v>
      </c>
      <c r="L1053">
        <v>2.04</v>
      </c>
      <c r="M1053">
        <v>1.97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940</v>
      </c>
      <c r="AD1053">
        <v>2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f t="shared" si="50"/>
        <v>0.64330000000000087</v>
      </c>
      <c r="AU1053">
        <f t="shared" si="48"/>
        <v>6.9249999999999989</v>
      </c>
      <c r="AV1053">
        <f t="shared" si="49"/>
        <v>821.65800000000002</v>
      </c>
      <c r="AX1053">
        <v>1080.7</v>
      </c>
      <c r="AY1053">
        <v>1197.4000000000001</v>
      </c>
      <c r="AZ1053">
        <v>7.8</v>
      </c>
      <c r="BC1053" t="s">
        <v>213</v>
      </c>
    </row>
    <row r="1054" spans="3:55" x14ac:dyDescent="0.45">
      <c r="C1054">
        <v>86.74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3.6</v>
      </c>
      <c r="K1054">
        <v>0.12</v>
      </c>
      <c r="L1054">
        <v>0.13</v>
      </c>
      <c r="M1054">
        <v>2.8</v>
      </c>
      <c r="N1054">
        <v>0</v>
      </c>
      <c r="O1054">
        <v>0.24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950</v>
      </c>
      <c r="AD1054">
        <v>1</v>
      </c>
      <c r="AE1054">
        <v>1</v>
      </c>
      <c r="AF1054">
        <v>0</v>
      </c>
      <c r="AG1054">
        <v>0</v>
      </c>
      <c r="AH1054">
        <v>650</v>
      </c>
      <c r="AI1054">
        <v>6</v>
      </c>
      <c r="AJ1054">
        <v>0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f t="shared" si="50"/>
        <v>-5.7835999999999999</v>
      </c>
      <c r="AU1054">
        <f t="shared" si="48"/>
        <v>7.5333333333333332</v>
      </c>
      <c r="AV1054">
        <f t="shared" si="49"/>
        <v>880.28499999999997</v>
      </c>
      <c r="AX1054">
        <v>883</v>
      </c>
      <c r="AY1054">
        <v>995</v>
      </c>
      <c r="AZ1054">
        <v>8.1</v>
      </c>
      <c r="BC1054" t="s">
        <v>108</v>
      </c>
    </row>
    <row r="1055" spans="3:55" x14ac:dyDescent="0.45">
      <c r="C1055">
        <v>82.465999999999994</v>
      </c>
      <c r="D1055">
        <v>5.0199999999999996</v>
      </c>
      <c r="E1055">
        <v>2.99</v>
      </c>
      <c r="F1055">
        <v>2.06</v>
      </c>
      <c r="G1055">
        <v>0</v>
      </c>
      <c r="H1055">
        <v>0.99</v>
      </c>
      <c r="I1055">
        <v>0</v>
      </c>
      <c r="J1055">
        <v>2.0099999999999998</v>
      </c>
      <c r="K1055">
        <v>1.37</v>
      </c>
      <c r="L1055">
        <v>3.03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830</v>
      </c>
      <c r="AD1055">
        <v>1</v>
      </c>
      <c r="AE1055">
        <v>0</v>
      </c>
      <c r="AF1055">
        <v>1</v>
      </c>
      <c r="AG1055">
        <v>0</v>
      </c>
      <c r="AH1055">
        <v>570</v>
      </c>
      <c r="AI1055">
        <v>8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f t="shared" si="50"/>
        <v>6.5639000000000003</v>
      </c>
      <c r="AU1055">
        <f t="shared" si="48"/>
        <v>5.3549999999999995</v>
      </c>
      <c r="AV1055">
        <f t="shared" si="49"/>
        <v>774.43399999999997</v>
      </c>
      <c r="AX1055">
        <v>1196</v>
      </c>
      <c r="AY1055">
        <v>1296</v>
      </c>
      <c r="AZ1055">
        <v>12.3</v>
      </c>
      <c r="BC1055" t="s">
        <v>214</v>
      </c>
    </row>
    <row r="1056" spans="3:55" x14ac:dyDescent="0.45">
      <c r="C1056">
        <v>82.465999999999994</v>
      </c>
      <c r="D1056">
        <v>5.0199999999999996</v>
      </c>
      <c r="E1056">
        <v>2.99</v>
      </c>
      <c r="F1056">
        <v>2.06</v>
      </c>
      <c r="G1056">
        <v>0</v>
      </c>
      <c r="H1056">
        <v>0.99</v>
      </c>
      <c r="I1056">
        <v>0</v>
      </c>
      <c r="J1056">
        <v>2.0099999999999998</v>
      </c>
      <c r="K1056">
        <v>1.37</v>
      </c>
      <c r="L1056">
        <v>3.03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830</v>
      </c>
      <c r="AD1056">
        <v>1</v>
      </c>
      <c r="AE1056">
        <v>0</v>
      </c>
      <c r="AF1056">
        <v>0</v>
      </c>
      <c r="AG1056">
        <v>0</v>
      </c>
      <c r="AH1056">
        <v>570</v>
      </c>
      <c r="AI1056">
        <v>8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f t="shared" si="50"/>
        <v>6.5639000000000003</v>
      </c>
      <c r="AU1056">
        <f t="shared" si="48"/>
        <v>5.3549999999999995</v>
      </c>
      <c r="AV1056">
        <f t="shared" si="49"/>
        <v>774.43399999999997</v>
      </c>
      <c r="AX1056">
        <v>969</v>
      </c>
      <c r="AY1056">
        <v>1060</v>
      </c>
      <c r="AZ1056">
        <v>20</v>
      </c>
      <c r="BC1056" t="s">
        <v>214</v>
      </c>
    </row>
    <row r="1057" spans="3:55" x14ac:dyDescent="0.45">
      <c r="C1057">
        <v>82.465999999999994</v>
      </c>
      <c r="D1057">
        <v>5.0199999999999996</v>
      </c>
      <c r="E1057">
        <v>2.99</v>
      </c>
      <c r="F1057">
        <v>2.06</v>
      </c>
      <c r="G1057">
        <v>0</v>
      </c>
      <c r="H1057">
        <v>0.99</v>
      </c>
      <c r="I1057">
        <v>0</v>
      </c>
      <c r="J1057">
        <v>2.0099999999999998</v>
      </c>
      <c r="K1057">
        <v>1.37</v>
      </c>
      <c r="L1057">
        <v>3.03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900</v>
      </c>
      <c r="AD1057">
        <v>1</v>
      </c>
      <c r="AE1057">
        <v>0</v>
      </c>
      <c r="AF1057">
        <v>0</v>
      </c>
      <c r="AG1057">
        <v>0</v>
      </c>
      <c r="AH1057">
        <v>570</v>
      </c>
      <c r="AI1057">
        <v>8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f t="shared" si="50"/>
        <v>6.5639000000000003</v>
      </c>
      <c r="AU1057">
        <f t="shared" si="48"/>
        <v>5.3549999999999995</v>
      </c>
      <c r="AV1057">
        <f t="shared" si="49"/>
        <v>774.43399999999997</v>
      </c>
      <c r="AX1057">
        <v>915</v>
      </c>
      <c r="AY1057">
        <v>1052</v>
      </c>
      <c r="AZ1057">
        <v>14.5</v>
      </c>
      <c r="BC1057" t="s">
        <v>214</v>
      </c>
    </row>
    <row r="1058" spans="3:55" x14ac:dyDescent="0.45">
      <c r="C1058">
        <v>99.971000000000004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1150</v>
      </c>
      <c r="X1058">
        <v>70</v>
      </c>
      <c r="Y1058">
        <v>0</v>
      </c>
      <c r="Z1058">
        <v>0</v>
      </c>
      <c r="AA1058">
        <v>1</v>
      </c>
      <c r="AB1058">
        <v>0</v>
      </c>
      <c r="AC1058">
        <v>800</v>
      </c>
      <c r="AD1058">
        <v>1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f t="shared" si="50"/>
        <v>0</v>
      </c>
      <c r="AU1058">
        <f t="shared" si="48"/>
        <v>0</v>
      </c>
      <c r="AV1058">
        <f t="shared" si="49"/>
        <v>882</v>
      </c>
      <c r="AY1058">
        <v>260</v>
      </c>
      <c r="AZ1058">
        <v>71.5</v>
      </c>
      <c r="BC1058" t="s">
        <v>50</v>
      </c>
    </row>
    <row r="1059" spans="3:55" x14ac:dyDescent="0.45">
      <c r="C1059">
        <v>96.141900000000007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3.73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880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f t="shared" si="50"/>
        <v>1.0444</v>
      </c>
      <c r="AU1059">
        <f t="shared" si="48"/>
        <v>0</v>
      </c>
      <c r="AV1059">
        <f t="shared" si="49"/>
        <v>882</v>
      </c>
      <c r="BC1059" t="s">
        <v>59</v>
      </c>
    </row>
    <row r="1060" spans="3:55" x14ac:dyDescent="0.45">
      <c r="C1060">
        <v>96.222499999999997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3.66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880</v>
      </c>
      <c r="X1060">
        <v>60</v>
      </c>
      <c r="Y1060">
        <v>0</v>
      </c>
      <c r="Z1060">
        <v>0</v>
      </c>
      <c r="AA1060">
        <v>1</v>
      </c>
      <c r="AB1060">
        <v>0</v>
      </c>
      <c r="AC1060">
        <v>750</v>
      </c>
      <c r="AD1060">
        <v>2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f t="shared" si="50"/>
        <v>1.0248000000000002</v>
      </c>
      <c r="AU1060">
        <f t="shared" si="48"/>
        <v>0</v>
      </c>
      <c r="AV1060">
        <f t="shared" si="49"/>
        <v>882</v>
      </c>
      <c r="AX1060">
        <v>387</v>
      </c>
      <c r="AY1060">
        <v>503</v>
      </c>
      <c r="AZ1060">
        <v>27</v>
      </c>
      <c r="BC1060" t="s">
        <v>59</v>
      </c>
    </row>
    <row r="1061" spans="3:55" x14ac:dyDescent="0.45">
      <c r="C1061">
        <v>96.298599999999993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3.57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880</v>
      </c>
      <c r="X1061">
        <v>60</v>
      </c>
      <c r="Y1061">
        <v>0</v>
      </c>
      <c r="Z1061">
        <v>0</v>
      </c>
      <c r="AA1061">
        <v>1</v>
      </c>
      <c r="AB1061">
        <v>0</v>
      </c>
      <c r="AC1061">
        <v>800</v>
      </c>
      <c r="AD1061">
        <v>2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f t="shared" si="50"/>
        <v>0.99960000000000004</v>
      </c>
      <c r="AU1061">
        <f t="shared" si="48"/>
        <v>0</v>
      </c>
      <c r="AV1061">
        <f t="shared" si="49"/>
        <v>882</v>
      </c>
      <c r="AX1061">
        <v>372</v>
      </c>
      <c r="AY1061">
        <v>506</v>
      </c>
      <c r="AZ1061">
        <v>27</v>
      </c>
      <c r="BC1061" t="s">
        <v>59</v>
      </c>
    </row>
    <row r="1062" spans="3:55" x14ac:dyDescent="0.45">
      <c r="C1062">
        <v>96.221699999999998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3.66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880</v>
      </c>
      <c r="X1062">
        <v>60</v>
      </c>
      <c r="Y1062">
        <v>0</v>
      </c>
      <c r="Z1062">
        <v>0</v>
      </c>
      <c r="AA1062">
        <v>1</v>
      </c>
      <c r="AB1062">
        <v>0</v>
      </c>
      <c r="AC1062">
        <v>830</v>
      </c>
      <c r="AD1062">
        <v>2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f t="shared" si="50"/>
        <v>1.0248000000000002</v>
      </c>
      <c r="AU1062">
        <f t="shared" si="48"/>
        <v>0</v>
      </c>
      <c r="AV1062">
        <f t="shared" si="49"/>
        <v>882</v>
      </c>
      <c r="AX1062">
        <v>347</v>
      </c>
      <c r="AY1062">
        <v>496</v>
      </c>
      <c r="AZ1062">
        <v>31</v>
      </c>
      <c r="BC1062" t="s">
        <v>59</v>
      </c>
    </row>
    <row r="1063" spans="3:55" x14ac:dyDescent="0.45">
      <c r="C1063">
        <v>85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900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f t="shared" si="50"/>
        <v>15</v>
      </c>
      <c r="AU1063">
        <f t="shared" si="48"/>
        <v>0</v>
      </c>
      <c r="AV1063">
        <f t="shared" si="49"/>
        <v>739.5</v>
      </c>
      <c r="AX1063">
        <v>440</v>
      </c>
      <c r="AY1063">
        <v>701</v>
      </c>
      <c r="AZ1063">
        <v>34</v>
      </c>
      <c r="BC1063" t="s">
        <v>70</v>
      </c>
    </row>
    <row r="1064" spans="3:55" x14ac:dyDescent="0.45">
      <c r="C1064">
        <v>94.129000000000005</v>
      </c>
      <c r="D1064">
        <v>5.73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830</v>
      </c>
      <c r="AD1064">
        <v>2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f t="shared" si="50"/>
        <v>-5.73</v>
      </c>
      <c r="AU1064">
        <f t="shared" si="48"/>
        <v>5.73</v>
      </c>
      <c r="AV1064">
        <f t="shared" si="49"/>
        <v>894.03300000000002</v>
      </c>
      <c r="BC1064" t="s">
        <v>78</v>
      </c>
    </row>
    <row r="1065" spans="3:55" x14ac:dyDescent="0.45">
      <c r="C1065">
        <v>93.977000000000004</v>
      </c>
      <c r="D1065">
        <v>5.96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1150</v>
      </c>
      <c r="X1065">
        <v>70</v>
      </c>
      <c r="Y1065">
        <v>0</v>
      </c>
      <c r="Z1065">
        <v>0</v>
      </c>
      <c r="AA1065">
        <v>1</v>
      </c>
      <c r="AB1065">
        <v>0</v>
      </c>
      <c r="AC1065">
        <v>1000</v>
      </c>
      <c r="AD1065">
        <v>1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f t="shared" si="50"/>
        <v>-5.96</v>
      </c>
      <c r="AU1065">
        <f t="shared" si="48"/>
        <v>5.96</v>
      </c>
      <c r="AV1065">
        <f t="shared" si="49"/>
        <v>894.51599999999996</v>
      </c>
      <c r="AY1065">
        <v>684</v>
      </c>
      <c r="AZ1065">
        <v>19.5</v>
      </c>
      <c r="BC1065" t="s">
        <v>50</v>
      </c>
    </row>
    <row r="1066" spans="3:55" x14ac:dyDescent="0.45">
      <c r="C1066">
        <v>51.8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7.1</v>
      </c>
      <c r="K1066">
        <v>41.1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20</v>
      </c>
      <c r="X1066">
        <v>89</v>
      </c>
      <c r="Y1066">
        <v>0</v>
      </c>
      <c r="Z1066">
        <v>0</v>
      </c>
      <c r="AA1066">
        <v>1</v>
      </c>
      <c r="AB1066">
        <v>0</v>
      </c>
      <c r="AC1066">
        <v>1000</v>
      </c>
      <c r="AD1066">
        <v>2</v>
      </c>
      <c r="AE1066">
        <v>1</v>
      </c>
      <c r="AF1066">
        <v>0</v>
      </c>
      <c r="AG1066">
        <v>0</v>
      </c>
      <c r="AH1066">
        <v>1000</v>
      </c>
      <c r="AI1066">
        <v>2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f t="shared" si="50"/>
        <v>11.508000000000001</v>
      </c>
      <c r="AU1066">
        <f t="shared" si="48"/>
        <v>1.1833333333333333</v>
      </c>
      <c r="AV1066">
        <f t="shared" si="49"/>
        <v>833.01</v>
      </c>
      <c r="AY1066">
        <v>490</v>
      </c>
      <c r="AZ1066">
        <v>16</v>
      </c>
      <c r="BB1066" t="s">
        <v>335</v>
      </c>
      <c r="BC1066" t="s">
        <v>84</v>
      </c>
    </row>
    <row r="1067" spans="3:55" x14ac:dyDescent="0.45">
      <c r="C1067">
        <v>75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13</v>
      </c>
      <c r="L1067">
        <v>12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900</v>
      </c>
      <c r="X1067">
        <v>80</v>
      </c>
      <c r="Y1067">
        <v>0</v>
      </c>
      <c r="Z1067">
        <v>0</v>
      </c>
      <c r="AA1067">
        <v>1</v>
      </c>
      <c r="AB1067">
        <v>0</v>
      </c>
      <c r="AC1067">
        <v>1000</v>
      </c>
      <c r="AD1067">
        <v>24</v>
      </c>
      <c r="AE1067">
        <v>1</v>
      </c>
      <c r="AF1067">
        <v>0</v>
      </c>
      <c r="AG1067">
        <v>0</v>
      </c>
      <c r="AH1067">
        <v>500</v>
      </c>
      <c r="AI1067">
        <v>24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f t="shared" si="50"/>
        <v>15.64</v>
      </c>
      <c r="AU1067">
        <f t="shared" ref="AU1067:AU1130" si="51">D1067+J1067/6+M1067/3+(T1067+S1067)/10</f>
        <v>0</v>
      </c>
      <c r="AV1067">
        <f t="shared" si="49"/>
        <v>768</v>
      </c>
      <c r="AY1067">
        <v>1111</v>
      </c>
      <c r="AZ1067">
        <v>6.3</v>
      </c>
      <c r="BC1067" t="s">
        <v>113</v>
      </c>
    </row>
    <row r="1068" spans="3:55" x14ac:dyDescent="0.45">
      <c r="C1068">
        <v>80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8</v>
      </c>
      <c r="L1068">
        <v>12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780</v>
      </c>
      <c r="X1068">
        <v>80</v>
      </c>
      <c r="Y1068">
        <v>0</v>
      </c>
      <c r="Z1068">
        <v>0</v>
      </c>
      <c r="AA1068">
        <v>1</v>
      </c>
      <c r="AB1068">
        <v>0</v>
      </c>
      <c r="AC1068">
        <v>950</v>
      </c>
      <c r="AD1068">
        <v>1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f t="shared" si="50"/>
        <v>14.24</v>
      </c>
      <c r="AU1068">
        <f t="shared" si="51"/>
        <v>0</v>
      </c>
      <c r="AV1068">
        <f t="shared" si="49"/>
        <v>768</v>
      </c>
      <c r="AY1068">
        <v>716</v>
      </c>
      <c r="AZ1068">
        <v>33</v>
      </c>
      <c r="BC1068" t="s">
        <v>94</v>
      </c>
    </row>
    <row r="1069" spans="3:55" x14ac:dyDescent="0.45">
      <c r="C1069">
        <v>90.924999999999997</v>
      </c>
      <c r="D1069">
        <v>5.91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3.03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830</v>
      </c>
      <c r="AD1069">
        <v>2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f t="shared" si="50"/>
        <v>-5.0616000000000003</v>
      </c>
      <c r="AU1069">
        <f t="shared" si="51"/>
        <v>5.91</v>
      </c>
      <c r="AV1069">
        <f t="shared" si="49"/>
        <v>894.41100000000006</v>
      </c>
      <c r="BC1069" t="s">
        <v>78</v>
      </c>
    </row>
    <row r="1070" spans="3:55" x14ac:dyDescent="0.45">
      <c r="C1070">
        <v>92.155000000000001</v>
      </c>
      <c r="D1070">
        <v>5.73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830</v>
      </c>
      <c r="AD1070">
        <v>2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f t="shared" si="50"/>
        <v>-3.7300000000000004</v>
      </c>
      <c r="AU1070">
        <f t="shared" si="51"/>
        <v>5.73</v>
      </c>
      <c r="AV1070">
        <f t="shared" si="49"/>
        <v>875.03300000000002</v>
      </c>
      <c r="BC1070" t="s">
        <v>78</v>
      </c>
    </row>
    <row r="1071" spans="3:55" x14ac:dyDescent="0.45">
      <c r="C1071">
        <v>84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15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900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f t="shared" si="50"/>
        <v>17.899999999999999</v>
      </c>
      <c r="AU1071">
        <f t="shared" si="51"/>
        <v>0</v>
      </c>
      <c r="AV1071">
        <f t="shared" si="49"/>
        <v>724.1</v>
      </c>
      <c r="AX1071">
        <v>845</v>
      </c>
      <c r="BC1071" t="s">
        <v>70</v>
      </c>
    </row>
    <row r="1072" spans="3:55" x14ac:dyDescent="0.45">
      <c r="C1072">
        <v>52.5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7.1</v>
      </c>
      <c r="K1072">
        <v>35.299999999999997</v>
      </c>
      <c r="L1072">
        <v>0</v>
      </c>
      <c r="M1072">
        <v>0</v>
      </c>
      <c r="N1072">
        <v>0</v>
      </c>
      <c r="O1072">
        <v>5.0999999999999996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20</v>
      </c>
      <c r="X1072">
        <v>89</v>
      </c>
      <c r="Y1072">
        <v>0</v>
      </c>
      <c r="Z1072">
        <v>0</v>
      </c>
      <c r="AA1072">
        <v>1</v>
      </c>
      <c r="AB1072">
        <v>0</v>
      </c>
      <c r="AC1072">
        <v>1000</v>
      </c>
      <c r="AD1072">
        <v>2</v>
      </c>
      <c r="AE1072">
        <v>1</v>
      </c>
      <c r="AF1072">
        <v>0</v>
      </c>
      <c r="AG1072">
        <v>0</v>
      </c>
      <c r="AH1072">
        <v>1000</v>
      </c>
      <c r="AI1072">
        <v>2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f t="shared" si="50"/>
        <v>11.006</v>
      </c>
      <c r="AU1072">
        <f t="shared" si="51"/>
        <v>1.1833333333333333</v>
      </c>
      <c r="AV1072">
        <f t="shared" si="49"/>
        <v>833.01</v>
      </c>
      <c r="AY1072">
        <v>550</v>
      </c>
      <c r="AZ1072">
        <v>21</v>
      </c>
      <c r="BC1072" t="s">
        <v>84</v>
      </c>
    </row>
    <row r="1073" spans="3:55" x14ac:dyDescent="0.45">
      <c r="C1073">
        <v>89.566900000000004</v>
      </c>
      <c r="D1073">
        <v>6.12</v>
      </c>
      <c r="E1073">
        <v>4.0999999999999996</v>
      </c>
      <c r="F1073">
        <v>0</v>
      </c>
      <c r="G1073">
        <v>0</v>
      </c>
      <c r="H1073">
        <v>0.06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930</v>
      </c>
      <c r="X1073">
        <v>20</v>
      </c>
      <c r="Y1073">
        <v>0</v>
      </c>
      <c r="Z1073">
        <v>0</v>
      </c>
      <c r="AA1073">
        <v>1</v>
      </c>
      <c r="AB1073">
        <v>0</v>
      </c>
      <c r="AC1073">
        <v>600</v>
      </c>
      <c r="AD1073">
        <v>1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f t="shared" si="50"/>
        <v>-3.1990000000000003</v>
      </c>
      <c r="AU1073">
        <f t="shared" si="51"/>
        <v>6.12</v>
      </c>
      <c r="AV1073">
        <f t="shared" si="49"/>
        <v>845.548</v>
      </c>
      <c r="BC1073" t="s">
        <v>126</v>
      </c>
    </row>
    <row r="1074" spans="3:55" x14ac:dyDescent="0.45">
      <c r="C1074">
        <v>89.566900000000004</v>
      </c>
      <c r="D1074">
        <v>6.12</v>
      </c>
      <c r="E1074">
        <v>4.0999999999999996</v>
      </c>
      <c r="F1074">
        <v>0</v>
      </c>
      <c r="G1074">
        <v>0</v>
      </c>
      <c r="H1074">
        <v>0.06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950</v>
      </c>
      <c r="X1074">
        <v>20</v>
      </c>
      <c r="Y1074">
        <v>0</v>
      </c>
      <c r="Z1074">
        <v>0</v>
      </c>
      <c r="AA1074">
        <v>1</v>
      </c>
      <c r="AB1074">
        <v>0</v>
      </c>
      <c r="AC1074">
        <v>700</v>
      </c>
      <c r="AD1074">
        <v>1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f t="shared" si="50"/>
        <v>-3.1990000000000003</v>
      </c>
      <c r="AU1074">
        <f t="shared" si="51"/>
        <v>6.12</v>
      </c>
      <c r="AV1074">
        <f t="shared" si="49"/>
        <v>845.548</v>
      </c>
      <c r="BC1074" t="s">
        <v>126</v>
      </c>
    </row>
    <row r="1075" spans="3:55" x14ac:dyDescent="0.45">
      <c r="C1075">
        <v>89.566900000000004</v>
      </c>
      <c r="D1075">
        <v>6.12</v>
      </c>
      <c r="E1075">
        <v>4.0999999999999996</v>
      </c>
      <c r="F1075">
        <v>0</v>
      </c>
      <c r="G1075">
        <v>0</v>
      </c>
      <c r="H1075">
        <v>0.06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970</v>
      </c>
      <c r="X1075">
        <v>20</v>
      </c>
      <c r="Y1075">
        <v>0</v>
      </c>
      <c r="Z1075">
        <v>0</v>
      </c>
      <c r="AA1075">
        <v>1</v>
      </c>
      <c r="AB1075">
        <v>0</v>
      </c>
      <c r="AC1075">
        <v>800</v>
      </c>
      <c r="AD1075">
        <v>1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f t="shared" si="50"/>
        <v>-3.1990000000000003</v>
      </c>
      <c r="AU1075">
        <f t="shared" si="51"/>
        <v>6.12</v>
      </c>
      <c r="AV1075">
        <f t="shared" si="49"/>
        <v>845.548</v>
      </c>
      <c r="BC1075" t="s">
        <v>126</v>
      </c>
    </row>
    <row r="1076" spans="3:55" x14ac:dyDescent="0.45">
      <c r="C1076">
        <v>89.566900000000004</v>
      </c>
      <c r="D1076">
        <v>6.12</v>
      </c>
      <c r="E1076">
        <v>4.0999999999999996</v>
      </c>
      <c r="F1076">
        <v>0</v>
      </c>
      <c r="G1076">
        <v>0</v>
      </c>
      <c r="H1076">
        <v>0.06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930</v>
      </c>
      <c r="X1076">
        <v>50</v>
      </c>
      <c r="Y1076">
        <v>0</v>
      </c>
      <c r="Z1076">
        <v>0</v>
      </c>
      <c r="AA1076">
        <v>1</v>
      </c>
      <c r="AB1076">
        <v>0</v>
      </c>
      <c r="AC1076">
        <v>600</v>
      </c>
      <c r="AD1076">
        <v>1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f t="shared" si="50"/>
        <v>-3.1990000000000003</v>
      </c>
      <c r="AU1076">
        <f t="shared" si="51"/>
        <v>6.12</v>
      </c>
      <c r="AV1076">
        <f t="shared" si="49"/>
        <v>845.548</v>
      </c>
      <c r="BC1076" t="s">
        <v>126</v>
      </c>
    </row>
    <row r="1077" spans="3:55" x14ac:dyDescent="0.45">
      <c r="C1077">
        <v>89.566900000000004</v>
      </c>
      <c r="D1077">
        <v>6.12</v>
      </c>
      <c r="E1077">
        <v>4.0999999999999996</v>
      </c>
      <c r="F1077">
        <v>0</v>
      </c>
      <c r="G1077">
        <v>0</v>
      </c>
      <c r="H1077">
        <v>0.06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950</v>
      </c>
      <c r="X1077">
        <v>50</v>
      </c>
      <c r="Y1077">
        <v>0</v>
      </c>
      <c r="Z1077">
        <v>0</v>
      </c>
      <c r="AA1077">
        <v>1</v>
      </c>
      <c r="AB1077">
        <v>0</v>
      </c>
      <c r="AC1077">
        <v>700</v>
      </c>
      <c r="AD1077">
        <v>1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f t="shared" si="50"/>
        <v>-3.1990000000000003</v>
      </c>
      <c r="AU1077">
        <f t="shared" si="51"/>
        <v>6.12</v>
      </c>
      <c r="AV1077">
        <f t="shared" si="49"/>
        <v>845.548</v>
      </c>
      <c r="BC1077" t="s">
        <v>126</v>
      </c>
    </row>
    <row r="1078" spans="3:55" x14ac:dyDescent="0.45">
      <c r="C1078">
        <v>89.566900000000004</v>
      </c>
      <c r="D1078">
        <v>6.12</v>
      </c>
      <c r="E1078">
        <v>4.0999999999999996</v>
      </c>
      <c r="F1078">
        <v>0</v>
      </c>
      <c r="G1078">
        <v>0</v>
      </c>
      <c r="H1078">
        <v>0.06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970</v>
      </c>
      <c r="X1078">
        <v>50</v>
      </c>
      <c r="Y1078">
        <v>0</v>
      </c>
      <c r="Z1078">
        <v>0</v>
      </c>
      <c r="AA1078">
        <v>1</v>
      </c>
      <c r="AB1078">
        <v>0</v>
      </c>
      <c r="AC1078">
        <v>800</v>
      </c>
      <c r="AD1078">
        <v>1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f t="shared" si="50"/>
        <v>-3.1990000000000003</v>
      </c>
      <c r="AU1078">
        <f t="shared" si="51"/>
        <v>6.12</v>
      </c>
      <c r="AV1078">
        <f t="shared" si="49"/>
        <v>845.548</v>
      </c>
      <c r="AX1078">
        <v>798</v>
      </c>
      <c r="AY1078">
        <v>900</v>
      </c>
      <c r="AZ1078">
        <v>15.8</v>
      </c>
      <c r="BC1078" t="s">
        <v>126</v>
      </c>
    </row>
    <row r="1079" spans="3:55" x14ac:dyDescent="0.45">
      <c r="C1079">
        <v>89.566900000000004</v>
      </c>
      <c r="D1079">
        <v>6.12</v>
      </c>
      <c r="E1079">
        <v>4.0999999999999996</v>
      </c>
      <c r="F1079">
        <v>0</v>
      </c>
      <c r="G1079">
        <v>0</v>
      </c>
      <c r="H1079">
        <v>0.06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950</v>
      </c>
      <c r="X1079">
        <v>80</v>
      </c>
      <c r="Y1079">
        <v>0</v>
      </c>
      <c r="Z1079">
        <v>0</v>
      </c>
      <c r="AA1079">
        <v>1</v>
      </c>
      <c r="AB1079">
        <v>0</v>
      </c>
      <c r="AC1079">
        <v>600</v>
      </c>
      <c r="AD1079">
        <v>1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f t="shared" si="50"/>
        <v>-3.1990000000000003</v>
      </c>
      <c r="AU1079">
        <f t="shared" si="51"/>
        <v>6.12</v>
      </c>
      <c r="AV1079">
        <f t="shared" si="49"/>
        <v>845.548</v>
      </c>
      <c r="BC1079" t="s">
        <v>126</v>
      </c>
    </row>
    <row r="1080" spans="3:55" x14ac:dyDescent="0.45">
      <c r="C1080">
        <v>89.566900000000004</v>
      </c>
      <c r="D1080">
        <v>6.12</v>
      </c>
      <c r="E1080">
        <v>4.0999999999999996</v>
      </c>
      <c r="F1080">
        <v>0</v>
      </c>
      <c r="G1080">
        <v>0</v>
      </c>
      <c r="H1080">
        <v>0.06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970</v>
      </c>
      <c r="X1080">
        <v>80</v>
      </c>
      <c r="Y1080">
        <v>0</v>
      </c>
      <c r="Z1080">
        <v>0</v>
      </c>
      <c r="AA1080">
        <v>1</v>
      </c>
      <c r="AB1080">
        <v>0</v>
      </c>
      <c r="AC1080">
        <v>700</v>
      </c>
      <c r="AD1080">
        <v>1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f t="shared" si="50"/>
        <v>-3.1990000000000003</v>
      </c>
      <c r="AU1080">
        <f t="shared" si="51"/>
        <v>6.12</v>
      </c>
      <c r="AV1080">
        <f t="shared" si="49"/>
        <v>845.548</v>
      </c>
      <c r="BC1080" t="s">
        <v>126</v>
      </c>
    </row>
    <row r="1081" spans="3:55" x14ac:dyDescent="0.45">
      <c r="C1081">
        <v>89.566900000000004</v>
      </c>
      <c r="D1081">
        <v>6.12</v>
      </c>
      <c r="E1081">
        <v>4.0999999999999996</v>
      </c>
      <c r="F1081">
        <v>0</v>
      </c>
      <c r="G1081">
        <v>0</v>
      </c>
      <c r="H1081">
        <v>0.06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930</v>
      </c>
      <c r="X1081">
        <v>80</v>
      </c>
      <c r="Y1081">
        <v>0</v>
      </c>
      <c r="Z1081">
        <v>0</v>
      </c>
      <c r="AA1081">
        <v>1</v>
      </c>
      <c r="AB1081">
        <v>0</v>
      </c>
      <c r="AC1081">
        <v>800</v>
      </c>
      <c r="AD1081">
        <v>1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f t="shared" si="50"/>
        <v>-3.1990000000000003</v>
      </c>
      <c r="AU1081">
        <f t="shared" si="51"/>
        <v>6.12</v>
      </c>
      <c r="AV1081">
        <f t="shared" si="49"/>
        <v>845.548</v>
      </c>
      <c r="BC1081" t="s">
        <v>126</v>
      </c>
    </row>
    <row r="1082" spans="3:55" x14ac:dyDescent="0.45">
      <c r="C1082">
        <v>89.566900000000004</v>
      </c>
      <c r="D1082">
        <v>6.12</v>
      </c>
      <c r="E1082">
        <v>4.0999999999999996</v>
      </c>
      <c r="F1082">
        <v>0</v>
      </c>
      <c r="G1082">
        <v>0</v>
      </c>
      <c r="H1082">
        <v>0.06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970</v>
      </c>
      <c r="X1082">
        <v>20</v>
      </c>
      <c r="Y1082">
        <v>0</v>
      </c>
      <c r="Z1082">
        <v>0</v>
      </c>
      <c r="AA1082">
        <v>1</v>
      </c>
      <c r="AB1082">
        <v>0</v>
      </c>
      <c r="AC1082">
        <v>600</v>
      </c>
      <c r="AD1082">
        <v>2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f t="shared" si="50"/>
        <v>-3.1990000000000003</v>
      </c>
      <c r="AU1082">
        <f t="shared" si="51"/>
        <v>6.12</v>
      </c>
      <c r="AV1082">
        <f t="shared" si="49"/>
        <v>845.548</v>
      </c>
      <c r="BC1082" t="s">
        <v>126</v>
      </c>
    </row>
    <row r="1083" spans="3:55" x14ac:dyDescent="0.45">
      <c r="C1083">
        <v>89.566900000000004</v>
      </c>
      <c r="D1083">
        <v>6.12</v>
      </c>
      <c r="E1083">
        <v>4.0999999999999996</v>
      </c>
      <c r="F1083">
        <v>0</v>
      </c>
      <c r="G1083">
        <v>0</v>
      </c>
      <c r="H1083">
        <v>0.06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930</v>
      </c>
      <c r="X1083">
        <v>20</v>
      </c>
      <c r="Y1083">
        <v>0</v>
      </c>
      <c r="Z1083">
        <v>0</v>
      </c>
      <c r="AA1083">
        <v>1</v>
      </c>
      <c r="AB1083">
        <v>0</v>
      </c>
      <c r="AC1083">
        <v>700</v>
      </c>
      <c r="AD1083">
        <v>2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f t="shared" si="50"/>
        <v>-3.1990000000000003</v>
      </c>
      <c r="AU1083">
        <f t="shared" si="51"/>
        <v>6.12</v>
      </c>
      <c r="AV1083">
        <f t="shared" si="49"/>
        <v>845.548</v>
      </c>
      <c r="BC1083" t="s">
        <v>126</v>
      </c>
    </row>
    <row r="1084" spans="3:55" x14ac:dyDescent="0.45">
      <c r="C1084">
        <v>89.566900000000004</v>
      </c>
      <c r="D1084">
        <v>6.12</v>
      </c>
      <c r="E1084">
        <v>4.0999999999999996</v>
      </c>
      <c r="F1084">
        <v>0</v>
      </c>
      <c r="G1084">
        <v>0</v>
      </c>
      <c r="H1084">
        <v>0.06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950</v>
      </c>
      <c r="X1084">
        <v>20</v>
      </c>
      <c r="Y1084">
        <v>0</v>
      </c>
      <c r="Z1084">
        <v>0</v>
      </c>
      <c r="AA1084">
        <v>1</v>
      </c>
      <c r="AB1084">
        <v>0</v>
      </c>
      <c r="AC1084">
        <v>800</v>
      </c>
      <c r="AD1084">
        <v>2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f t="shared" si="50"/>
        <v>-3.1990000000000003</v>
      </c>
      <c r="AU1084">
        <f t="shared" si="51"/>
        <v>6.12</v>
      </c>
      <c r="AV1084">
        <f t="shared" si="49"/>
        <v>845.548</v>
      </c>
      <c r="BC1084" t="s">
        <v>126</v>
      </c>
    </row>
    <row r="1085" spans="3:55" x14ac:dyDescent="0.45">
      <c r="C1085">
        <v>89.566900000000004</v>
      </c>
      <c r="D1085">
        <v>6.12</v>
      </c>
      <c r="E1085">
        <v>4.0999999999999996</v>
      </c>
      <c r="F1085">
        <v>0</v>
      </c>
      <c r="G1085">
        <v>0</v>
      </c>
      <c r="H1085">
        <v>0.06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950</v>
      </c>
      <c r="X1085">
        <v>50</v>
      </c>
      <c r="Y1085">
        <v>0</v>
      </c>
      <c r="Z1085">
        <v>0</v>
      </c>
      <c r="AA1085">
        <v>1</v>
      </c>
      <c r="AB1085">
        <v>0</v>
      </c>
      <c r="AC1085">
        <v>600</v>
      </c>
      <c r="AD1085">
        <v>2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f t="shared" si="50"/>
        <v>-3.1990000000000003</v>
      </c>
      <c r="AU1085">
        <f t="shared" si="51"/>
        <v>6.12</v>
      </c>
      <c r="AV1085">
        <f t="shared" si="49"/>
        <v>845.548</v>
      </c>
      <c r="BC1085" t="s">
        <v>126</v>
      </c>
    </row>
    <row r="1086" spans="3:55" x14ac:dyDescent="0.45">
      <c r="C1086">
        <v>89.566900000000004</v>
      </c>
      <c r="D1086">
        <v>6.12</v>
      </c>
      <c r="E1086">
        <v>4.0999999999999996</v>
      </c>
      <c r="F1086">
        <v>0</v>
      </c>
      <c r="G1086">
        <v>0</v>
      </c>
      <c r="H1086">
        <v>0.06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970</v>
      </c>
      <c r="X1086">
        <v>50</v>
      </c>
      <c r="Y1086">
        <v>0</v>
      </c>
      <c r="Z1086">
        <v>0</v>
      </c>
      <c r="AA1086">
        <v>1</v>
      </c>
      <c r="AB1086">
        <v>0</v>
      </c>
      <c r="AC1086">
        <v>700</v>
      </c>
      <c r="AD1086">
        <v>2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f t="shared" si="50"/>
        <v>-3.1990000000000003</v>
      </c>
      <c r="AU1086">
        <f t="shared" si="51"/>
        <v>6.12</v>
      </c>
      <c r="AV1086">
        <f t="shared" si="49"/>
        <v>845.548</v>
      </c>
      <c r="BC1086" t="s">
        <v>126</v>
      </c>
    </row>
    <row r="1087" spans="3:55" x14ac:dyDescent="0.45">
      <c r="C1087">
        <v>89.566900000000004</v>
      </c>
      <c r="D1087">
        <v>6.12</v>
      </c>
      <c r="E1087">
        <v>4.0999999999999996</v>
      </c>
      <c r="F1087">
        <v>0</v>
      </c>
      <c r="G1087">
        <v>0</v>
      </c>
      <c r="H1087">
        <v>0.06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930</v>
      </c>
      <c r="X1087">
        <v>50</v>
      </c>
      <c r="Y1087">
        <v>0</v>
      </c>
      <c r="Z1087">
        <v>0</v>
      </c>
      <c r="AA1087">
        <v>1</v>
      </c>
      <c r="AB1087">
        <v>0</v>
      </c>
      <c r="AC1087">
        <v>800</v>
      </c>
      <c r="AD1087">
        <v>2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f t="shared" si="50"/>
        <v>-3.1990000000000003</v>
      </c>
      <c r="AU1087">
        <f t="shared" si="51"/>
        <v>6.12</v>
      </c>
      <c r="AV1087">
        <f t="shared" si="49"/>
        <v>845.548</v>
      </c>
      <c r="BC1087" t="s">
        <v>126</v>
      </c>
    </row>
    <row r="1088" spans="3:55" x14ac:dyDescent="0.45">
      <c r="C1088">
        <v>89.566900000000004</v>
      </c>
      <c r="D1088">
        <v>6.12</v>
      </c>
      <c r="E1088">
        <v>4.0999999999999996</v>
      </c>
      <c r="F1088">
        <v>0</v>
      </c>
      <c r="G1088">
        <v>0</v>
      </c>
      <c r="H1088">
        <v>0.06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970</v>
      </c>
      <c r="X1088">
        <v>80</v>
      </c>
      <c r="Y1088">
        <v>0</v>
      </c>
      <c r="Z1088">
        <v>0</v>
      </c>
      <c r="AA1088">
        <v>1</v>
      </c>
      <c r="AB1088">
        <v>0</v>
      </c>
      <c r="AC1088">
        <v>600</v>
      </c>
      <c r="AD1088">
        <v>2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f t="shared" si="50"/>
        <v>-3.1990000000000003</v>
      </c>
      <c r="AU1088">
        <f t="shared" si="51"/>
        <v>6.12</v>
      </c>
      <c r="AV1088">
        <f t="shared" si="49"/>
        <v>845.548</v>
      </c>
      <c r="BC1088" t="s">
        <v>126</v>
      </c>
    </row>
    <row r="1089" spans="3:55" x14ac:dyDescent="0.45">
      <c r="C1089">
        <v>89.566900000000004</v>
      </c>
      <c r="D1089">
        <v>6.12</v>
      </c>
      <c r="E1089">
        <v>4.0999999999999996</v>
      </c>
      <c r="F1089">
        <v>0</v>
      </c>
      <c r="G1089">
        <v>0</v>
      </c>
      <c r="H1089">
        <v>0.06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930</v>
      </c>
      <c r="X1089">
        <v>80</v>
      </c>
      <c r="Y1089">
        <v>0</v>
      </c>
      <c r="Z1089">
        <v>0</v>
      </c>
      <c r="AA1089">
        <v>1</v>
      </c>
      <c r="AB1089">
        <v>0</v>
      </c>
      <c r="AC1089">
        <v>700</v>
      </c>
      <c r="AD1089">
        <v>2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f t="shared" si="50"/>
        <v>-3.1990000000000003</v>
      </c>
      <c r="AU1089">
        <f t="shared" si="51"/>
        <v>6.12</v>
      </c>
      <c r="AV1089">
        <f t="shared" si="49"/>
        <v>845.548</v>
      </c>
      <c r="BC1089" t="s">
        <v>126</v>
      </c>
    </row>
    <row r="1090" spans="3:55" x14ac:dyDescent="0.45">
      <c r="C1090">
        <v>89.566900000000004</v>
      </c>
      <c r="D1090">
        <v>6.12</v>
      </c>
      <c r="E1090">
        <v>4.0999999999999996</v>
      </c>
      <c r="F1090">
        <v>0</v>
      </c>
      <c r="G1090">
        <v>0</v>
      </c>
      <c r="H1090">
        <v>0.06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950</v>
      </c>
      <c r="X1090">
        <v>80</v>
      </c>
      <c r="Y1090">
        <v>0</v>
      </c>
      <c r="Z1090">
        <v>0</v>
      </c>
      <c r="AA1090">
        <v>1</v>
      </c>
      <c r="AB1090">
        <v>0</v>
      </c>
      <c r="AC1090">
        <v>800</v>
      </c>
      <c r="AD1090">
        <v>2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f t="shared" si="50"/>
        <v>-3.1990000000000003</v>
      </c>
      <c r="AU1090">
        <f t="shared" si="51"/>
        <v>6.12</v>
      </c>
      <c r="AV1090">
        <f t="shared" ref="AV1090:AV1153" si="52">882+2.1*D1090-9.5*L1090+4.2*M1090-6.9*J1090-11.8*E1090-12.1*F1090-15.4*H1090+23.3*Q1090+123*T1090</f>
        <v>845.548</v>
      </c>
      <c r="BC1090" t="s">
        <v>126</v>
      </c>
    </row>
    <row r="1091" spans="3:55" x14ac:dyDescent="0.45">
      <c r="C1091">
        <v>89.498000000000005</v>
      </c>
      <c r="D1091">
        <v>6.2</v>
      </c>
      <c r="E1091">
        <v>4.2</v>
      </c>
      <c r="F1091">
        <v>0</v>
      </c>
      <c r="G1091">
        <v>0</v>
      </c>
      <c r="H1091">
        <v>1.7999999999999999E-2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800</v>
      </c>
      <c r="AD1091">
        <v>1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f t="shared" ref="AT1091:AT1154" si="53">L1091+0.67*E1091+0.44*P1091+0.28*K1091+0.22*O1091+2.9*H1091+1.6*F1091+1.7*G1091-D1091</f>
        <v>-3.3337999999999997</v>
      </c>
      <c r="AU1091">
        <f t="shared" si="51"/>
        <v>6.2</v>
      </c>
      <c r="AV1091">
        <f t="shared" si="52"/>
        <v>845.18280000000004</v>
      </c>
      <c r="AX1091">
        <v>813</v>
      </c>
      <c r="AY1091">
        <v>924</v>
      </c>
      <c r="AZ1091">
        <v>14.5</v>
      </c>
      <c r="BC1091" t="s">
        <v>127</v>
      </c>
    </row>
    <row r="1092" spans="3:55" x14ac:dyDescent="0.45">
      <c r="C1092">
        <v>89.498000000000005</v>
      </c>
      <c r="D1092">
        <v>6.2</v>
      </c>
      <c r="E1092">
        <v>4.2</v>
      </c>
      <c r="F1092">
        <v>0</v>
      </c>
      <c r="G1092">
        <v>0</v>
      </c>
      <c r="H1092">
        <v>1.7999999999999999E-2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900</v>
      </c>
      <c r="AD1092">
        <v>1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f t="shared" si="53"/>
        <v>-3.3337999999999997</v>
      </c>
      <c r="AU1092">
        <f t="shared" si="51"/>
        <v>6.2</v>
      </c>
      <c r="AV1092">
        <f t="shared" si="52"/>
        <v>845.18280000000004</v>
      </c>
      <c r="AX1092">
        <v>826</v>
      </c>
      <c r="AY1092">
        <v>930</v>
      </c>
      <c r="AZ1092">
        <v>16</v>
      </c>
      <c r="BC1092" t="s">
        <v>127</v>
      </c>
    </row>
    <row r="1093" spans="3:55" x14ac:dyDescent="0.45">
      <c r="C1093">
        <v>89.498000000000005</v>
      </c>
      <c r="D1093">
        <v>6.2</v>
      </c>
      <c r="E1093">
        <v>4.2</v>
      </c>
      <c r="F1093">
        <v>0</v>
      </c>
      <c r="G1093">
        <v>0</v>
      </c>
      <c r="H1093">
        <v>1.7999999999999999E-2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1000</v>
      </c>
      <c r="AD1093">
        <v>1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f t="shared" si="53"/>
        <v>-3.3337999999999997</v>
      </c>
      <c r="AU1093">
        <f t="shared" si="51"/>
        <v>6.2</v>
      </c>
      <c r="AV1093">
        <f t="shared" si="52"/>
        <v>845.18280000000004</v>
      </c>
      <c r="AX1093">
        <v>798</v>
      </c>
      <c r="AY1093">
        <v>975</v>
      </c>
      <c r="AZ1093">
        <v>12</v>
      </c>
      <c r="BB1093" t="s">
        <v>349</v>
      </c>
      <c r="BC1093" t="s">
        <v>127</v>
      </c>
    </row>
    <row r="1094" spans="3:55" x14ac:dyDescent="0.45">
      <c r="C1094">
        <v>89.498000000000005</v>
      </c>
      <c r="D1094">
        <v>6.2</v>
      </c>
      <c r="E1094">
        <v>4.2</v>
      </c>
      <c r="F1094">
        <v>0</v>
      </c>
      <c r="G1094">
        <v>0</v>
      </c>
      <c r="H1094">
        <v>1.7999999999999999E-2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1000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f t="shared" si="53"/>
        <v>-3.3337999999999997</v>
      </c>
      <c r="AU1094">
        <f t="shared" si="51"/>
        <v>6.2</v>
      </c>
      <c r="AV1094">
        <f t="shared" si="52"/>
        <v>845.18280000000004</v>
      </c>
      <c r="AX1094">
        <v>743</v>
      </c>
      <c r="AY1094">
        <v>881</v>
      </c>
      <c r="AZ1094">
        <v>14</v>
      </c>
      <c r="BB1094" t="s">
        <v>349</v>
      </c>
      <c r="BC1094" t="s">
        <v>127</v>
      </c>
    </row>
    <row r="1095" spans="3:55" x14ac:dyDescent="0.45">
      <c r="C1095">
        <v>64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4</v>
      </c>
      <c r="K1095">
        <v>24</v>
      </c>
      <c r="L1095">
        <v>0</v>
      </c>
      <c r="M1095">
        <v>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20</v>
      </c>
      <c r="X1095">
        <v>94</v>
      </c>
      <c r="Y1095">
        <v>0</v>
      </c>
      <c r="Z1095">
        <v>0</v>
      </c>
      <c r="AA1095">
        <v>1</v>
      </c>
      <c r="AB1095">
        <v>0</v>
      </c>
      <c r="AC1095">
        <v>900</v>
      </c>
      <c r="AD1095">
        <v>0.5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f t="shared" si="53"/>
        <v>6.7200000000000006</v>
      </c>
      <c r="AU1095">
        <f t="shared" si="51"/>
        <v>3.333333333333333</v>
      </c>
      <c r="AV1095">
        <f t="shared" si="52"/>
        <v>888</v>
      </c>
      <c r="AY1095">
        <v>870</v>
      </c>
      <c r="AZ1095">
        <v>10</v>
      </c>
      <c r="BC1095" t="s">
        <v>132</v>
      </c>
    </row>
    <row r="1096" spans="3:55" x14ac:dyDescent="0.45">
      <c r="C1096">
        <v>64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4</v>
      </c>
      <c r="K1096">
        <v>24</v>
      </c>
      <c r="L1096">
        <v>0</v>
      </c>
      <c r="M1096">
        <v>8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20</v>
      </c>
      <c r="X1096">
        <v>94</v>
      </c>
      <c r="Y1096">
        <v>0</v>
      </c>
      <c r="Z1096">
        <v>0</v>
      </c>
      <c r="AA1096">
        <v>1</v>
      </c>
      <c r="AB1096">
        <v>0</v>
      </c>
      <c r="AC1096">
        <v>700</v>
      </c>
      <c r="AD1096">
        <v>0.05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f t="shared" si="53"/>
        <v>6.7200000000000006</v>
      </c>
      <c r="AU1096">
        <f t="shared" si="51"/>
        <v>3.333333333333333</v>
      </c>
      <c r="AV1096">
        <f t="shared" si="52"/>
        <v>888</v>
      </c>
      <c r="AY1096">
        <v>990</v>
      </c>
      <c r="AZ1096">
        <v>9</v>
      </c>
      <c r="BC1096" t="s">
        <v>132</v>
      </c>
    </row>
    <row r="1097" spans="3:55" x14ac:dyDescent="0.45">
      <c r="C1097">
        <v>93</v>
      </c>
      <c r="D1097">
        <v>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3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960</v>
      </c>
      <c r="AD1097">
        <v>1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f t="shared" si="53"/>
        <v>-2</v>
      </c>
      <c r="AU1097">
        <f t="shared" si="51"/>
        <v>3.5</v>
      </c>
      <c r="AV1097">
        <f t="shared" si="52"/>
        <v>858.09999999999991</v>
      </c>
      <c r="AX1097">
        <v>501</v>
      </c>
      <c r="AY1097">
        <v>604</v>
      </c>
      <c r="AZ1097">
        <v>12</v>
      </c>
      <c r="BB1097" t="s">
        <v>294</v>
      </c>
      <c r="BC1097" t="s">
        <v>153</v>
      </c>
    </row>
    <row r="1098" spans="3:55" x14ac:dyDescent="0.45">
      <c r="C1098">
        <v>93</v>
      </c>
      <c r="D1098">
        <v>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3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920</v>
      </c>
      <c r="AD1098">
        <v>1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f t="shared" si="53"/>
        <v>-2</v>
      </c>
      <c r="AU1098">
        <f t="shared" si="51"/>
        <v>3.5</v>
      </c>
      <c r="AV1098">
        <f t="shared" si="52"/>
        <v>858.09999999999991</v>
      </c>
      <c r="AX1098">
        <v>572</v>
      </c>
      <c r="AY1098">
        <v>652</v>
      </c>
      <c r="AZ1098">
        <v>15</v>
      </c>
      <c r="BB1098" t="s">
        <v>294</v>
      </c>
      <c r="BC1098" t="s">
        <v>153</v>
      </c>
    </row>
    <row r="1099" spans="3:55" x14ac:dyDescent="0.45">
      <c r="C1099">
        <v>93</v>
      </c>
      <c r="D1099">
        <v>3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3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920</v>
      </c>
      <c r="AD1099">
        <v>1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f t="shared" si="53"/>
        <v>-2</v>
      </c>
      <c r="AU1099">
        <f t="shared" si="51"/>
        <v>3.5</v>
      </c>
      <c r="AV1099">
        <f t="shared" si="52"/>
        <v>858.09999999999991</v>
      </c>
      <c r="AX1099">
        <v>587</v>
      </c>
      <c r="AY1099">
        <v>659</v>
      </c>
      <c r="AZ1099">
        <v>20</v>
      </c>
      <c r="BB1099" t="s">
        <v>294</v>
      </c>
      <c r="BC1099" t="s">
        <v>153</v>
      </c>
    </row>
    <row r="1100" spans="3:55" x14ac:dyDescent="0.45">
      <c r="C1100">
        <v>89</v>
      </c>
      <c r="D1100">
        <v>6</v>
      </c>
      <c r="E1100">
        <v>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920</v>
      </c>
      <c r="X1100">
        <v>50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f t="shared" si="53"/>
        <v>-3.1799999999999997</v>
      </c>
      <c r="AU1100">
        <f t="shared" si="51"/>
        <v>6</v>
      </c>
      <c r="AV1100">
        <f t="shared" si="52"/>
        <v>847.4</v>
      </c>
      <c r="AX1100">
        <v>955</v>
      </c>
      <c r="AY1100">
        <v>975</v>
      </c>
      <c r="AZ1100">
        <v>17</v>
      </c>
      <c r="BC1100" t="s">
        <v>156</v>
      </c>
    </row>
    <row r="1101" spans="3:55" x14ac:dyDescent="0.45">
      <c r="C1101">
        <v>89</v>
      </c>
      <c r="D1101">
        <v>6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0.5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920</v>
      </c>
      <c r="X1101">
        <v>50</v>
      </c>
      <c r="Y1101">
        <v>0</v>
      </c>
      <c r="Z1101">
        <v>0</v>
      </c>
      <c r="AA1101">
        <v>1</v>
      </c>
      <c r="AB1101">
        <v>0</v>
      </c>
      <c r="AC1101">
        <v>750</v>
      </c>
      <c r="AD1101">
        <v>1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f t="shared" si="53"/>
        <v>-3.1799999999999997</v>
      </c>
      <c r="AU1101">
        <f t="shared" si="51"/>
        <v>6</v>
      </c>
      <c r="AV1101">
        <f t="shared" si="52"/>
        <v>847.4</v>
      </c>
      <c r="AX1101">
        <v>905</v>
      </c>
      <c r="AY1101">
        <v>932</v>
      </c>
      <c r="AZ1101">
        <v>17.5</v>
      </c>
      <c r="BC1101" t="s">
        <v>215</v>
      </c>
    </row>
    <row r="1102" spans="3:55" x14ac:dyDescent="0.45">
      <c r="C1102">
        <v>89</v>
      </c>
      <c r="D1102">
        <v>6</v>
      </c>
      <c r="E1102">
        <v>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0.5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920</v>
      </c>
      <c r="X1102">
        <v>50</v>
      </c>
      <c r="Y1102">
        <v>0</v>
      </c>
      <c r="Z1102">
        <v>0</v>
      </c>
      <c r="AA1102">
        <v>1</v>
      </c>
      <c r="AB1102">
        <v>0</v>
      </c>
      <c r="AC1102">
        <v>800</v>
      </c>
      <c r="AD1102">
        <v>1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f t="shared" si="53"/>
        <v>-3.1799999999999997</v>
      </c>
      <c r="AU1102">
        <f t="shared" si="51"/>
        <v>6</v>
      </c>
      <c r="AV1102">
        <f t="shared" si="52"/>
        <v>847.4</v>
      </c>
      <c r="AX1102">
        <v>913</v>
      </c>
      <c r="AY1102">
        <v>960</v>
      </c>
      <c r="AZ1102">
        <v>18.3</v>
      </c>
      <c r="BC1102" t="s">
        <v>156</v>
      </c>
    </row>
    <row r="1103" spans="3:55" x14ac:dyDescent="0.45">
      <c r="C1103">
        <v>89</v>
      </c>
      <c r="D1103">
        <v>6</v>
      </c>
      <c r="E1103">
        <v>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0.5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920</v>
      </c>
      <c r="X1103">
        <v>50</v>
      </c>
      <c r="Y1103">
        <v>0</v>
      </c>
      <c r="Z1103">
        <v>0</v>
      </c>
      <c r="AA1103">
        <v>1</v>
      </c>
      <c r="AB1103">
        <v>0</v>
      </c>
      <c r="AC1103">
        <v>850</v>
      </c>
      <c r="AD1103">
        <v>1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f t="shared" si="53"/>
        <v>-3.1799999999999997</v>
      </c>
      <c r="AU1103">
        <f t="shared" si="51"/>
        <v>6</v>
      </c>
      <c r="AV1103">
        <f t="shared" si="52"/>
        <v>847.4</v>
      </c>
      <c r="AX1103">
        <v>900</v>
      </c>
      <c r="AY1103">
        <v>948</v>
      </c>
      <c r="AZ1103">
        <v>17</v>
      </c>
      <c r="BC1103" t="s">
        <v>156</v>
      </c>
    </row>
    <row r="1104" spans="3:55" x14ac:dyDescent="0.45">
      <c r="C1104">
        <v>89</v>
      </c>
      <c r="D1104">
        <v>6</v>
      </c>
      <c r="E1104">
        <v>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0.5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920</v>
      </c>
      <c r="X1104">
        <v>50</v>
      </c>
      <c r="Y1104">
        <v>0</v>
      </c>
      <c r="Z1104">
        <v>0</v>
      </c>
      <c r="AA1104">
        <v>1</v>
      </c>
      <c r="AB1104">
        <v>0</v>
      </c>
      <c r="AC1104">
        <v>900</v>
      </c>
      <c r="AD1104">
        <v>1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f t="shared" si="53"/>
        <v>-3.1799999999999997</v>
      </c>
      <c r="AU1104">
        <f t="shared" si="51"/>
        <v>6</v>
      </c>
      <c r="AV1104">
        <f t="shared" si="52"/>
        <v>847.4</v>
      </c>
      <c r="AX1104">
        <v>900</v>
      </c>
      <c r="AY1104">
        <v>950</v>
      </c>
      <c r="AZ1104">
        <v>18</v>
      </c>
      <c r="BC1104" t="s">
        <v>156</v>
      </c>
    </row>
    <row r="1105" spans="3:55" x14ac:dyDescent="0.45">
      <c r="C1105">
        <v>89</v>
      </c>
      <c r="D1105">
        <v>6</v>
      </c>
      <c r="E1105">
        <v>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0.5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1020</v>
      </c>
      <c r="X1105">
        <v>50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f t="shared" si="53"/>
        <v>-3.1799999999999997</v>
      </c>
      <c r="AU1105">
        <f t="shared" si="51"/>
        <v>6</v>
      </c>
      <c r="AV1105">
        <f t="shared" si="52"/>
        <v>847.4</v>
      </c>
      <c r="AX1105">
        <v>995</v>
      </c>
      <c r="AY1105">
        <v>1027</v>
      </c>
      <c r="AZ1105">
        <v>18</v>
      </c>
      <c r="BC1105" t="s">
        <v>156</v>
      </c>
    </row>
    <row r="1106" spans="3:55" x14ac:dyDescent="0.45">
      <c r="C1106">
        <v>89</v>
      </c>
      <c r="D1106">
        <v>6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1020</v>
      </c>
      <c r="X1106">
        <v>50</v>
      </c>
      <c r="Y1106">
        <v>0</v>
      </c>
      <c r="Z1106">
        <v>0</v>
      </c>
      <c r="AA1106">
        <v>1</v>
      </c>
      <c r="AB1106">
        <v>0</v>
      </c>
      <c r="AC1106">
        <v>750</v>
      </c>
      <c r="AD1106">
        <v>1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f t="shared" si="53"/>
        <v>-3.1799999999999997</v>
      </c>
      <c r="AU1106">
        <f t="shared" si="51"/>
        <v>6</v>
      </c>
      <c r="AV1106">
        <f t="shared" si="52"/>
        <v>847.4</v>
      </c>
      <c r="AX1106">
        <v>964</v>
      </c>
      <c r="AY1106">
        <v>1005</v>
      </c>
      <c r="AZ1106">
        <v>15.8</v>
      </c>
      <c r="BC1106" t="s">
        <v>156</v>
      </c>
    </row>
    <row r="1107" spans="3:55" x14ac:dyDescent="0.45">
      <c r="C1107">
        <v>89</v>
      </c>
      <c r="D1107">
        <v>6</v>
      </c>
      <c r="E1107">
        <v>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0.5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1020</v>
      </c>
      <c r="X1107">
        <v>50</v>
      </c>
      <c r="Y1107">
        <v>0</v>
      </c>
      <c r="Z1107">
        <v>0</v>
      </c>
      <c r="AA1107">
        <v>1</v>
      </c>
      <c r="AB1107">
        <v>0</v>
      </c>
      <c r="AC1107">
        <v>800</v>
      </c>
      <c r="AD1107">
        <v>1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f t="shared" si="53"/>
        <v>-3.1799999999999997</v>
      </c>
      <c r="AU1107">
        <f t="shared" si="51"/>
        <v>6</v>
      </c>
      <c r="AV1107">
        <f t="shared" si="52"/>
        <v>847.4</v>
      </c>
      <c r="AX1107">
        <v>950</v>
      </c>
      <c r="AY1107">
        <v>987</v>
      </c>
      <c r="AZ1107">
        <v>16.7</v>
      </c>
      <c r="BC1107" t="s">
        <v>156</v>
      </c>
    </row>
    <row r="1108" spans="3:55" x14ac:dyDescent="0.45">
      <c r="C1108">
        <v>89</v>
      </c>
      <c r="D1108">
        <v>6</v>
      </c>
      <c r="E1108">
        <v>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0.5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1020</v>
      </c>
      <c r="X1108">
        <v>50</v>
      </c>
      <c r="Y1108">
        <v>0</v>
      </c>
      <c r="Z1108">
        <v>0</v>
      </c>
      <c r="AA1108">
        <v>1</v>
      </c>
      <c r="AB1108">
        <v>0</v>
      </c>
      <c r="AC1108">
        <v>850</v>
      </c>
      <c r="AD1108">
        <v>1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f t="shared" si="53"/>
        <v>-3.1799999999999997</v>
      </c>
      <c r="AU1108">
        <f t="shared" si="51"/>
        <v>6</v>
      </c>
      <c r="AV1108">
        <f t="shared" si="52"/>
        <v>847.4</v>
      </c>
      <c r="AX1108">
        <v>940</v>
      </c>
      <c r="AY1108">
        <v>983</v>
      </c>
      <c r="AZ1108">
        <v>17</v>
      </c>
      <c r="BC1108" t="s">
        <v>156</v>
      </c>
    </row>
    <row r="1109" spans="3:55" x14ac:dyDescent="0.45">
      <c r="C1109">
        <v>89</v>
      </c>
      <c r="D1109">
        <v>6</v>
      </c>
      <c r="E1109">
        <v>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0.5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1020</v>
      </c>
      <c r="X1109">
        <v>50</v>
      </c>
      <c r="Y1109">
        <v>0</v>
      </c>
      <c r="Z1109">
        <v>0</v>
      </c>
      <c r="AA1109">
        <v>1</v>
      </c>
      <c r="AB1109">
        <v>0</v>
      </c>
      <c r="AC1109">
        <v>900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f t="shared" si="53"/>
        <v>-3.1799999999999997</v>
      </c>
      <c r="AU1109">
        <f t="shared" si="51"/>
        <v>6</v>
      </c>
      <c r="AV1109">
        <f t="shared" si="52"/>
        <v>847.4</v>
      </c>
      <c r="AX1109">
        <v>927</v>
      </c>
      <c r="AY1109">
        <v>967</v>
      </c>
      <c r="AZ1109">
        <v>17</v>
      </c>
      <c r="BC1109" t="s">
        <v>156</v>
      </c>
    </row>
    <row r="1110" spans="3:55" x14ac:dyDescent="0.45">
      <c r="C1110">
        <v>86.63</v>
      </c>
      <c r="D1110">
        <v>5</v>
      </c>
      <c r="E1110">
        <v>0</v>
      </c>
      <c r="F1110">
        <v>0</v>
      </c>
      <c r="G1110">
        <v>0</v>
      </c>
      <c r="H1110">
        <v>1.62</v>
      </c>
      <c r="I1110">
        <v>0</v>
      </c>
      <c r="J1110">
        <v>0</v>
      </c>
      <c r="K1110">
        <v>0</v>
      </c>
      <c r="L1110">
        <v>6.65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800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780</v>
      </c>
      <c r="AD1110">
        <v>1</v>
      </c>
      <c r="AE1110">
        <v>0</v>
      </c>
      <c r="AF1110">
        <v>1</v>
      </c>
      <c r="AG1110">
        <v>0</v>
      </c>
      <c r="AH1110">
        <v>560</v>
      </c>
      <c r="AI1110">
        <v>6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f t="shared" si="53"/>
        <v>6.3480000000000008</v>
      </c>
      <c r="AU1110">
        <f t="shared" si="51"/>
        <v>5</v>
      </c>
      <c r="AV1110">
        <f t="shared" si="52"/>
        <v>804.37700000000007</v>
      </c>
      <c r="AX1110">
        <v>1070.49</v>
      </c>
      <c r="AY1110">
        <v>1126.5899999999999</v>
      </c>
      <c r="AZ1110">
        <v>18.5685</v>
      </c>
      <c r="BC1110" t="s">
        <v>108</v>
      </c>
    </row>
    <row r="1111" spans="3:55" x14ac:dyDescent="0.45">
      <c r="C1111">
        <v>86.63</v>
      </c>
      <c r="D1111">
        <v>5</v>
      </c>
      <c r="E1111">
        <v>0</v>
      </c>
      <c r="F1111">
        <v>0</v>
      </c>
      <c r="G1111">
        <v>0</v>
      </c>
      <c r="H1111">
        <v>1.62</v>
      </c>
      <c r="I1111">
        <v>0</v>
      </c>
      <c r="J1111">
        <v>0</v>
      </c>
      <c r="K1111">
        <v>0</v>
      </c>
      <c r="L1111">
        <v>6.65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800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780</v>
      </c>
      <c r="AD1111">
        <v>1</v>
      </c>
      <c r="AE1111">
        <v>0</v>
      </c>
      <c r="AF1111">
        <v>1</v>
      </c>
      <c r="AG1111">
        <v>0</v>
      </c>
      <c r="AH1111">
        <v>560</v>
      </c>
      <c r="AI1111">
        <v>6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f t="shared" si="53"/>
        <v>6.3480000000000008</v>
      </c>
      <c r="AU1111">
        <f t="shared" si="51"/>
        <v>5</v>
      </c>
      <c r="AV1111">
        <f t="shared" si="52"/>
        <v>804.37700000000007</v>
      </c>
      <c r="AX1111">
        <v>1131.97</v>
      </c>
      <c r="AY1111">
        <v>1160.2</v>
      </c>
      <c r="AZ1111">
        <v>17.604500000000002</v>
      </c>
      <c r="BC1111" t="s">
        <v>108</v>
      </c>
    </row>
    <row r="1112" spans="3:55" x14ac:dyDescent="0.45">
      <c r="C1112">
        <v>86.63</v>
      </c>
      <c r="D1112">
        <v>5</v>
      </c>
      <c r="E1112">
        <v>0</v>
      </c>
      <c r="F1112">
        <v>0</v>
      </c>
      <c r="G1112">
        <v>0</v>
      </c>
      <c r="H1112">
        <v>1.62</v>
      </c>
      <c r="I1112">
        <v>0</v>
      </c>
      <c r="J1112">
        <v>0</v>
      </c>
      <c r="K1112">
        <v>0</v>
      </c>
      <c r="L1112">
        <v>6.65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800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780</v>
      </c>
      <c r="AD1112">
        <v>1</v>
      </c>
      <c r="AE1112">
        <v>0</v>
      </c>
      <c r="AF1112">
        <v>1</v>
      </c>
      <c r="AG1112">
        <v>0</v>
      </c>
      <c r="AH1112">
        <v>560</v>
      </c>
      <c r="AI1112">
        <v>6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f t="shared" si="53"/>
        <v>6.3480000000000008</v>
      </c>
      <c r="AU1112">
        <f t="shared" si="51"/>
        <v>5</v>
      </c>
      <c r="AV1112">
        <f t="shared" si="52"/>
        <v>804.37700000000007</v>
      </c>
      <c r="AX1112">
        <v>1066.3900000000001</v>
      </c>
      <c r="AY1112">
        <v>1098.76</v>
      </c>
      <c r="AZ1112">
        <v>18.0625</v>
      </c>
      <c r="BC1112" t="s">
        <v>108</v>
      </c>
    </row>
    <row r="1113" spans="3:55" x14ac:dyDescent="0.45">
      <c r="C1113">
        <v>86.63</v>
      </c>
      <c r="D1113">
        <v>5</v>
      </c>
      <c r="E1113">
        <v>0</v>
      </c>
      <c r="F1113">
        <v>0</v>
      </c>
      <c r="G1113">
        <v>0</v>
      </c>
      <c r="H1113">
        <v>1.62</v>
      </c>
      <c r="I1113">
        <v>0</v>
      </c>
      <c r="J1113">
        <v>0</v>
      </c>
      <c r="K1113">
        <v>0</v>
      </c>
      <c r="L1113">
        <v>6.65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830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780</v>
      </c>
      <c r="AD1113">
        <v>1</v>
      </c>
      <c r="AE1113">
        <v>0</v>
      </c>
      <c r="AF1113">
        <v>1</v>
      </c>
      <c r="AG1113">
        <v>0</v>
      </c>
      <c r="AH1113">
        <v>560</v>
      </c>
      <c r="AI1113">
        <v>6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f t="shared" si="53"/>
        <v>6.3480000000000008</v>
      </c>
      <c r="AU1113">
        <f t="shared" si="51"/>
        <v>5</v>
      </c>
      <c r="AV1113">
        <f t="shared" si="52"/>
        <v>804.37700000000007</v>
      </c>
      <c r="AX1113">
        <v>1110.1099999999999</v>
      </c>
      <c r="AY1113">
        <v>1180.3</v>
      </c>
      <c r="AZ1113">
        <v>15.9626</v>
      </c>
      <c r="BC1113" t="s">
        <v>108</v>
      </c>
    </row>
    <row r="1114" spans="3:55" x14ac:dyDescent="0.45">
      <c r="C1114">
        <v>86.63</v>
      </c>
      <c r="D1114">
        <v>5</v>
      </c>
      <c r="E1114">
        <v>0</v>
      </c>
      <c r="F1114">
        <v>0</v>
      </c>
      <c r="G1114">
        <v>0</v>
      </c>
      <c r="H1114">
        <v>1.62</v>
      </c>
      <c r="I1114">
        <v>0</v>
      </c>
      <c r="J1114">
        <v>0</v>
      </c>
      <c r="K1114">
        <v>0</v>
      </c>
      <c r="L1114">
        <v>6.65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830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780</v>
      </c>
      <c r="AD1114">
        <v>1</v>
      </c>
      <c r="AE1114">
        <v>0</v>
      </c>
      <c r="AF1114">
        <v>1</v>
      </c>
      <c r="AG1114">
        <v>0</v>
      </c>
      <c r="AH1114">
        <v>560</v>
      </c>
      <c r="AI1114">
        <v>6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f t="shared" si="53"/>
        <v>6.3480000000000008</v>
      </c>
      <c r="AU1114">
        <f t="shared" si="51"/>
        <v>5</v>
      </c>
      <c r="AV1114">
        <f t="shared" si="52"/>
        <v>804.37700000000007</v>
      </c>
      <c r="AX1114">
        <v>1145.6300000000001</v>
      </c>
      <c r="AY1114">
        <v>1178.0999999999999</v>
      </c>
      <c r="AZ1114">
        <v>13.6577</v>
      </c>
      <c r="BC1114" t="s">
        <v>108</v>
      </c>
    </row>
    <row r="1115" spans="3:55" x14ac:dyDescent="0.45">
      <c r="C1115">
        <v>86.63</v>
      </c>
      <c r="D1115">
        <v>5</v>
      </c>
      <c r="E1115">
        <v>0</v>
      </c>
      <c r="F1115">
        <v>0</v>
      </c>
      <c r="G1115">
        <v>0</v>
      </c>
      <c r="H1115">
        <v>1.62</v>
      </c>
      <c r="I1115">
        <v>0</v>
      </c>
      <c r="J1115">
        <v>0</v>
      </c>
      <c r="K1115">
        <v>0</v>
      </c>
      <c r="L1115">
        <v>6.65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830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780</v>
      </c>
      <c r="AD1115">
        <v>1</v>
      </c>
      <c r="AE1115">
        <v>0</v>
      </c>
      <c r="AF1115">
        <v>1</v>
      </c>
      <c r="AG1115">
        <v>0</v>
      </c>
      <c r="AH1115">
        <v>560</v>
      </c>
      <c r="AI1115">
        <v>6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f t="shared" si="53"/>
        <v>6.3480000000000008</v>
      </c>
      <c r="AU1115">
        <f t="shared" si="51"/>
        <v>5</v>
      </c>
      <c r="AV1115">
        <f t="shared" si="52"/>
        <v>804.37700000000007</v>
      </c>
      <c r="AX1115">
        <v>1144.26</v>
      </c>
      <c r="AY1115">
        <v>1188.3</v>
      </c>
      <c r="AZ1115">
        <v>11.9832</v>
      </c>
      <c r="BC1115" t="s">
        <v>108</v>
      </c>
    </row>
    <row r="1116" spans="3:55" x14ac:dyDescent="0.45">
      <c r="C1116">
        <v>86.63</v>
      </c>
      <c r="D1116">
        <v>5</v>
      </c>
      <c r="E1116">
        <v>0</v>
      </c>
      <c r="F1116">
        <v>0</v>
      </c>
      <c r="G1116">
        <v>0</v>
      </c>
      <c r="H1116">
        <v>1.62</v>
      </c>
      <c r="I1116">
        <v>0</v>
      </c>
      <c r="J1116">
        <v>0</v>
      </c>
      <c r="K1116">
        <v>0</v>
      </c>
      <c r="L1116">
        <v>6.65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860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780</v>
      </c>
      <c r="AD1116">
        <v>1</v>
      </c>
      <c r="AE1116">
        <v>0</v>
      </c>
      <c r="AF1116">
        <v>1</v>
      </c>
      <c r="AG1116">
        <v>0</v>
      </c>
      <c r="AH1116">
        <v>560</v>
      </c>
      <c r="AI1116">
        <v>6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f t="shared" si="53"/>
        <v>6.3480000000000008</v>
      </c>
      <c r="AU1116">
        <f t="shared" si="51"/>
        <v>5</v>
      </c>
      <c r="AV1116">
        <f t="shared" si="52"/>
        <v>804.37700000000007</v>
      </c>
      <c r="AX1116">
        <v>1122.4000000000001</v>
      </c>
      <c r="AY1116">
        <v>1172.04</v>
      </c>
      <c r="AZ1116">
        <v>17.9375</v>
      </c>
      <c r="BC1116" t="s">
        <v>108</v>
      </c>
    </row>
    <row r="1117" spans="3:55" x14ac:dyDescent="0.45">
      <c r="C1117">
        <v>86.63</v>
      </c>
      <c r="D1117">
        <v>5</v>
      </c>
      <c r="E1117">
        <v>0</v>
      </c>
      <c r="F1117">
        <v>0</v>
      </c>
      <c r="G1117">
        <v>0</v>
      </c>
      <c r="H1117">
        <v>1.62</v>
      </c>
      <c r="I1117">
        <v>0</v>
      </c>
      <c r="J1117">
        <v>0</v>
      </c>
      <c r="K1117">
        <v>0</v>
      </c>
      <c r="L1117">
        <v>6.65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860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780</v>
      </c>
      <c r="AD1117">
        <v>1</v>
      </c>
      <c r="AE1117">
        <v>0</v>
      </c>
      <c r="AF1117">
        <v>1</v>
      </c>
      <c r="AG1117">
        <v>0</v>
      </c>
      <c r="AH1117">
        <v>560</v>
      </c>
      <c r="AI1117">
        <v>6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f t="shared" si="53"/>
        <v>6.3480000000000008</v>
      </c>
      <c r="AU1117">
        <f t="shared" si="51"/>
        <v>5</v>
      </c>
      <c r="AV1117">
        <f t="shared" si="52"/>
        <v>804.37700000000007</v>
      </c>
      <c r="AX1117">
        <v>1136.07</v>
      </c>
      <c r="AY1117">
        <v>1173.96</v>
      </c>
      <c r="AZ1117">
        <v>15.394299999999999</v>
      </c>
      <c r="BC1117" t="s">
        <v>108</v>
      </c>
    </row>
    <row r="1118" spans="3:55" x14ac:dyDescent="0.45">
      <c r="C1118">
        <v>86.63</v>
      </c>
      <c r="D1118">
        <v>5</v>
      </c>
      <c r="E1118">
        <v>0</v>
      </c>
      <c r="F1118">
        <v>0</v>
      </c>
      <c r="G1118">
        <v>0</v>
      </c>
      <c r="H1118">
        <v>1.62</v>
      </c>
      <c r="I1118">
        <v>0</v>
      </c>
      <c r="J1118">
        <v>0</v>
      </c>
      <c r="K1118">
        <v>0</v>
      </c>
      <c r="L1118">
        <v>6.65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860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780</v>
      </c>
      <c r="AD1118">
        <v>1</v>
      </c>
      <c r="AE1118">
        <v>0</v>
      </c>
      <c r="AF1118">
        <v>1</v>
      </c>
      <c r="AG1118">
        <v>0</v>
      </c>
      <c r="AH1118">
        <v>560</v>
      </c>
      <c r="AI1118">
        <v>6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f t="shared" si="53"/>
        <v>6.3480000000000008</v>
      </c>
      <c r="AU1118">
        <f t="shared" si="51"/>
        <v>5</v>
      </c>
      <c r="AV1118">
        <f t="shared" si="52"/>
        <v>804.37700000000007</v>
      </c>
      <c r="AX1118">
        <v>1133.33</v>
      </c>
      <c r="AY1118">
        <v>1173.1400000000001</v>
      </c>
      <c r="AZ1118">
        <v>12.5359</v>
      </c>
      <c r="BC1118" t="s">
        <v>108</v>
      </c>
    </row>
    <row r="1119" spans="3:55" x14ac:dyDescent="0.45">
      <c r="C1119">
        <v>86.63</v>
      </c>
      <c r="D1119">
        <v>5</v>
      </c>
      <c r="E1119">
        <v>0</v>
      </c>
      <c r="F1119">
        <v>0</v>
      </c>
      <c r="G1119">
        <v>0</v>
      </c>
      <c r="H1119">
        <v>1.62</v>
      </c>
      <c r="I1119">
        <v>0</v>
      </c>
      <c r="J1119">
        <v>0</v>
      </c>
      <c r="K1119">
        <v>0</v>
      </c>
      <c r="L1119">
        <v>6.65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890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780</v>
      </c>
      <c r="AD1119">
        <v>1</v>
      </c>
      <c r="AE1119">
        <v>0</v>
      </c>
      <c r="AF1119">
        <v>1</v>
      </c>
      <c r="AG1119">
        <v>0</v>
      </c>
      <c r="AH1119">
        <v>560</v>
      </c>
      <c r="AI1119">
        <v>6</v>
      </c>
      <c r="AJ1119">
        <v>0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f t="shared" si="53"/>
        <v>6.3480000000000008</v>
      </c>
      <c r="AU1119">
        <f t="shared" si="51"/>
        <v>5</v>
      </c>
      <c r="AV1119">
        <f t="shared" si="52"/>
        <v>804.37700000000007</v>
      </c>
      <c r="AX1119">
        <v>1114.21</v>
      </c>
      <c r="AY1119">
        <v>1161.02</v>
      </c>
      <c r="AZ1119">
        <v>17.0685</v>
      </c>
      <c r="BC1119" t="s">
        <v>108</v>
      </c>
    </row>
    <row r="1120" spans="3:55" x14ac:dyDescent="0.45">
      <c r="C1120">
        <v>86.63</v>
      </c>
      <c r="D1120">
        <v>5</v>
      </c>
      <c r="E1120">
        <v>0</v>
      </c>
      <c r="F1120">
        <v>0</v>
      </c>
      <c r="G1120">
        <v>0</v>
      </c>
      <c r="H1120">
        <v>1.62</v>
      </c>
      <c r="I1120">
        <v>0</v>
      </c>
      <c r="J1120">
        <v>0</v>
      </c>
      <c r="K1120">
        <v>0</v>
      </c>
      <c r="L1120">
        <v>6.65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890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780</v>
      </c>
      <c r="AD1120">
        <v>1</v>
      </c>
      <c r="AE1120">
        <v>0</v>
      </c>
      <c r="AF1120">
        <v>1</v>
      </c>
      <c r="AG1120">
        <v>0</v>
      </c>
      <c r="AH1120">
        <v>560</v>
      </c>
      <c r="AI1120">
        <v>6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f t="shared" si="53"/>
        <v>6.3480000000000008</v>
      </c>
      <c r="AU1120">
        <f t="shared" si="51"/>
        <v>5</v>
      </c>
      <c r="AV1120">
        <f t="shared" si="52"/>
        <v>804.37700000000007</v>
      </c>
      <c r="AX1120">
        <v>1125.1400000000001</v>
      </c>
      <c r="AY1120">
        <v>1162.6400000000001</v>
      </c>
      <c r="AZ1120">
        <v>10.420500000000001</v>
      </c>
      <c r="BC1120" t="s">
        <v>108</v>
      </c>
    </row>
    <row r="1121" spans="3:55" x14ac:dyDescent="0.45">
      <c r="C1121">
        <v>86.63</v>
      </c>
      <c r="D1121">
        <v>5</v>
      </c>
      <c r="E1121">
        <v>0</v>
      </c>
      <c r="F1121">
        <v>0</v>
      </c>
      <c r="G1121">
        <v>0</v>
      </c>
      <c r="H1121">
        <v>1.62</v>
      </c>
      <c r="I1121">
        <v>0</v>
      </c>
      <c r="J1121">
        <v>0</v>
      </c>
      <c r="K1121">
        <v>0</v>
      </c>
      <c r="L1121">
        <v>6.65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890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780</v>
      </c>
      <c r="AD1121">
        <v>1</v>
      </c>
      <c r="AE1121">
        <v>0</v>
      </c>
      <c r="AF1121">
        <v>1</v>
      </c>
      <c r="AG1121">
        <v>0</v>
      </c>
      <c r="AH1121">
        <v>560</v>
      </c>
      <c r="AI1121">
        <v>6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f t="shared" si="53"/>
        <v>6.3480000000000008</v>
      </c>
      <c r="AU1121">
        <f t="shared" si="51"/>
        <v>5</v>
      </c>
      <c r="AV1121">
        <f t="shared" si="52"/>
        <v>804.37700000000007</v>
      </c>
      <c r="AX1121">
        <v>1108.74</v>
      </c>
      <c r="AY1121">
        <v>1153.3</v>
      </c>
      <c r="AZ1121">
        <v>14.746700000000001</v>
      </c>
      <c r="BC1121" t="s">
        <v>108</v>
      </c>
    </row>
    <row r="1122" spans="3:55" x14ac:dyDescent="0.45">
      <c r="C1122">
        <v>86.63</v>
      </c>
      <c r="D1122">
        <v>5</v>
      </c>
      <c r="E1122">
        <v>0</v>
      </c>
      <c r="F1122">
        <v>0</v>
      </c>
      <c r="G1122">
        <v>0</v>
      </c>
      <c r="H1122">
        <v>1.62</v>
      </c>
      <c r="I1122">
        <v>0</v>
      </c>
      <c r="J1122">
        <v>0</v>
      </c>
      <c r="K1122">
        <v>0</v>
      </c>
      <c r="L1122">
        <v>6.65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920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780</v>
      </c>
      <c r="AD1122">
        <v>1</v>
      </c>
      <c r="AE1122">
        <v>0</v>
      </c>
      <c r="AF1122">
        <v>1</v>
      </c>
      <c r="AG1122">
        <v>0</v>
      </c>
      <c r="AH1122">
        <v>560</v>
      </c>
      <c r="AI1122">
        <v>6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f t="shared" si="53"/>
        <v>6.3480000000000008</v>
      </c>
      <c r="AU1122">
        <f t="shared" si="51"/>
        <v>5</v>
      </c>
      <c r="AV1122">
        <f t="shared" si="52"/>
        <v>804.37700000000007</v>
      </c>
      <c r="AX1122">
        <v>1062.3</v>
      </c>
      <c r="AY1122">
        <v>1130.72</v>
      </c>
      <c r="AZ1122">
        <v>13.8316</v>
      </c>
      <c r="BC1122" t="s">
        <v>108</v>
      </c>
    </row>
    <row r="1123" spans="3:55" x14ac:dyDescent="0.45">
      <c r="C1123">
        <v>86.63</v>
      </c>
      <c r="D1123">
        <v>5</v>
      </c>
      <c r="E1123">
        <v>0</v>
      </c>
      <c r="F1123">
        <v>0</v>
      </c>
      <c r="G1123">
        <v>0</v>
      </c>
      <c r="H1123">
        <v>1.62</v>
      </c>
      <c r="I1123">
        <v>0</v>
      </c>
      <c r="J1123">
        <v>0</v>
      </c>
      <c r="K1123">
        <v>0</v>
      </c>
      <c r="L1123">
        <v>6.65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920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780</v>
      </c>
      <c r="AD1123">
        <v>1</v>
      </c>
      <c r="AE1123">
        <v>0</v>
      </c>
      <c r="AF1123">
        <v>1</v>
      </c>
      <c r="AG1123">
        <v>0</v>
      </c>
      <c r="AH1123">
        <v>560</v>
      </c>
      <c r="AI1123">
        <v>6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f t="shared" si="53"/>
        <v>6.3480000000000008</v>
      </c>
      <c r="AU1123">
        <f t="shared" si="51"/>
        <v>5</v>
      </c>
      <c r="AV1123">
        <f t="shared" si="52"/>
        <v>804.37700000000007</v>
      </c>
      <c r="AX1123">
        <v>1103.1600000000001</v>
      </c>
      <c r="AY1123">
        <v>1172.5899999999999</v>
      </c>
      <c r="AZ1123">
        <v>9.5527300000000004</v>
      </c>
      <c r="BC1123" t="s">
        <v>108</v>
      </c>
    </row>
    <row r="1124" spans="3:55" x14ac:dyDescent="0.45">
      <c r="C1124">
        <v>86.63</v>
      </c>
      <c r="D1124">
        <v>5</v>
      </c>
      <c r="E1124">
        <v>0</v>
      </c>
      <c r="F1124">
        <v>0</v>
      </c>
      <c r="G1124">
        <v>0</v>
      </c>
      <c r="H1124">
        <v>1.62</v>
      </c>
      <c r="I1124">
        <v>0</v>
      </c>
      <c r="J1124">
        <v>0</v>
      </c>
      <c r="K1124">
        <v>0</v>
      </c>
      <c r="L1124">
        <v>6.65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920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780</v>
      </c>
      <c r="AD1124">
        <v>1</v>
      </c>
      <c r="AE1124">
        <v>0</v>
      </c>
      <c r="AF1124">
        <v>1</v>
      </c>
      <c r="AG1124">
        <v>0</v>
      </c>
      <c r="AH1124">
        <v>560</v>
      </c>
      <c r="AI1124">
        <v>6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f t="shared" si="53"/>
        <v>6.3480000000000008</v>
      </c>
      <c r="AU1124">
        <f t="shared" si="51"/>
        <v>5</v>
      </c>
      <c r="AV1124">
        <f t="shared" si="52"/>
        <v>804.37700000000007</v>
      </c>
      <c r="AX1124">
        <v>1086.96</v>
      </c>
      <c r="AY1124">
        <v>1167.6300000000001</v>
      </c>
      <c r="AZ1124">
        <v>10.009499999999999</v>
      </c>
      <c r="BC1124" t="s">
        <v>108</v>
      </c>
    </row>
    <row r="1125" spans="3:55" x14ac:dyDescent="0.45">
      <c r="C1125">
        <v>86.63</v>
      </c>
      <c r="D1125">
        <v>5</v>
      </c>
      <c r="E1125">
        <v>0</v>
      </c>
      <c r="F1125">
        <v>0</v>
      </c>
      <c r="G1125">
        <v>0</v>
      </c>
      <c r="H1125">
        <v>1.62</v>
      </c>
      <c r="I1125">
        <v>0</v>
      </c>
      <c r="J1125">
        <v>0</v>
      </c>
      <c r="K1125">
        <v>0</v>
      </c>
      <c r="L1125">
        <v>6.65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950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780</v>
      </c>
      <c r="AD1125">
        <v>1</v>
      </c>
      <c r="AE1125">
        <v>0</v>
      </c>
      <c r="AF1125">
        <v>1</v>
      </c>
      <c r="AG1125">
        <v>0</v>
      </c>
      <c r="AH1125">
        <v>560</v>
      </c>
      <c r="AI1125">
        <v>6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f t="shared" si="53"/>
        <v>6.3480000000000008</v>
      </c>
      <c r="AU1125">
        <f t="shared" si="51"/>
        <v>5</v>
      </c>
      <c r="AV1125">
        <f t="shared" si="52"/>
        <v>804.37700000000007</v>
      </c>
      <c r="AX1125">
        <v>1090.98</v>
      </c>
      <c r="AY1125">
        <v>1147.24</v>
      </c>
      <c r="AZ1125">
        <v>12.0158</v>
      </c>
      <c r="BC1125" t="s">
        <v>108</v>
      </c>
    </row>
    <row r="1126" spans="3:55" x14ac:dyDescent="0.45">
      <c r="C1126">
        <v>86.63</v>
      </c>
      <c r="D1126">
        <v>5</v>
      </c>
      <c r="E1126">
        <v>0</v>
      </c>
      <c r="F1126">
        <v>0</v>
      </c>
      <c r="G1126">
        <v>0</v>
      </c>
      <c r="H1126">
        <v>1.62</v>
      </c>
      <c r="I1126">
        <v>0</v>
      </c>
      <c r="J1126">
        <v>0</v>
      </c>
      <c r="K1126">
        <v>0</v>
      </c>
      <c r="L1126">
        <v>6.65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950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780</v>
      </c>
      <c r="AD1126">
        <v>1</v>
      </c>
      <c r="AE1126">
        <v>0</v>
      </c>
      <c r="AF1126">
        <v>1</v>
      </c>
      <c r="AG1126">
        <v>0</v>
      </c>
      <c r="AH1126">
        <v>560</v>
      </c>
      <c r="AI1126">
        <v>6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f t="shared" si="53"/>
        <v>6.3480000000000008</v>
      </c>
      <c r="AU1126">
        <f t="shared" si="51"/>
        <v>5</v>
      </c>
      <c r="AV1126">
        <f t="shared" si="52"/>
        <v>804.37700000000007</v>
      </c>
      <c r="AX1126">
        <v>1126.51</v>
      </c>
      <c r="AY1126">
        <v>1186.3699999999999</v>
      </c>
      <c r="AZ1126">
        <v>12.077500000000001</v>
      </c>
      <c r="BC1126" t="s">
        <v>108</v>
      </c>
    </row>
    <row r="1127" spans="3:55" x14ac:dyDescent="0.45">
      <c r="C1127">
        <v>93.388000000000005</v>
      </c>
      <c r="D1127">
        <v>2.61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3.07</v>
      </c>
      <c r="K1127">
        <v>0.02</v>
      </c>
      <c r="L1127">
        <v>0.86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950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f t="shared" si="53"/>
        <v>-1.7443999999999997</v>
      </c>
      <c r="AU1127">
        <f t="shared" si="51"/>
        <v>3.1216666666666666</v>
      </c>
      <c r="AV1127">
        <f t="shared" si="52"/>
        <v>858.12800000000004</v>
      </c>
      <c r="BB1127" t="s">
        <v>322</v>
      </c>
      <c r="BC1127" t="s">
        <v>188</v>
      </c>
    </row>
    <row r="1128" spans="3:55" x14ac:dyDescent="0.45">
      <c r="C1128">
        <v>93.388000000000005</v>
      </c>
      <c r="D1128">
        <v>2.61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3.07</v>
      </c>
      <c r="K1128">
        <v>0.02</v>
      </c>
      <c r="L1128">
        <v>0.86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950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f t="shared" si="53"/>
        <v>-1.7443999999999997</v>
      </c>
      <c r="AU1128">
        <f t="shared" si="51"/>
        <v>3.1216666666666666</v>
      </c>
      <c r="AV1128">
        <f t="shared" si="52"/>
        <v>858.12800000000004</v>
      </c>
      <c r="BB1128" t="s">
        <v>323</v>
      </c>
      <c r="BC1128" t="s">
        <v>188</v>
      </c>
    </row>
    <row r="1129" spans="3:55" x14ac:dyDescent="0.45">
      <c r="C1129">
        <v>93.388000000000005</v>
      </c>
      <c r="D1129">
        <v>2.61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3.07</v>
      </c>
      <c r="K1129">
        <v>0.02</v>
      </c>
      <c r="L1129">
        <v>0.86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950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f t="shared" si="53"/>
        <v>-1.7443999999999997</v>
      </c>
      <c r="AU1129">
        <f t="shared" si="51"/>
        <v>3.1216666666666666</v>
      </c>
      <c r="AV1129">
        <f t="shared" si="52"/>
        <v>858.12800000000004</v>
      </c>
      <c r="BB1129" t="s">
        <v>324</v>
      </c>
      <c r="BC1129" t="s">
        <v>188</v>
      </c>
    </row>
    <row r="1130" spans="3:55" x14ac:dyDescent="0.45">
      <c r="C1130">
        <v>93.388000000000005</v>
      </c>
      <c r="D1130">
        <v>2.61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3.07</v>
      </c>
      <c r="K1130">
        <v>0.02</v>
      </c>
      <c r="L1130">
        <v>0.86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950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f t="shared" si="53"/>
        <v>-1.7443999999999997</v>
      </c>
      <c r="AU1130">
        <f t="shared" si="51"/>
        <v>3.1216666666666666</v>
      </c>
      <c r="AV1130">
        <f t="shared" si="52"/>
        <v>858.12800000000004</v>
      </c>
      <c r="BB1130" t="s">
        <v>325</v>
      </c>
      <c r="BC1130" t="s">
        <v>188</v>
      </c>
    </row>
    <row r="1131" spans="3:55" x14ac:dyDescent="0.45">
      <c r="C1131">
        <v>93.388000000000005</v>
      </c>
      <c r="D1131">
        <v>2.61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3.07</v>
      </c>
      <c r="K1131">
        <v>0.02</v>
      </c>
      <c r="L1131">
        <v>0.86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950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f t="shared" si="53"/>
        <v>-1.7443999999999997</v>
      </c>
      <c r="AU1131">
        <f t="shared" ref="AU1131:AU1194" si="54">D1131+J1131/6+M1131/3+(T1131+S1131)/10</f>
        <v>3.1216666666666666</v>
      </c>
      <c r="AV1131">
        <f t="shared" si="52"/>
        <v>858.12800000000004</v>
      </c>
      <c r="BB1131" t="s">
        <v>326</v>
      </c>
      <c r="BC1131" t="s">
        <v>188</v>
      </c>
    </row>
    <row r="1132" spans="3:55" x14ac:dyDescent="0.45">
      <c r="C1132">
        <v>87.93</v>
      </c>
      <c r="D1132">
        <v>6.13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1.95</v>
      </c>
      <c r="K1132">
        <v>3.02</v>
      </c>
      <c r="L1132">
        <v>0.97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940</v>
      </c>
      <c r="X1132">
        <v>80</v>
      </c>
      <c r="Y1132">
        <v>0</v>
      </c>
      <c r="Z1132">
        <v>0</v>
      </c>
      <c r="AA1132">
        <v>1</v>
      </c>
      <c r="AB1132">
        <v>0</v>
      </c>
      <c r="AC1132">
        <v>900</v>
      </c>
      <c r="AD1132">
        <v>1.5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f t="shared" si="53"/>
        <v>-4.3144</v>
      </c>
      <c r="AU1132">
        <f t="shared" si="54"/>
        <v>6.4550000000000001</v>
      </c>
      <c r="AV1132">
        <f t="shared" si="52"/>
        <v>872.20299999999997</v>
      </c>
      <c r="AX1132">
        <v>782.3</v>
      </c>
      <c r="AY1132">
        <v>931.90700000000004</v>
      </c>
      <c r="AZ1132">
        <v>14.5983</v>
      </c>
      <c r="BB1132" t="s">
        <v>327</v>
      </c>
      <c r="BC1132" t="s">
        <v>108</v>
      </c>
    </row>
    <row r="1133" spans="3:55" x14ac:dyDescent="0.45">
      <c r="C1133">
        <v>87.93</v>
      </c>
      <c r="D1133">
        <v>6.13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1.95</v>
      </c>
      <c r="K1133">
        <v>3.02</v>
      </c>
      <c r="L1133">
        <v>0.97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940</v>
      </c>
      <c r="X1133">
        <v>70</v>
      </c>
      <c r="Y1133">
        <v>0</v>
      </c>
      <c r="Z1133">
        <v>0</v>
      </c>
      <c r="AA1133">
        <v>1</v>
      </c>
      <c r="AB1133">
        <v>0</v>
      </c>
      <c r="AC1133">
        <v>900</v>
      </c>
      <c r="AD1133">
        <v>1.5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f t="shared" si="53"/>
        <v>-4.3144</v>
      </c>
      <c r="AU1133">
        <f t="shared" si="54"/>
        <v>6.4550000000000001</v>
      </c>
      <c r="AV1133">
        <f t="shared" si="52"/>
        <v>872.20299999999997</v>
      </c>
      <c r="AX1133">
        <v>783.63800000000003</v>
      </c>
      <c r="AY1133">
        <v>901.572</v>
      </c>
      <c r="AZ1133">
        <v>18.001799999999999</v>
      </c>
      <c r="BB1133" t="s">
        <v>328</v>
      </c>
      <c r="BC1133" t="s">
        <v>108</v>
      </c>
    </row>
    <row r="1134" spans="3:55" x14ac:dyDescent="0.45">
      <c r="C1134">
        <v>87.93</v>
      </c>
      <c r="D1134">
        <v>6.13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1.95</v>
      </c>
      <c r="K1134">
        <v>3.02</v>
      </c>
      <c r="L1134">
        <v>0.97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940</v>
      </c>
      <c r="X1134">
        <v>70</v>
      </c>
      <c r="Y1134">
        <v>0</v>
      </c>
      <c r="Z1134">
        <v>0</v>
      </c>
      <c r="AA1134">
        <v>1</v>
      </c>
      <c r="AB1134">
        <v>0</v>
      </c>
      <c r="AC1134">
        <v>800</v>
      </c>
      <c r="AD1134">
        <v>1.5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f t="shared" si="53"/>
        <v>-4.3144</v>
      </c>
      <c r="AU1134">
        <f t="shared" si="54"/>
        <v>6.4550000000000001</v>
      </c>
      <c r="AV1134">
        <f t="shared" si="52"/>
        <v>872.20299999999997</v>
      </c>
      <c r="AX1134">
        <v>795.87599999999998</v>
      </c>
      <c r="AY1134">
        <v>919.58799999999997</v>
      </c>
      <c r="AZ1134">
        <v>15.9739</v>
      </c>
      <c r="BB1134" t="s">
        <v>329</v>
      </c>
      <c r="BC1134" t="s">
        <v>108</v>
      </c>
    </row>
    <row r="1135" spans="3:55" x14ac:dyDescent="0.45">
      <c r="C1135">
        <v>87.93</v>
      </c>
      <c r="D1135">
        <v>6.13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1.95</v>
      </c>
      <c r="K1135">
        <v>3.02</v>
      </c>
      <c r="L1135">
        <v>0.97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940</v>
      </c>
      <c r="X1135">
        <v>70</v>
      </c>
      <c r="Y1135">
        <v>0</v>
      </c>
      <c r="Z1135">
        <v>0</v>
      </c>
      <c r="AA1135">
        <v>1</v>
      </c>
      <c r="AB1135">
        <v>0</v>
      </c>
      <c r="AC1135">
        <v>960</v>
      </c>
      <c r="AD1135">
        <v>1.5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f t="shared" si="53"/>
        <v>-4.3144</v>
      </c>
      <c r="AU1135">
        <f t="shared" si="54"/>
        <v>6.4550000000000001</v>
      </c>
      <c r="AV1135">
        <f t="shared" si="52"/>
        <v>872.20299999999997</v>
      </c>
      <c r="AX1135">
        <v>744.33</v>
      </c>
      <c r="AY1135">
        <v>880.41200000000003</v>
      </c>
      <c r="AZ1135">
        <v>17.083200000000001</v>
      </c>
      <c r="BB1135" t="s">
        <v>330</v>
      </c>
      <c r="BC1135" t="s">
        <v>108</v>
      </c>
    </row>
    <row r="1136" spans="3:55" x14ac:dyDescent="0.45">
      <c r="C1136">
        <v>87.93</v>
      </c>
      <c r="D1136">
        <v>6.13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1.95</v>
      </c>
      <c r="K1136">
        <v>3.02</v>
      </c>
      <c r="L1136">
        <v>0.97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940</v>
      </c>
      <c r="X1136">
        <v>70</v>
      </c>
      <c r="Y1136">
        <v>0</v>
      </c>
      <c r="Z1136">
        <v>0</v>
      </c>
      <c r="AA1136">
        <v>1</v>
      </c>
      <c r="AB1136">
        <v>0</v>
      </c>
      <c r="AC1136">
        <v>1020</v>
      </c>
      <c r="AD1136">
        <v>1.5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f t="shared" si="53"/>
        <v>-4.3144</v>
      </c>
      <c r="AU1136">
        <f t="shared" si="54"/>
        <v>6.4550000000000001</v>
      </c>
      <c r="AV1136">
        <f t="shared" si="52"/>
        <v>872.20299999999997</v>
      </c>
      <c r="AX1136">
        <v>777.32</v>
      </c>
      <c r="AY1136">
        <v>880.41200000000003</v>
      </c>
      <c r="AZ1136">
        <v>10.9894</v>
      </c>
      <c r="BB1136" t="s">
        <v>331</v>
      </c>
      <c r="BC1136" t="s">
        <v>108</v>
      </c>
    </row>
    <row r="1137" spans="3:55" x14ac:dyDescent="0.45">
      <c r="C1137">
        <v>87.93</v>
      </c>
      <c r="D1137">
        <v>6.13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1.95</v>
      </c>
      <c r="K1137">
        <v>3.02</v>
      </c>
      <c r="L1137">
        <v>0.97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940</v>
      </c>
      <c r="X1137">
        <v>70</v>
      </c>
      <c r="Y1137">
        <v>0</v>
      </c>
      <c r="Z1137">
        <v>0</v>
      </c>
      <c r="AA1137">
        <v>1</v>
      </c>
      <c r="AB1137">
        <v>0</v>
      </c>
      <c r="AC1137">
        <v>970</v>
      </c>
      <c r="AD1137">
        <v>1.5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f t="shared" si="53"/>
        <v>-4.3144</v>
      </c>
      <c r="AU1137">
        <f t="shared" si="54"/>
        <v>6.4550000000000001</v>
      </c>
      <c r="AV1137">
        <f t="shared" si="52"/>
        <v>872.20299999999997</v>
      </c>
      <c r="AX1137">
        <v>793.81399999999996</v>
      </c>
      <c r="AY1137">
        <v>903.09299999999996</v>
      </c>
      <c r="AZ1137">
        <v>18.148900000000001</v>
      </c>
      <c r="BB1137" t="s">
        <v>332</v>
      </c>
      <c r="BC1137" t="s">
        <v>108</v>
      </c>
    </row>
    <row r="1138" spans="3:55" x14ac:dyDescent="0.45">
      <c r="C1138">
        <v>87.93</v>
      </c>
      <c r="D1138">
        <v>6.13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1.95</v>
      </c>
      <c r="K1138">
        <v>3.02</v>
      </c>
      <c r="L1138">
        <v>0.97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940</v>
      </c>
      <c r="X1138">
        <v>70</v>
      </c>
      <c r="Y1138">
        <v>0</v>
      </c>
      <c r="Z1138">
        <v>0</v>
      </c>
      <c r="AA1138">
        <v>1</v>
      </c>
      <c r="AB1138">
        <v>0</v>
      </c>
      <c r="AC1138">
        <v>970</v>
      </c>
      <c r="AD1138">
        <v>1.5</v>
      </c>
      <c r="AE1138">
        <v>1</v>
      </c>
      <c r="AF1138">
        <v>0</v>
      </c>
      <c r="AG1138">
        <v>0</v>
      </c>
      <c r="AH1138">
        <v>600</v>
      </c>
      <c r="AI1138">
        <v>4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f t="shared" si="53"/>
        <v>-4.3144</v>
      </c>
      <c r="AU1138">
        <f t="shared" si="54"/>
        <v>6.4550000000000001</v>
      </c>
      <c r="AV1138">
        <f t="shared" si="52"/>
        <v>872.20299999999997</v>
      </c>
      <c r="AX1138">
        <v>859.79399999999998</v>
      </c>
      <c r="AY1138">
        <v>983.505</v>
      </c>
      <c r="AZ1138">
        <v>16.833200000000001</v>
      </c>
      <c r="BB1138" t="s">
        <v>333</v>
      </c>
      <c r="BC1138" t="s">
        <v>108</v>
      </c>
    </row>
    <row r="1139" spans="3:55" x14ac:dyDescent="0.45">
      <c r="C1139">
        <v>87.93</v>
      </c>
      <c r="D1139">
        <v>6.13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1.95</v>
      </c>
      <c r="K1139">
        <v>3.02</v>
      </c>
      <c r="L1139">
        <v>0.97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940</v>
      </c>
      <c r="X1139">
        <v>60</v>
      </c>
      <c r="Y1139">
        <v>0</v>
      </c>
      <c r="Z1139">
        <v>0</v>
      </c>
      <c r="AA1139">
        <v>1</v>
      </c>
      <c r="AB1139">
        <v>0</v>
      </c>
      <c r="AC1139">
        <v>900</v>
      </c>
      <c r="AD1139">
        <v>1.5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f t="shared" si="53"/>
        <v>-4.3144</v>
      </c>
      <c r="AU1139">
        <f t="shared" si="54"/>
        <v>6.4550000000000001</v>
      </c>
      <c r="AV1139">
        <f t="shared" si="52"/>
        <v>872.20299999999997</v>
      </c>
      <c r="AX1139">
        <v>777.18299999999999</v>
      </c>
      <c r="AY1139">
        <v>899.50099999999998</v>
      </c>
      <c r="AZ1139">
        <v>17.545300000000001</v>
      </c>
      <c r="BB1139" t="s">
        <v>334</v>
      </c>
      <c r="BC1139" t="s">
        <v>108</v>
      </c>
    </row>
    <row r="1140" spans="3:55" x14ac:dyDescent="0.45">
      <c r="C1140">
        <v>87.93</v>
      </c>
      <c r="D1140">
        <v>6.13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1.95</v>
      </c>
      <c r="K1140">
        <v>3.02</v>
      </c>
      <c r="L1140">
        <v>0.97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940</v>
      </c>
      <c r="X1140">
        <v>50</v>
      </c>
      <c r="Y1140">
        <v>0</v>
      </c>
      <c r="Z1140">
        <v>0</v>
      </c>
      <c r="AA1140">
        <v>1</v>
      </c>
      <c r="AB1140">
        <v>0</v>
      </c>
      <c r="AC1140">
        <v>900</v>
      </c>
      <c r="AD1140">
        <v>1.5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f t="shared" si="53"/>
        <v>-4.3144</v>
      </c>
      <c r="AU1140">
        <f t="shared" si="54"/>
        <v>6.4550000000000001</v>
      </c>
      <c r="AV1140">
        <f t="shared" si="52"/>
        <v>872.20299999999997</v>
      </c>
      <c r="AX1140">
        <v>770.72400000000005</v>
      </c>
      <c r="AY1140">
        <v>887.19500000000005</v>
      </c>
      <c r="AZ1140">
        <v>16.174199999999999</v>
      </c>
      <c r="BC1140" t="s">
        <v>108</v>
      </c>
    </row>
    <row r="1141" spans="3:55" x14ac:dyDescent="0.45">
      <c r="C1141">
        <v>86.2</v>
      </c>
      <c r="D1141">
        <v>6</v>
      </c>
      <c r="E1141">
        <v>0.5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990</v>
      </c>
      <c r="AD1141">
        <v>1</v>
      </c>
      <c r="AE1141">
        <v>0</v>
      </c>
      <c r="AF1141">
        <v>0</v>
      </c>
      <c r="AG1141">
        <v>1</v>
      </c>
      <c r="AH1141">
        <v>700</v>
      </c>
      <c r="AI1141">
        <v>2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f t="shared" si="53"/>
        <v>-0.66500000000000004</v>
      </c>
      <c r="AU1141">
        <f t="shared" si="54"/>
        <v>6.666666666666667</v>
      </c>
      <c r="AV1141">
        <f t="shared" si="52"/>
        <v>849.6</v>
      </c>
      <c r="AX1141">
        <v>927</v>
      </c>
      <c r="AY1141">
        <v>1125</v>
      </c>
      <c r="AZ1141">
        <v>12.5</v>
      </c>
      <c r="BC1141" t="s">
        <v>189</v>
      </c>
    </row>
    <row r="1142" spans="3:55" x14ac:dyDescent="0.45">
      <c r="C1142">
        <v>86.2</v>
      </c>
      <c r="D1142">
        <v>6</v>
      </c>
      <c r="E1142">
        <v>0.5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600</v>
      </c>
      <c r="AD1142">
        <v>2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f t="shared" si="53"/>
        <v>-0.66500000000000004</v>
      </c>
      <c r="AU1142">
        <f t="shared" si="54"/>
        <v>6.666666666666667</v>
      </c>
      <c r="AV1142">
        <f t="shared" si="52"/>
        <v>849.6</v>
      </c>
      <c r="AX1142">
        <v>1060</v>
      </c>
      <c r="AY1142">
        <v>1231</v>
      </c>
      <c r="AZ1142">
        <v>19.3</v>
      </c>
      <c r="BC1142" t="s">
        <v>189</v>
      </c>
    </row>
    <row r="1143" spans="3:55" x14ac:dyDescent="0.45">
      <c r="C1143">
        <v>86.2</v>
      </c>
      <c r="D1143">
        <v>6</v>
      </c>
      <c r="E1143">
        <v>0.5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955</v>
      </c>
      <c r="AD1143">
        <v>1</v>
      </c>
      <c r="AE1143">
        <v>1</v>
      </c>
      <c r="AF1143">
        <v>0</v>
      </c>
      <c r="AG1143">
        <v>0</v>
      </c>
      <c r="AH1143">
        <v>910</v>
      </c>
      <c r="AI1143">
        <v>1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f t="shared" si="53"/>
        <v>-0.66500000000000004</v>
      </c>
      <c r="AU1143">
        <f t="shared" si="54"/>
        <v>6.666666666666667</v>
      </c>
      <c r="AV1143">
        <f t="shared" si="52"/>
        <v>849.6</v>
      </c>
      <c r="AX1143">
        <v>1055</v>
      </c>
      <c r="AY1143">
        <v>1197</v>
      </c>
      <c r="AZ1143">
        <v>14.9</v>
      </c>
      <c r="BC1143" t="s">
        <v>189</v>
      </c>
    </row>
    <row r="1144" spans="3:55" x14ac:dyDescent="0.45">
      <c r="C1144">
        <v>86.7</v>
      </c>
      <c r="D1144">
        <v>4.8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4.2</v>
      </c>
      <c r="K1144">
        <v>0</v>
      </c>
      <c r="L1144">
        <v>2</v>
      </c>
      <c r="M1144">
        <v>2.2999999999999998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50</v>
      </c>
      <c r="Y1144">
        <v>0</v>
      </c>
      <c r="Z1144">
        <v>0</v>
      </c>
      <c r="AA1144">
        <v>1</v>
      </c>
      <c r="AB1144">
        <v>0</v>
      </c>
      <c r="AC1144">
        <v>950</v>
      </c>
      <c r="AD1144">
        <v>1</v>
      </c>
      <c r="AE1144">
        <v>0</v>
      </c>
      <c r="AF1144">
        <v>1</v>
      </c>
      <c r="AG1144">
        <v>0</v>
      </c>
      <c r="AH1144">
        <v>590</v>
      </c>
      <c r="AI1144">
        <v>8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f t="shared" si="53"/>
        <v>-2.8</v>
      </c>
      <c r="AU1144">
        <f t="shared" si="54"/>
        <v>6.2666666666666666</v>
      </c>
      <c r="AV1144">
        <f t="shared" si="52"/>
        <v>853.76</v>
      </c>
      <c r="BC1144" t="s">
        <v>190</v>
      </c>
    </row>
    <row r="1145" spans="3:55" x14ac:dyDescent="0.45">
      <c r="C1145">
        <v>85.8</v>
      </c>
      <c r="D1145">
        <v>4.8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4.0999999999999996</v>
      </c>
      <c r="K1145">
        <v>0</v>
      </c>
      <c r="L1145">
        <v>2</v>
      </c>
      <c r="M1145">
        <v>2.2000000000000002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50</v>
      </c>
      <c r="Y1145">
        <v>0</v>
      </c>
      <c r="Z1145">
        <v>0</v>
      </c>
      <c r="AA1145">
        <v>1</v>
      </c>
      <c r="AB1145">
        <v>0</v>
      </c>
      <c r="AC1145">
        <v>950</v>
      </c>
      <c r="AD1145">
        <v>1</v>
      </c>
      <c r="AE1145">
        <v>0</v>
      </c>
      <c r="AF1145">
        <v>1</v>
      </c>
      <c r="AG1145">
        <v>0</v>
      </c>
      <c r="AH1145">
        <v>590</v>
      </c>
      <c r="AI1145">
        <v>8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f t="shared" si="53"/>
        <v>-2.8</v>
      </c>
      <c r="AU1145">
        <f t="shared" si="54"/>
        <v>6.2166666666666668</v>
      </c>
      <c r="AV1145">
        <f t="shared" si="52"/>
        <v>854.03000000000009</v>
      </c>
      <c r="BC1145" t="s">
        <v>190</v>
      </c>
    </row>
    <row r="1146" spans="3:55" x14ac:dyDescent="0.45">
      <c r="C1146">
        <v>82.4</v>
      </c>
      <c r="D1146">
        <v>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4</v>
      </c>
      <c r="K1146">
        <v>0</v>
      </c>
      <c r="L1146">
        <v>2.1</v>
      </c>
      <c r="M1146">
        <v>2.4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50</v>
      </c>
      <c r="Y1146">
        <v>0</v>
      </c>
      <c r="Z1146">
        <v>0</v>
      </c>
      <c r="AA1146">
        <v>1</v>
      </c>
      <c r="AB1146">
        <v>0</v>
      </c>
      <c r="AC1146">
        <v>950</v>
      </c>
      <c r="AD1146">
        <v>1</v>
      </c>
      <c r="AE1146">
        <v>0</v>
      </c>
      <c r="AF1146">
        <v>1</v>
      </c>
      <c r="AG1146">
        <v>0</v>
      </c>
      <c r="AH1146">
        <v>590</v>
      </c>
      <c r="AI1146">
        <v>8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f t="shared" si="53"/>
        <v>-2.9</v>
      </c>
      <c r="AU1146">
        <f t="shared" si="54"/>
        <v>6.4666666666666668</v>
      </c>
      <c r="AV1146">
        <f t="shared" si="52"/>
        <v>855.03</v>
      </c>
      <c r="BC1146" t="s">
        <v>190</v>
      </c>
    </row>
    <row r="1147" spans="3:55" x14ac:dyDescent="0.45">
      <c r="C1147">
        <v>89.034999999999997</v>
      </c>
      <c r="D1147">
        <v>6.2</v>
      </c>
      <c r="E1147">
        <v>4.3</v>
      </c>
      <c r="F1147">
        <v>0</v>
      </c>
      <c r="G1147">
        <v>0</v>
      </c>
      <c r="H1147">
        <v>0.16</v>
      </c>
      <c r="I1147">
        <v>0</v>
      </c>
      <c r="J1147">
        <v>0.02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f t="shared" si="53"/>
        <v>-2.855</v>
      </c>
      <c r="AU1147">
        <f t="shared" si="54"/>
        <v>6.2033333333333331</v>
      </c>
      <c r="AV1147">
        <f t="shared" si="52"/>
        <v>841.67799999999988</v>
      </c>
      <c r="AX1147">
        <v>1180</v>
      </c>
      <c r="AY1147">
        <v>1220</v>
      </c>
      <c r="AZ1147">
        <v>16</v>
      </c>
      <c r="BC1147" t="s">
        <v>193</v>
      </c>
    </row>
    <row r="1148" spans="3:55" x14ac:dyDescent="0.45">
      <c r="C1148">
        <v>84.62</v>
      </c>
      <c r="D1148">
        <v>5.21</v>
      </c>
      <c r="E1148">
        <v>0</v>
      </c>
      <c r="F1148">
        <v>4.05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4.0599999999999996</v>
      </c>
      <c r="M1148">
        <v>2.06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883</v>
      </c>
      <c r="X1148">
        <v>30</v>
      </c>
      <c r="Y1148">
        <v>0</v>
      </c>
      <c r="Z1148">
        <v>0</v>
      </c>
      <c r="AA1148">
        <v>1</v>
      </c>
      <c r="AB1148">
        <v>0</v>
      </c>
      <c r="AC1148">
        <v>800</v>
      </c>
      <c r="AD1148">
        <v>4</v>
      </c>
      <c r="AE1148">
        <v>1</v>
      </c>
      <c r="AF1148">
        <v>0</v>
      </c>
      <c r="AG1148">
        <v>0</v>
      </c>
      <c r="AH1148">
        <v>640</v>
      </c>
      <c r="AI1148">
        <v>8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f t="shared" si="53"/>
        <v>5.3299999999999992</v>
      </c>
      <c r="AU1148">
        <f t="shared" si="54"/>
        <v>5.8966666666666665</v>
      </c>
      <c r="AV1148">
        <f t="shared" si="52"/>
        <v>814.01800000000014</v>
      </c>
      <c r="AX1148">
        <v>1230.5</v>
      </c>
      <c r="AY1148">
        <v>1265</v>
      </c>
      <c r="AZ1148">
        <v>9.5</v>
      </c>
      <c r="BC1148" t="s">
        <v>108</v>
      </c>
    </row>
    <row r="1149" spans="3:55" x14ac:dyDescent="0.45">
      <c r="C1149">
        <v>84.62</v>
      </c>
      <c r="D1149">
        <v>5.21</v>
      </c>
      <c r="E1149">
        <v>0</v>
      </c>
      <c r="F1149">
        <v>4.05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4.0599999999999996</v>
      </c>
      <c r="M1149">
        <v>2.06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883</v>
      </c>
      <c r="X1149">
        <v>30</v>
      </c>
      <c r="Y1149">
        <v>0</v>
      </c>
      <c r="Z1149">
        <v>0</v>
      </c>
      <c r="AA1149">
        <v>1</v>
      </c>
      <c r="AB1149">
        <v>0</v>
      </c>
      <c r="AC1149">
        <v>800</v>
      </c>
      <c r="AD1149">
        <v>4</v>
      </c>
      <c r="AE1149">
        <v>1</v>
      </c>
      <c r="AF1149">
        <v>0</v>
      </c>
      <c r="AG1149">
        <v>0</v>
      </c>
      <c r="AH1149">
        <v>640</v>
      </c>
      <c r="AI1149">
        <v>8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f t="shared" si="53"/>
        <v>5.3299999999999992</v>
      </c>
      <c r="AU1149">
        <f t="shared" si="54"/>
        <v>5.8966666666666665</v>
      </c>
      <c r="AV1149">
        <f t="shared" si="52"/>
        <v>814.01800000000014</v>
      </c>
      <c r="AX1149">
        <v>1250</v>
      </c>
      <c r="AY1149">
        <v>1287.5</v>
      </c>
      <c r="AZ1149">
        <v>9.25</v>
      </c>
      <c r="BC1149" t="s">
        <v>108</v>
      </c>
    </row>
    <row r="1150" spans="3:55" x14ac:dyDescent="0.45">
      <c r="C1150">
        <v>82.67</v>
      </c>
      <c r="D1150">
        <v>5.47</v>
      </c>
      <c r="E1150">
        <v>4.8099999999999996</v>
      </c>
      <c r="F1150">
        <v>1.03</v>
      </c>
      <c r="G1150">
        <v>0</v>
      </c>
      <c r="H1150">
        <v>1.5</v>
      </c>
      <c r="I1150">
        <v>0</v>
      </c>
      <c r="J1150">
        <v>0</v>
      </c>
      <c r="K1150">
        <v>0</v>
      </c>
      <c r="L1150">
        <v>4.5199999999999996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710</v>
      </c>
      <c r="AD1150">
        <v>2</v>
      </c>
      <c r="AE1150">
        <v>0</v>
      </c>
      <c r="AF1150">
        <v>1</v>
      </c>
      <c r="AG1150">
        <v>0</v>
      </c>
      <c r="AH1150">
        <v>500</v>
      </c>
      <c r="AI1150">
        <v>3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f t="shared" si="53"/>
        <v>8.2706999999999979</v>
      </c>
      <c r="AU1150">
        <f t="shared" si="54"/>
        <v>5.47</v>
      </c>
      <c r="AV1150">
        <f t="shared" si="52"/>
        <v>758.226</v>
      </c>
      <c r="AY1150">
        <v>1219.1500000000001</v>
      </c>
      <c r="AZ1150">
        <v>12.67</v>
      </c>
      <c r="BC1150" t="s">
        <v>194</v>
      </c>
    </row>
    <row r="1151" spans="3:55" x14ac:dyDescent="0.45">
      <c r="C1151">
        <v>82.67</v>
      </c>
      <c r="D1151">
        <v>5.47</v>
      </c>
      <c r="E1151">
        <v>4.8099999999999996</v>
      </c>
      <c r="F1151">
        <v>1.03</v>
      </c>
      <c r="G1151">
        <v>0</v>
      </c>
      <c r="H1151">
        <v>1.5</v>
      </c>
      <c r="I1151">
        <v>0</v>
      </c>
      <c r="J1151">
        <v>0</v>
      </c>
      <c r="K1151">
        <v>0</v>
      </c>
      <c r="L1151">
        <v>4.5199999999999996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720</v>
      </c>
      <c r="AD1151">
        <v>2</v>
      </c>
      <c r="AE1151">
        <v>0</v>
      </c>
      <c r="AF1151">
        <v>1</v>
      </c>
      <c r="AG1151">
        <v>0</v>
      </c>
      <c r="AH1151">
        <v>500</v>
      </c>
      <c r="AI1151">
        <v>3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f t="shared" si="53"/>
        <v>8.2706999999999979</v>
      </c>
      <c r="AU1151">
        <f t="shared" si="54"/>
        <v>5.47</v>
      </c>
      <c r="AV1151">
        <f t="shared" si="52"/>
        <v>758.226</v>
      </c>
      <c r="AY1151">
        <v>1234.01</v>
      </c>
      <c r="AZ1151">
        <v>10.44</v>
      </c>
      <c r="BC1151" t="s">
        <v>194</v>
      </c>
    </row>
    <row r="1152" spans="3:55" x14ac:dyDescent="0.45">
      <c r="C1152">
        <v>82.67</v>
      </c>
      <c r="D1152">
        <v>5.47</v>
      </c>
      <c r="E1152">
        <v>4.8099999999999996</v>
      </c>
      <c r="F1152">
        <v>1.03</v>
      </c>
      <c r="G1152">
        <v>0</v>
      </c>
      <c r="H1152">
        <v>1.5</v>
      </c>
      <c r="I1152">
        <v>0</v>
      </c>
      <c r="J1152">
        <v>0</v>
      </c>
      <c r="K1152">
        <v>0</v>
      </c>
      <c r="L1152">
        <v>4.5199999999999996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730</v>
      </c>
      <c r="AD1152">
        <v>2</v>
      </c>
      <c r="AE1152">
        <v>0</v>
      </c>
      <c r="AF1152">
        <v>1</v>
      </c>
      <c r="AG1152">
        <v>0</v>
      </c>
      <c r="AH1152">
        <v>500</v>
      </c>
      <c r="AI1152">
        <v>3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f t="shared" si="53"/>
        <v>8.2706999999999979</v>
      </c>
      <c r="AU1152">
        <f t="shared" si="54"/>
        <v>5.47</v>
      </c>
      <c r="AV1152">
        <f t="shared" si="52"/>
        <v>758.226</v>
      </c>
      <c r="AY1152">
        <v>1241.76</v>
      </c>
      <c r="AZ1152">
        <v>9.75</v>
      </c>
      <c r="BC1152" t="s">
        <v>194</v>
      </c>
    </row>
    <row r="1153" spans="3:55" x14ac:dyDescent="0.45">
      <c r="C1153">
        <v>82.67</v>
      </c>
      <c r="D1153">
        <v>5.47</v>
      </c>
      <c r="E1153">
        <v>4.8099999999999996</v>
      </c>
      <c r="F1153">
        <v>1.03</v>
      </c>
      <c r="G1153">
        <v>0</v>
      </c>
      <c r="H1153">
        <v>1.5</v>
      </c>
      <c r="I1153">
        <v>0</v>
      </c>
      <c r="J1153">
        <v>0</v>
      </c>
      <c r="K1153">
        <v>0</v>
      </c>
      <c r="L1153">
        <v>4.5199999999999996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740</v>
      </c>
      <c r="AD1153">
        <v>2</v>
      </c>
      <c r="AE1153">
        <v>0</v>
      </c>
      <c r="AF1153">
        <v>1</v>
      </c>
      <c r="AG1153">
        <v>0</v>
      </c>
      <c r="AH1153">
        <v>500</v>
      </c>
      <c r="AI1153">
        <v>3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f t="shared" si="53"/>
        <v>8.2706999999999979</v>
      </c>
      <c r="AU1153">
        <f t="shared" si="54"/>
        <v>5.47</v>
      </c>
      <c r="AV1153">
        <f t="shared" si="52"/>
        <v>758.226</v>
      </c>
      <c r="AY1153">
        <v>1276.29</v>
      </c>
      <c r="AZ1153">
        <v>9</v>
      </c>
      <c r="BC1153" t="s">
        <v>194</v>
      </c>
    </row>
    <row r="1154" spans="3:55" x14ac:dyDescent="0.45">
      <c r="C1154">
        <v>82.67</v>
      </c>
      <c r="D1154">
        <v>5.47</v>
      </c>
      <c r="E1154">
        <v>4.8099999999999996</v>
      </c>
      <c r="F1154">
        <v>1.03</v>
      </c>
      <c r="G1154">
        <v>0</v>
      </c>
      <c r="H1154">
        <v>1.5</v>
      </c>
      <c r="I1154">
        <v>0</v>
      </c>
      <c r="J1154">
        <v>0</v>
      </c>
      <c r="K1154">
        <v>0</v>
      </c>
      <c r="L1154">
        <v>4.5199999999999996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750</v>
      </c>
      <c r="AD1154">
        <v>2</v>
      </c>
      <c r="AE1154">
        <v>0</v>
      </c>
      <c r="AF1154">
        <v>1</v>
      </c>
      <c r="AG1154">
        <v>0</v>
      </c>
      <c r="AH1154">
        <v>500</v>
      </c>
      <c r="AI1154">
        <v>3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f t="shared" si="53"/>
        <v>8.2706999999999979</v>
      </c>
      <c r="AU1154">
        <f t="shared" si="54"/>
        <v>5.47</v>
      </c>
      <c r="AV1154">
        <f t="shared" ref="AV1154:AV1205" si="55">882+2.1*D1154-9.5*L1154+4.2*M1154-6.9*J1154-11.8*E1154-12.1*F1154-15.4*H1154+23.3*Q1154+123*T1154</f>
        <v>758.226</v>
      </c>
      <c r="AY1154">
        <v>1309.5899999999999</v>
      </c>
      <c r="AZ1154">
        <v>6.75</v>
      </c>
      <c r="BC1154" t="s">
        <v>194</v>
      </c>
    </row>
    <row r="1155" spans="3:55" x14ac:dyDescent="0.45">
      <c r="C1155">
        <v>82.67</v>
      </c>
      <c r="D1155">
        <v>5.47</v>
      </c>
      <c r="E1155">
        <v>4.8099999999999996</v>
      </c>
      <c r="F1155">
        <v>1.03</v>
      </c>
      <c r="G1155">
        <v>0</v>
      </c>
      <c r="H1155">
        <v>1.5</v>
      </c>
      <c r="I1155">
        <v>0</v>
      </c>
      <c r="J1155">
        <v>0</v>
      </c>
      <c r="K1155">
        <v>0</v>
      </c>
      <c r="L1155">
        <v>4.5199999999999996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760</v>
      </c>
      <c r="AD1155">
        <v>2</v>
      </c>
      <c r="AE1155">
        <v>0</v>
      </c>
      <c r="AF1155">
        <v>1</v>
      </c>
      <c r="AG1155">
        <v>0</v>
      </c>
      <c r="AH1155">
        <v>500</v>
      </c>
      <c r="AI1155">
        <v>3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f t="shared" ref="AT1155:AT1205" si="56">L1155+0.67*E1155+0.44*P1155+0.28*K1155+0.22*O1155+2.9*H1155+1.6*F1155+1.7*G1155-D1155</f>
        <v>8.2706999999999979</v>
      </c>
      <c r="AU1155">
        <f t="shared" si="54"/>
        <v>5.47</v>
      </c>
      <c r="AV1155">
        <f t="shared" si="55"/>
        <v>758.226</v>
      </c>
      <c r="AY1155">
        <v>1362.37</v>
      </c>
      <c r="AZ1155">
        <v>4.97</v>
      </c>
      <c r="BC1155" t="s">
        <v>194</v>
      </c>
    </row>
    <row r="1156" spans="3:55" x14ac:dyDescent="0.45">
      <c r="C1156">
        <v>82.67</v>
      </c>
      <c r="D1156">
        <v>5.47</v>
      </c>
      <c r="E1156">
        <v>4.8099999999999996</v>
      </c>
      <c r="F1156">
        <v>1.03</v>
      </c>
      <c r="G1156">
        <v>0</v>
      </c>
      <c r="H1156">
        <v>1.5</v>
      </c>
      <c r="I1156">
        <v>0</v>
      </c>
      <c r="J1156">
        <v>0</v>
      </c>
      <c r="K1156">
        <v>0</v>
      </c>
      <c r="L1156">
        <v>4.5199999999999996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770</v>
      </c>
      <c r="AD1156">
        <v>2</v>
      </c>
      <c r="AE1156">
        <v>0</v>
      </c>
      <c r="AF1156">
        <v>1</v>
      </c>
      <c r="AG1156">
        <v>0</v>
      </c>
      <c r="AH1156">
        <v>500</v>
      </c>
      <c r="AI1156">
        <v>3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f t="shared" si="56"/>
        <v>8.2706999999999979</v>
      </c>
      <c r="AU1156">
        <f t="shared" si="54"/>
        <v>5.47</v>
      </c>
      <c r="AV1156">
        <f t="shared" si="55"/>
        <v>758.226</v>
      </c>
      <c r="AY1156">
        <v>1415.95</v>
      </c>
      <c r="AZ1156">
        <v>4.38</v>
      </c>
      <c r="BC1156" t="s">
        <v>194</v>
      </c>
    </row>
    <row r="1157" spans="3:55" x14ac:dyDescent="0.45">
      <c r="C1157">
        <v>82.67</v>
      </c>
      <c r="D1157">
        <v>5.47</v>
      </c>
      <c r="E1157">
        <v>4.8099999999999996</v>
      </c>
      <c r="F1157">
        <v>1.03</v>
      </c>
      <c r="G1157">
        <v>0</v>
      </c>
      <c r="H1157">
        <v>1.5</v>
      </c>
      <c r="I1157">
        <v>0</v>
      </c>
      <c r="J1157">
        <v>0</v>
      </c>
      <c r="K1157">
        <v>0</v>
      </c>
      <c r="L1157">
        <v>4.5199999999999996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780</v>
      </c>
      <c r="AD1157">
        <v>2</v>
      </c>
      <c r="AE1157">
        <v>0</v>
      </c>
      <c r="AF1157">
        <v>1</v>
      </c>
      <c r="AG1157">
        <v>0</v>
      </c>
      <c r="AH1157">
        <v>500</v>
      </c>
      <c r="AI1157">
        <v>3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f t="shared" si="56"/>
        <v>8.2706999999999979</v>
      </c>
      <c r="AU1157">
        <f t="shared" si="54"/>
        <v>5.47</v>
      </c>
      <c r="AV1157">
        <f t="shared" si="55"/>
        <v>758.226</v>
      </c>
      <c r="AY1157">
        <v>1436.27</v>
      </c>
      <c r="AZ1157">
        <v>3.46</v>
      </c>
      <c r="BC1157" t="s">
        <v>194</v>
      </c>
    </row>
    <row r="1158" spans="3:55" x14ac:dyDescent="0.45">
      <c r="C1158">
        <v>82.67</v>
      </c>
      <c r="D1158">
        <v>5.47</v>
      </c>
      <c r="E1158">
        <v>4.8099999999999996</v>
      </c>
      <c r="F1158">
        <v>1.03</v>
      </c>
      <c r="G1158">
        <v>0</v>
      </c>
      <c r="H1158">
        <v>1.5</v>
      </c>
      <c r="I1158">
        <v>0</v>
      </c>
      <c r="J1158">
        <v>0</v>
      </c>
      <c r="K1158">
        <v>0</v>
      </c>
      <c r="L1158">
        <v>4.5199999999999996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790</v>
      </c>
      <c r="AD1158">
        <v>2</v>
      </c>
      <c r="AE1158">
        <v>0</v>
      </c>
      <c r="AF1158">
        <v>1</v>
      </c>
      <c r="AG1158">
        <v>0</v>
      </c>
      <c r="AH1158">
        <v>500</v>
      </c>
      <c r="AI1158">
        <v>3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f t="shared" si="56"/>
        <v>8.2706999999999979</v>
      </c>
      <c r="AU1158">
        <f t="shared" si="54"/>
        <v>5.47</v>
      </c>
      <c r="AV1158">
        <f t="shared" si="55"/>
        <v>758.226</v>
      </c>
      <c r="AY1158">
        <v>1446.05</v>
      </c>
      <c r="AZ1158">
        <v>3.27</v>
      </c>
      <c r="BC1158" t="s">
        <v>194</v>
      </c>
    </row>
    <row r="1159" spans="3:55" x14ac:dyDescent="0.45">
      <c r="C1159">
        <v>82.67</v>
      </c>
      <c r="D1159">
        <v>5.47</v>
      </c>
      <c r="E1159">
        <v>4.8099999999999996</v>
      </c>
      <c r="F1159">
        <v>1.03</v>
      </c>
      <c r="G1159">
        <v>0</v>
      </c>
      <c r="H1159">
        <v>1.5</v>
      </c>
      <c r="I1159">
        <v>0</v>
      </c>
      <c r="J1159">
        <v>0</v>
      </c>
      <c r="K1159">
        <v>0</v>
      </c>
      <c r="L1159">
        <v>4.5199999999999996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800</v>
      </c>
      <c r="AD1159">
        <v>2</v>
      </c>
      <c r="AE1159">
        <v>0</v>
      </c>
      <c r="AF1159">
        <v>1</v>
      </c>
      <c r="AG1159">
        <v>0</v>
      </c>
      <c r="AH1159">
        <v>500</v>
      </c>
      <c r="AI1159">
        <v>3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f t="shared" si="56"/>
        <v>8.2706999999999979</v>
      </c>
      <c r="AU1159">
        <f t="shared" si="54"/>
        <v>5.47</v>
      </c>
      <c r="AV1159">
        <f t="shared" si="55"/>
        <v>758.226</v>
      </c>
      <c r="AY1159">
        <v>1454.21</v>
      </c>
      <c r="AZ1159">
        <v>3.54</v>
      </c>
      <c r="BC1159" t="s">
        <v>194</v>
      </c>
    </row>
    <row r="1160" spans="3:55" x14ac:dyDescent="0.45">
      <c r="C1160">
        <v>82.67</v>
      </c>
      <c r="D1160">
        <v>5.47</v>
      </c>
      <c r="E1160">
        <v>4.8099999999999996</v>
      </c>
      <c r="F1160">
        <v>1.03</v>
      </c>
      <c r="G1160">
        <v>0</v>
      </c>
      <c r="H1160">
        <v>1.5</v>
      </c>
      <c r="I1160">
        <v>0</v>
      </c>
      <c r="J1160">
        <v>0</v>
      </c>
      <c r="K1160">
        <v>0</v>
      </c>
      <c r="L1160">
        <v>4.5199999999999996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810</v>
      </c>
      <c r="AD1160">
        <v>2</v>
      </c>
      <c r="AE1160">
        <v>0</v>
      </c>
      <c r="AF1160">
        <v>1</v>
      </c>
      <c r="AG1160">
        <v>0</v>
      </c>
      <c r="AH1160">
        <v>500</v>
      </c>
      <c r="AI1160">
        <v>3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f t="shared" si="56"/>
        <v>8.2706999999999979</v>
      </c>
      <c r="AU1160">
        <f t="shared" si="54"/>
        <v>5.47</v>
      </c>
      <c r="AV1160">
        <f t="shared" si="55"/>
        <v>758.226</v>
      </c>
      <c r="AY1160">
        <v>1460.74</v>
      </c>
      <c r="AZ1160">
        <v>3.58</v>
      </c>
      <c r="BC1160" t="s">
        <v>194</v>
      </c>
    </row>
    <row r="1161" spans="3:55" x14ac:dyDescent="0.45">
      <c r="C1161">
        <v>82.67</v>
      </c>
      <c r="D1161">
        <v>5.47</v>
      </c>
      <c r="E1161">
        <v>4.8099999999999996</v>
      </c>
      <c r="F1161">
        <v>1.03</v>
      </c>
      <c r="G1161">
        <v>0</v>
      </c>
      <c r="H1161">
        <v>1.5</v>
      </c>
      <c r="I1161">
        <v>0</v>
      </c>
      <c r="J1161">
        <v>0</v>
      </c>
      <c r="K1161">
        <v>0</v>
      </c>
      <c r="L1161">
        <v>4.5199999999999996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820</v>
      </c>
      <c r="AD1161">
        <v>2</v>
      </c>
      <c r="AE1161">
        <v>0</v>
      </c>
      <c r="AF1161">
        <v>1</v>
      </c>
      <c r="AG1161">
        <v>0</v>
      </c>
      <c r="AH1161">
        <v>500</v>
      </c>
      <c r="AI1161">
        <v>3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f t="shared" si="56"/>
        <v>8.2706999999999979</v>
      </c>
      <c r="AU1161">
        <f t="shared" si="54"/>
        <v>5.47</v>
      </c>
      <c r="AV1161">
        <f t="shared" si="55"/>
        <v>758.226</v>
      </c>
      <c r="AY1161">
        <v>1460.8</v>
      </c>
      <c r="AZ1161">
        <v>3.31</v>
      </c>
      <c r="BC1161" t="s">
        <v>194</v>
      </c>
    </row>
    <row r="1162" spans="3:55" x14ac:dyDescent="0.45">
      <c r="C1162">
        <v>82.67</v>
      </c>
      <c r="D1162">
        <v>5.47</v>
      </c>
      <c r="E1162">
        <v>4.8099999999999996</v>
      </c>
      <c r="F1162">
        <v>1.03</v>
      </c>
      <c r="G1162">
        <v>0</v>
      </c>
      <c r="H1162">
        <v>1.5</v>
      </c>
      <c r="I1162">
        <v>0</v>
      </c>
      <c r="J1162">
        <v>0</v>
      </c>
      <c r="K1162">
        <v>0</v>
      </c>
      <c r="L1162">
        <v>4.5199999999999996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830</v>
      </c>
      <c r="AD1162">
        <v>2</v>
      </c>
      <c r="AE1162">
        <v>0</v>
      </c>
      <c r="AF1162">
        <v>1</v>
      </c>
      <c r="AG1162">
        <v>0</v>
      </c>
      <c r="AH1162">
        <v>500</v>
      </c>
      <c r="AI1162">
        <v>3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f t="shared" si="56"/>
        <v>8.2706999999999979</v>
      </c>
      <c r="AU1162">
        <f t="shared" si="54"/>
        <v>5.47</v>
      </c>
      <c r="AV1162">
        <f t="shared" si="55"/>
        <v>758.226</v>
      </c>
      <c r="AY1162">
        <v>1469.76</v>
      </c>
      <c r="AZ1162">
        <v>3.53</v>
      </c>
      <c r="BC1162" t="s">
        <v>194</v>
      </c>
    </row>
    <row r="1163" spans="3:55" x14ac:dyDescent="0.45">
      <c r="C1163">
        <v>82.67</v>
      </c>
      <c r="D1163">
        <v>5.47</v>
      </c>
      <c r="E1163">
        <v>4.8099999999999996</v>
      </c>
      <c r="F1163">
        <v>1.03</v>
      </c>
      <c r="G1163">
        <v>0</v>
      </c>
      <c r="H1163">
        <v>1.5</v>
      </c>
      <c r="I1163">
        <v>0</v>
      </c>
      <c r="J1163">
        <v>0</v>
      </c>
      <c r="K1163">
        <v>0</v>
      </c>
      <c r="L1163">
        <v>4.5199999999999996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840</v>
      </c>
      <c r="AD1163">
        <v>2</v>
      </c>
      <c r="AE1163">
        <v>0</v>
      </c>
      <c r="AF1163">
        <v>1</v>
      </c>
      <c r="AG1163">
        <v>0</v>
      </c>
      <c r="AH1163">
        <v>500</v>
      </c>
      <c r="AI1163">
        <v>3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f t="shared" si="56"/>
        <v>8.2706999999999979</v>
      </c>
      <c r="AU1163">
        <f t="shared" si="54"/>
        <v>5.47</v>
      </c>
      <c r="AV1163">
        <f t="shared" si="55"/>
        <v>758.226</v>
      </c>
      <c r="AY1163">
        <v>1473.05</v>
      </c>
      <c r="AZ1163">
        <v>3.41</v>
      </c>
      <c r="BC1163" t="s">
        <v>194</v>
      </c>
    </row>
    <row r="1164" spans="3:55" x14ac:dyDescent="0.45">
      <c r="C1164">
        <v>82.67</v>
      </c>
      <c r="D1164">
        <v>5.47</v>
      </c>
      <c r="E1164">
        <v>4.8099999999999996</v>
      </c>
      <c r="F1164">
        <v>1.03</v>
      </c>
      <c r="G1164">
        <v>0</v>
      </c>
      <c r="H1164">
        <v>1.5</v>
      </c>
      <c r="I1164">
        <v>0</v>
      </c>
      <c r="J1164">
        <v>0</v>
      </c>
      <c r="K1164">
        <v>0</v>
      </c>
      <c r="L1164">
        <v>4.5199999999999996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850</v>
      </c>
      <c r="AD1164">
        <v>2</v>
      </c>
      <c r="AE1164">
        <v>0</v>
      </c>
      <c r="AF1164">
        <v>1</v>
      </c>
      <c r="AG1164">
        <v>0</v>
      </c>
      <c r="AH1164">
        <v>500</v>
      </c>
      <c r="AI1164">
        <v>3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f t="shared" si="56"/>
        <v>8.2706999999999979</v>
      </c>
      <c r="AU1164">
        <f t="shared" si="54"/>
        <v>5.47</v>
      </c>
      <c r="AV1164">
        <f t="shared" si="55"/>
        <v>758.226</v>
      </c>
      <c r="AY1164">
        <v>1482.83</v>
      </c>
      <c r="AZ1164">
        <v>3.3</v>
      </c>
      <c r="BC1164" t="s">
        <v>194</v>
      </c>
    </row>
    <row r="1165" spans="3:55" x14ac:dyDescent="0.45">
      <c r="C1165">
        <v>82.67</v>
      </c>
      <c r="D1165">
        <v>5.47</v>
      </c>
      <c r="E1165">
        <v>4.8099999999999996</v>
      </c>
      <c r="F1165">
        <v>1.03</v>
      </c>
      <c r="G1165">
        <v>0</v>
      </c>
      <c r="H1165">
        <v>1.5</v>
      </c>
      <c r="I1165">
        <v>0</v>
      </c>
      <c r="J1165">
        <v>0</v>
      </c>
      <c r="K1165">
        <v>0</v>
      </c>
      <c r="L1165">
        <v>4.5199999999999996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860</v>
      </c>
      <c r="AD1165">
        <v>2</v>
      </c>
      <c r="AE1165">
        <v>0</v>
      </c>
      <c r="AF1165">
        <v>1</v>
      </c>
      <c r="AG1165">
        <v>0</v>
      </c>
      <c r="AH1165">
        <v>500</v>
      </c>
      <c r="AI1165">
        <v>3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f t="shared" si="56"/>
        <v>8.2706999999999979</v>
      </c>
      <c r="AU1165">
        <f t="shared" si="54"/>
        <v>5.47</v>
      </c>
      <c r="AV1165">
        <f t="shared" si="55"/>
        <v>758.226</v>
      </c>
      <c r="AY1165">
        <v>1492.81</v>
      </c>
      <c r="AZ1165">
        <v>3.32</v>
      </c>
      <c r="BC1165" t="s">
        <v>194</v>
      </c>
    </row>
    <row r="1166" spans="3:55" x14ac:dyDescent="0.45">
      <c r="C1166">
        <v>82.67</v>
      </c>
      <c r="D1166">
        <v>5.47</v>
      </c>
      <c r="E1166">
        <v>4.8099999999999996</v>
      </c>
      <c r="F1166">
        <v>1.03</v>
      </c>
      <c r="G1166">
        <v>0</v>
      </c>
      <c r="H1166">
        <v>1.5</v>
      </c>
      <c r="I1166">
        <v>0</v>
      </c>
      <c r="J1166">
        <v>0</v>
      </c>
      <c r="K1166">
        <v>0</v>
      </c>
      <c r="L1166">
        <v>4.5199999999999996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710</v>
      </c>
      <c r="AD1166">
        <v>2</v>
      </c>
      <c r="AE1166">
        <v>0</v>
      </c>
      <c r="AF1166">
        <v>1</v>
      </c>
      <c r="AG1166">
        <v>0</v>
      </c>
      <c r="AH1166">
        <v>550</v>
      </c>
      <c r="AI1166">
        <v>3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f t="shared" si="56"/>
        <v>8.2706999999999979</v>
      </c>
      <c r="AU1166">
        <f t="shared" si="54"/>
        <v>5.47</v>
      </c>
      <c r="AV1166">
        <f t="shared" si="55"/>
        <v>758.226</v>
      </c>
      <c r="AY1166">
        <v>1056.45</v>
      </c>
      <c r="AZ1166">
        <v>13.14</v>
      </c>
      <c r="BC1166" t="s">
        <v>194</v>
      </c>
    </row>
    <row r="1167" spans="3:55" x14ac:dyDescent="0.45">
      <c r="C1167">
        <v>82.67</v>
      </c>
      <c r="D1167">
        <v>5.47</v>
      </c>
      <c r="E1167">
        <v>4.8099999999999996</v>
      </c>
      <c r="F1167">
        <v>1.03</v>
      </c>
      <c r="G1167">
        <v>0</v>
      </c>
      <c r="H1167">
        <v>1.5</v>
      </c>
      <c r="I1167">
        <v>0</v>
      </c>
      <c r="J1167">
        <v>0</v>
      </c>
      <c r="K1167">
        <v>0</v>
      </c>
      <c r="L1167">
        <v>4.5199999999999996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720</v>
      </c>
      <c r="AD1167">
        <v>2</v>
      </c>
      <c r="AE1167">
        <v>0</v>
      </c>
      <c r="AF1167">
        <v>1</v>
      </c>
      <c r="AG1167">
        <v>0</v>
      </c>
      <c r="AH1167">
        <v>550</v>
      </c>
      <c r="AI1167">
        <v>3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f t="shared" si="56"/>
        <v>8.2706999999999979</v>
      </c>
      <c r="AU1167">
        <f t="shared" si="54"/>
        <v>5.47</v>
      </c>
      <c r="AV1167">
        <f t="shared" si="55"/>
        <v>758.226</v>
      </c>
      <c r="AY1167">
        <v>1113</v>
      </c>
      <c r="AZ1167">
        <v>12.59</v>
      </c>
      <c r="BC1167" t="s">
        <v>194</v>
      </c>
    </row>
    <row r="1168" spans="3:55" x14ac:dyDescent="0.45">
      <c r="C1168">
        <v>82.67</v>
      </c>
      <c r="D1168">
        <v>5.47</v>
      </c>
      <c r="E1168">
        <v>4.8099999999999996</v>
      </c>
      <c r="F1168">
        <v>1.03</v>
      </c>
      <c r="G1168">
        <v>0</v>
      </c>
      <c r="H1168">
        <v>1.5</v>
      </c>
      <c r="I1168">
        <v>0</v>
      </c>
      <c r="J1168">
        <v>0</v>
      </c>
      <c r="K1168">
        <v>0</v>
      </c>
      <c r="L1168">
        <v>4.5199999999999996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730</v>
      </c>
      <c r="AD1168">
        <v>2</v>
      </c>
      <c r="AE1168">
        <v>0</v>
      </c>
      <c r="AF1168">
        <v>1</v>
      </c>
      <c r="AG1168">
        <v>0</v>
      </c>
      <c r="AH1168">
        <v>550</v>
      </c>
      <c r="AI1168">
        <v>3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f t="shared" si="56"/>
        <v>8.2706999999999979</v>
      </c>
      <c r="AU1168">
        <f t="shared" si="54"/>
        <v>5.47</v>
      </c>
      <c r="AV1168">
        <f t="shared" si="55"/>
        <v>758.226</v>
      </c>
      <c r="AY1168">
        <v>1160.26</v>
      </c>
      <c r="AZ1168">
        <v>11.55</v>
      </c>
      <c r="BC1168" t="s">
        <v>194</v>
      </c>
    </row>
    <row r="1169" spans="3:55" x14ac:dyDescent="0.45">
      <c r="C1169">
        <v>82.67</v>
      </c>
      <c r="D1169">
        <v>5.47</v>
      </c>
      <c r="E1169">
        <v>4.8099999999999996</v>
      </c>
      <c r="F1169">
        <v>1.03</v>
      </c>
      <c r="G1169">
        <v>0</v>
      </c>
      <c r="H1169">
        <v>1.5</v>
      </c>
      <c r="I1169">
        <v>0</v>
      </c>
      <c r="J1169">
        <v>0</v>
      </c>
      <c r="K1169">
        <v>0</v>
      </c>
      <c r="L1169">
        <v>4.5199999999999996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740</v>
      </c>
      <c r="AD1169">
        <v>2</v>
      </c>
      <c r="AE1169">
        <v>0</v>
      </c>
      <c r="AF1169">
        <v>1</v>
      </c>
      <c r="AG1169">
        <v>0</v>
      </c>
      <c r="AH1169">
        <v>550</v>
      </c>
      <c r="AI1169">
        <v>3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f t="shared" si="56"/>
        <v>8.2706999999999979</v>
      </c>
      <c r="AU1169">
        <f t="shared" si="54"/>
        <v>5.47</v>
      </c>
      <c r="AV1169">
        <f t="shared" si="55"/>
        <v>758.226</v>
      </c>
      <c r="AY1169">
        <v>1200.71</v>
      </c>
      <c r="AZ1169">
        <v>10.38</v>
      </c>
      <c r="BC1169" t="s">
        <v>194</v>
      </c>
    </row>
    <row r="1170" spans="3:55" x14ac:dyDescent="0.45">
      <c r="C1170">
        <v>82.67</v>
      </c>
      <c r="D1170">
        <v>5.47</v>
      </c>
      <c r="E1170">
        <v>4.8099999999999996</v>
      </c>
      <c r="F1170">
        <v>1.03</v>
      </c>
      <c r="G1170">
        <v>0</v>
      </c>
      <c r="H1170">
        <v>1.5</v>
      </c>
      <c r="I1170">
        <v>0</v>
      </c>
      <c r="J1170">
        <v>0</v>
      </c>
      <c r="K1170">
        <v>0</v>
      </c>
      <c r="L1170">
        <v>4.5199999999999996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750</v>
      </c>
      <c r="AD1170">
        <v>2</v>
      </c>
      <c r="AE1170">
        <v>0</v>
      </c>
      <c r="AF1170">
        <v>1</v>
      </c>
      <c r="AG1170">
        <v>0</v>
      </c>
      <c r="AH1170">
        <v>550</v>
      </c>
      <c r="AI1170">
        <v>3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f t="shared" si="56"/>
        <v>8.2706999999999979</v>
      </c>
      <c r="AU1170">
        <f t="shared" si="54"/>
        <v>5.47</v>
      </c>
      <c r="AV1170">
        <f t="shared" si="55"/>
        <v>758.226</v>
      </c>
      <c r="AY1170">
        <v>1251.8499999999999</v>
      </c>
      <c r="AZ1170">
        <v>8.42</v>
      </c>
      <c r="BC1170" t="s">
        <v>194</v>
      </c>
    </row>
    <row r="1171" spans="3:55" x14ac:dyDescent="0.45">
      <c r="C1171">
        <v>82.67</v>
      </c>
      <c r="D1171">
        <v>5.47</v>
      </c>
      <c r="E1171">
        <v>4.8099999999999996</v>
      </c>
      <c r="F1171">
        <v>1.03</v>
      </c>
      <c r="G1171">
        <v>0</v>
      </c>
      <c r="H1171">
        <v>1.5</v>
      </c>
      <c r="I1171">
        <v>0</v>
      </c>
      <c r="J1171">
        <v>0</v>
      </c>
      <c r="K1171">
        <v>0</v>
      </c>
      <c r="L1171">
        <v>4.5199999999999996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760</v>
      </c>
      <c r="AD1171">
        <v>2</v>
      </c>
      <c r="AE1171">
        <v>0</v>
      </c>
      <c r="AF1171">
        <v>1</v>
      </c>
      <c r="AG1171">
        <v>0</v>
      </c>
      <c r="AH1171">
        <v>550</v>
      </c>
      <c r="AI1171">
        <v>3</v>
      </c>
      <c r="AJ1171">
        <v>0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f t="shared" si="56"/>
        <v>8.2706999999999979</v>
      </c>
      <c r="AU1171">
        <f t="shared" si="54"/>
        <v>5.47</v>
      </c>
      <c r="AV1171">
        <f t="shared" si="55"/>
        <v>758.226</v>
      </c>
      <c r="AY1171">
        <v>1253.9000000000001</v>
      </c>
      <c r="AZ1171">
        <v>5.91</v>
      </c>
      <c r="BC1171" t="s">
        <v>194</v>
      </c>
    </row>
    <row r="1172" spans="3:55" x14ac:dyDescent="0.45">
      <c r="C1172">
        <v>82.67</v>
      </c>
      <c r="D1172">
        <v>5.47</v>
      </c>
      <c r="E1172">
        <v>4.8099999999999996</v>
      </c>
      <c r="F1172">
        <v>1.03</v>
      </c>
      <c r="G1172">
        <v>0</v>
      </c>
      <c r="H1172">
        <v>1.5</v>
      </c>
      <c r="I1172">
        <v>0</v>
      </c>
      <c r="J1172">
        <v>0</v>
      </c>
      <c r="K1172">
        <v>0</v>
      </c>
      <c r="L1172">
        <v>4.5199999999999996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770</v>
      </c>
      <c r="AD1172">
        <v>2</v>
      </c>
      <c r="AE1172">
        <v>0</v>
      </c>
      <c r="AF1172">
        <v>1</v>
      </c>
      <c r="AG1172">
        <v>0</v>
      </c>
      <c r="AH1172">
        <v>550</v>
      </c>
      <c r="AI1172">
        <v>3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f t="shared" si="56"/>
        <v>8.2706999999999979</v>
      </c>
      <c r="AU1172">
        <f t="shared" si="54"/>
        <v>5.47</v>
      </c>
      <c r="AV1172">
        <f t="shared" si="55"/>
        <v>758.226</v>
      </c>
      <c r="AY1172">
        <v>1284.99</v>
      </c>
      <c r="AZ1172">
        <v>5.1100000000000003</v>
      </c>
      <c r="BC1172" t="s">
        <v>194</v>
      </c>
    </row>
    <row r="1173" spans="3:55" x14ac:dyDescent="0.45">
      <c r="C1173">
        <v>82.67</v>
      </c>
      <c r="D1173">
        <v>5.47</v>
      </c>
      <c r="E1173">
        <v>4.8099999999999996</v>
      </c>
      <c r="F1173">
        <v>1.03</v>
      </c>
      <c r="G1173">
        <v>0</v>
      </c>
      <c r="H1173">
        <v>1.5</v>
      </c>
      <c r="I1173">
        <v>0</v>
      </c>
      <c r="J1173">
        <v>0</v>
      </c>
      <c r="K1173">
        <v>0</v>
      </c>
      <c r="L1173">
        <v>4.5199999999999996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780</v>
      </c>
      <c r="AD1173">
        <v>2</v>
      </c>
      <c r="AE1173">
        <v>0</v>
      </c>
      <c r="AF1173">
        <v>1</v>
      </c>
      <c r="AG1173">
        <v>0</v>
      </c>
      <c r="AH1173">
        <v>550</v>
      </c>
      <c r="AI1173">
        <v>3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f t="shared" si="56"/>
        <v>8.2706999999999979</v>
      </c>
      <c r="AU1173">
        <f t="shared" si="54"/>
        <v>5.47</v>
      </c>
      <c r="AV1173">
        <f t="shared" si="55"/>
        <v>758.226</v>
      </c>
      <c r="AY1173">
        <v>1300.6099999999999</v>
      </c>
      <c r="AZ1173">
        <v>4.05</v>
      </c>
      <c r="BC1173" t="s">
        <v>194</v>
      </c>
    </row>
    <row r="1174" spans="3:55" x14ac:dyDescent="0.45">
      <c r="C1174">
        <v>82.67</v>
      </c>
      <c r="D1174">
        <v>5.47</v>
      </c>
      <c r="E1174">
        <v>4.8099999999999996</v>
      </c>
      <c r="F1174">
        <v>1.03</v>
      </c>
      <c r="G1174">
        <v>0</v>
      </c>
      <c r="H1174">
        <v>1.5</v>
      </c>
      <c r="I1174">
        <v>0</v>
      </c>
      <c r="J1174">
        <v>0</v>
      </c>
      <c r="K1174">
        <v>0</v>
      </c>
      <c r="L1174">
        <v>4.5199999999999996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790</v>
      </c>
      <c r="AD1174">
        <v>2</v>
      </c>
      <c r="AE1174">
        <v>0</v>
      </c>
      <c r="AF1174">
        <v>1</v>
      </c>
      <c r="AG1174">
        <v>0</v>
      </c>
      <c r="AH1174">
        <v>550</v>
      </c>
      <c r="AI1174">
        <v>3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f t="shared" si="56"/>
        <v>8.2706999999999979</v>
      </c>
      <c r="AU1174">
        <f t="shared" si="54"/>
        <v>5.47</v>
      </c>
      <c r="AV1174">
        <f t="shared" si="55"/>
        <v>758.226</v>
      </c>
      <c r="AY1174">
        <v>1336.48</v>
      </c>
      <c r="AZ1174">
        <v>3.76</v>
      </c>
      <c r="BB1174" t="s">
        <v>353</v>
      </c>
      <c r="BC1174" t="s">
        <v>194</v>
      </c>
    </row>
    <row r="1175" spans="3:55" x14ac:dyDescent="0.45">
      <c r="C1175">
        <v>82.67</v>
      </c>
      <c r="D1175">
        <v>5.47</v>
      </c>
      <c r="E1175">
        <v>4.8099999999999996</v>
      </c>
      <c r="F1175">
        <v>1.03</v>
      </c>
      <c r="G1175">
        <v>0</v>
      </c>
      <c r="H1175">
        <v>1.5</v>
      </c>
      <c r="I1175">
        <v>0</v>
      </c>
      <c r="J1175">
        <v>0</v>
      </c>
      <c r="K1175">
        <v>0</v>
      </c>
      <c r="L1175">
        <v>4.5199999999999996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800</v>
      </c>
      <c r="AD1175">
        <v>2</v>
      </c>
      <c r="AE1175">
        <v>0</v>
      </c>
      <c r="AF1175">
        <v>1</v>
      </c>
      <c r="AG1175">
        <v>0</v>
      </c>
      <c r="AH1175">
        <v>550</v>
      </c>
      <c r="AI1175">
        <v>3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f t="shared" si="56"/>
        <v>8.2706999999999979</v>
      </c>
      <c r="AU1175">
        <f t="shared" si="54"/>
        <v>5.47</v>
      </c>
      <c r="AV1175">
        <f t="shared" si="55"/>
        <v>758.226</v>
      </c>
      <c r="AY1175">
        <v>1377.68</v>
      </c>
      <c r="AZ1175">
        <v>3.7</v>
      </c>
      <c r="BB1175" t="s">
        <v>353</v>
      </c>
      <c r="BC1175" t="s">
        <v>194</v>
      </c>
    </row>
    <row r="1176" spans="3:55" x14ac:dyDescent="0.45">
      <c r="C1176">
        <v>82.67</v>
      </c>
      <c r="D1176">
        <v>5.47</v>
      </c>
      <c r="E1176">
        <v>4.8099999999999996</v>
      </c>
      <c r="F1176">
        <v>1.03</v>
      </c>
      <c r="G1176">
        <v>0</v>
      </c>
      <c r="H1176">
        <v>1.5</v>
      </c>
      <c r="I1176">
        <v>0</v>
      </c>
      <c r="J1176">
        <v>0</v>
      </c>
      <c r="K1176">
        <v>0</v>
      </c>
      <c r="L1176">
        <v>4.5199999999999996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810</v>
      </c>
      <c r="AD1176">
        <v>2</v>
      </c>
      <c r="AE1176">
        <v>0</v>
      </c>
      <c r="AF1176">
        <v>1</v>
      </c>
      <c r="AG1176">
        <v>0</v>
      </c>
      <c r="AH1176">
        <v>550</v>
      </c>
      <c r="AI1176">
        <v>3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f t="shared" si="56"/>
        <v>8.2706999999999979</v>
      </c>
      <c r="AU1176">
        <f t="shared" si="54"/>
        <v>5.47</v>
      </c>
      <c r="AV1176">
        <f t="shared" si="55"/>
        <v>758.226</v>
      </c>
      <c r="AY1176">
        <v>1354.34</v>
      </c>
      <c r="AZ1176">
        <v>3.61</v>
      </c>
      <c r="BB1176" t="s">
        <v>353</v>
      </c>
      <c r="BC1176" t="s">
        <v>194</v>
      </c>
    </row>
    <row r="1177" spans="3:55" x14ac:dyDescent="0.45">
      <c r="C1177">
        <v>82.67</v>
      </c>
      <c r="D1177">
        <v>5.47</v>
      </c>
      <c r="E1177">
        <v>4.8099999999999996</v>
      </c>
      <c r="F1177">
        <v>1.03</v>
      </c>
      <c r="G1177">
        <v>0</v>
      </c>
      <c r="H1177">
        <v>1.5</v>
      </c>
      <c r="I1177">
        <v>0</v>
      </c>
      <c r="J1177">
        <v>0</v>
      </c>
      <c r="K1177">
        <v>0</v>
      </c>
      <c r="L1177">
        <v>4.5199999999999996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820</v>
      </c>
      <c r="AD1177">
        <v>2</v>
      </c>
      <c r="AE1177">
        <v>0</v>
      </c>
      <c r="AF1177">
        <v>1</v>
      </c>
      <c r="AG1177">
        <v>0</v>
      </c>
      <c r="AH1177">
        <v>550</v>
      </c>
      <c r="AI1177">
        <v>3</v>
      </c>
      <c r="AJ1177">
        <v>0</v>
      </c>
      <c r="AK1177">
        <v>1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f t="shared" si="56"/>
        <v>8.2706999999999979</v>
      </c>
      <c r="AU1177">
        <f t="shared" si="54"/>
        <v>5.47</v>
      </c>
      <c r="AV1177">
        <f t="shared" si="55"/>
        <v>758.226</v>
      </c>
      <c r="AY1177">
        <v>1361.94</v>
      </c>
      <c r="AZ1177">
        <v>3.52</v>
      </c>
      <c r="BB1177" t="s">
        <v>353</v>
      </c>
      <c r="BC1177" t="s">
        <v>194</v>
      </c>
    </row>
    <row r="1178" spans="3:55" x14ac:dyDescent="0.45">
      <c r="C1178">
        <v>82.67</v>
      </c>
      <c r="D1178">
        <v>5.47</v>
      </c>
      <c r="E1178">
        <v>4.8099999999999996</v>
      </c>
      <c r="F1178">
        <v>1.03</v>
      </c>
      <c r="G1178">
        <v>0</v>
      </c>
      <c r="H1178">
        <v>1.5</v>
      </c>
      <c r="I1178">
        <v>0</v>
      </c>
      <c r="J1178">
        <v>0</v>
      </c>
      <c r="K1178">
        <v>0</v>
      </c>
      <c r="L1178">
        <v>4.5199999999999996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830</v>
      </c>
      <c r="AD1178">
        <v>2</v>
      </c>
      <c r="AE1178">
        <v>0</v>
      </c>
      <c r="AF1178">
        <v>1</v>
      </c>
      <c r="AG1178">
        <v>0</v>
      </c>
      <c r="AH1178">
        <v>550</v>
      </c>
      <c r="AI1178">
        <v>3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f t="shared" si="56"/>
        <v>8.2706999999999979</v>
      </c>
      <c r="AU1178">
        <f t="shared" si="54"/>
        <v>5.47</v>
      </c>
      <c r="AV1178">
        <f t="shared" si="55"/>
        <v>758.226</v>
      </c>
      <c r="AY1178">
        <v>1370.3</v>
      </c>
      <c r="AZ1178">
        <v>3.44</v>
      </c>
      <c r="BB1178" t="s">
        <v>353</v>
      </c>
      <c r="BC1178" t="s">
        <v>194</v>
      </c>
    </row>
    <row r="1179" spans="3:55" x14ac:dyDescent="0.45">
      <c r="C1179">
        <v>82.67</v>
      </c>
      <c r="D1179">
        <v>5.47</v>
      </c>
      <c r="E1179">
        <v>4.8099999999999996</v>
      </c>
      <c r="F1179">
        <v>1.03</v>
      </c>
      <c r="G1179">
        <v>0</v>
      </c>
      <c r="H1179">
        <v>1.5</v>
      </c>
      <c r="I1179">
        <v>0</v>
      </c>
      <c r="J1179">
        <v>0</v>
      </c>
      <c r="K1179">
        <v>0</v>
      </c>
      <c r="L1179">
        <v>4.5199999999999996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840</v>
      </c>
      <c r="AD1179">
        <v>2</v>
      </c>
      <c r="AE1179">
        <v>0</v>
      </c>
      <c r="AF1179">
        <v>1</v>
      </c>
      <c r="AG1179">
        <v>0</v>
      </c>
      <c r="AH1179">
        <v>550</v>
      </c>
      <c r="AI1179">
        <v>3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f t="shared" si="56"/>
        <v>8.2706999999999979</v>
      </c>
      <c r="AU1179">
        <f t="shared" si="54"/>
        <v>5.47</v>
      </c>
      <c r="AV1179">
        <f t="shared" si="55"/>
        <v>758.226</v>
      </c>
      <c r="AY1179">
        <v>1390.12</v>
      </c>
      <c r="AZ1179">
        <v>3.4</v>
      </c>
      <c r="BB1179" t="s">
        <v>353</v>
      </c>
      <c r="BC1179" t="s">
        <v>194</v>
      </c>
    </row>
    <row r="1180" spans="3:55" x14ac:dyDescent="0.45">
      <c r="C1180">
        <v>82.67</v>
      </c>
      <c r="D1180">
        <v>5.47</v>
      </c>
      <c r="E1180">
        <v>4.8099999999999996</v>
      </c>
      <c r="F1180">
        <v>1.03</v>
      </c>
      <c r="G1180">
        <v>0</v>
      </c>
      <c r="H1180">
        <v>1.5</v>
      </c>
      <c r="I1180">
        <v>0</v>
      </c>
      <c r="J1180">
        <v>0</v>
      </c>
      <c r="K1180">
        <v>0</v>
      </c>
      <c r="L1180">
        <v>4.5199999999999996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850</v>
      </c>
      <c r="AD1180">
        <v>2</v>
      </c>
      <c r="AE1180">
        <v>0</v>
      </c>
      <c r="AF1180">
        <v>1</v>
      </c>
      <c r="AG1180">
        <v>0</v>
      </c>
      <c r="AH1180">
        <v>550</v>
      </c>
      <c r="AI1180">
        <v>3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f t="shared" si="56"/>
        <v>8.2706999999999979</v>
      </c>
      <c r="AU1180">
        <f t="shared" si="54"/>
        <v>5.47</v>
      </c>
      <c r="AV1180">
        <f t="shared" si="55"/>
        <v>758.226</v>
      </c>
      <c r="AY1180">
        <v>1409.56</v>
      </c>
      <c r="AZ1180">
        <v>3.39</v>
      </c>
      <c r="BB1180" t="s">
        <v>353</v>
      </c>
      <c r="BC1180" t="s">
        <v>194</v>
      </c>
    </row>
    <row r="1181" spans="3:55" x14ac:dyDescent="0.45">
      <c r="C1181">
        <v>82.67</v>
      </c>
      <c r="D1181">
        <v>5.47</v>
      </c>
      <c r="E1181">
        <v>4.8099999999999996</v>
      </c>
      <c r="F1181">
        <v>1.03</v>
      </c>
      <c r="G1181">
        <v>0</v>
      </c>
      <c r="H1181">
        <v>1.5</v>
      </c>
      <c r="I1181">
        <v>0</v>
      </c>
      <c r="J1181">
        <v>0</v>
      </c>
      <c r="K1181">
        <v>0</v>
      </c>
      <c r="L1181">
        <v>4.5199999999999996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860</v>
      </c>
      <c r="AD1181">
        <v>2</v>
      </c>
      <c r="AE1181">
        <v>0</v>
      </c>
      <c r="AF1181">
        <v>1</v>
      </c>
      <c r="AG1181">
        <v>0</v>
      </c>
      <c r="AH1181">
        <v>550</v>
      </c>
      <c r="AI1181">
        <v>3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f t="shared" si="56"/>
        <v>8.2706999999999979</v>
      </c>
      <c r="AU1181">
        <f t="shared" si="54"/>
        <v>5.47</v>
      </c>
      <c r="AV1181">
        <f t="shared" si="55"/>
        <v>758.226</v>
      </c>
      <c r="AY1181">
        <v>1423.7</v>
      </c>
      <c r="AZ1181">
        <v>3.33</v>
      </c>
      <c r="BB1181" t="s">
        <v>353</v>
      </c>
      <c r="BC1181" t="s">
        <v>194</v>
      </c>
    </row>
    <row r="1182" spans="3:55" x14ac:dyDescent="0.45">
      <c r="C1182">
        <v>82.8</v>
      </c>
      <c r="D1182">
        <v>6.2</v>
      </c>
      <c r="E1182">
        <v>0</v>
      </c>
      <c r="F1182">
        <v>1.5</v>
      </c>
      <c r="G1182">
        <v>0</v>
      </c>
      <c r="H1182">
        <v>0</v>
      </c>
      <c r="I1182">
        <v>0</v>
      </c>
      <c r="J1182">
        <v>2.6</v>
      </c>
      <c r="K1182">
        <v>2.7</v>
      </c>
      <c r="L1182">
        <v>4.2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f t="shared" si="56"/>
        <v>1.1560000000000006</v>
      </c>
      <c r="AU1182">
        <f t="shared" si="54"/>
        <v>6.6333333333333337</v>
      </c>
      <c r="AV1182">
        <f t="shared" si="55"/>
        <v>819.03</v>
      </c>
      <c r="AX1182">
        <v>1073</v>
      </c>
      <c r="AY1182">
        <v>1097</v>
      </c>
      <c r="AZ1182">
        <v>14</v>
      </c>
      <c r="BB1182" t="s">
        <v>353</v>
      </c>
      <c r="BC1182" t="s">
        <v>196</v>
      </c>
    </row>
    <row r="1183" spans="3:55" x14ac:dyDescent="0.45">
      <c r="C1183">
        <v>82.8</v>
      </c>
      <c r="D1183">
        <v>6.2</v>
      </c>
      <c r="E1183">
        <v>0</v>
      </c>
      <c r="F1183">
        <v>1.5</v>
      </c>
      <c r="G1183">
        <v>0</v>
      </c>
      <c r="H1183">
        <v>0</v>
      </c>
      <c r="I1183">
        <v>0</v>
      </c>
      <c r="J1183">
        <v>2.6</v>
      </c>
      <c r="K1183">
        <v>2.7</v>
      </c>
      <c r="L1183">
        <v>4.2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910</v>
      </c>
      <c r="AD1183">
        <v>1</v>
      </c>
      <c r="AE1183">
        <v>0</v>
      </c>
      <c r="AF1183">
        <v>1</v>
      </c>
      <c r="AG1183">
        <v>0</v>
      </c>
      <c r="AH1183">
        <v>590</v>
      </c>
      <c r="AI1183">
        <v>4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f t="shared" si="56"/>
        <v>1.1560000000000006</v>
      </c>
      <c r="AU1183">
        <f t="shared" si="54"/>
        <v>6.6333333333333337</v>
      </c>
      <c r="AV1183">
        <f t="shared" si="55"/>
        <v>819.03</v>
      </c>
      <c r="AX1183">
        <v>1258</v>
      </c>
      <c r="AY1183">
        <v>1331</v>
      </c>
      <c r="AZ1183">
        <v>9.8000000000000007</v>
      </c>
      <c r="BB1183" t="s">
        <v>353</v>
      </c>
      <c r="BC1183" t="s">
        <v>196</v>
      </c>
    </row>
    <row r="1184" spans="3:55" x14ac:dyDescent="0.45">
      <c r="C1184">
        <v>82.8</v>
      </c>
      <c r="D1184">
        <v>6.2</v>
      </c>
      <c r="E1184">
        <v>0</v>
      </c>
      <c r="F1184">
        <v>1.5</v>
      </c>
      <c r="G1184">
        <v>0</v>
      </c>
      <c r="H1184">
        <v>0</v>
      </c>
      <c r="I1184">
        <v>0</v>
      </c>
      <c r="J1184">
        <v>2.6</v>
      </c>
      <c r="K1184">
        <v>2.7</v>
      </c>
      <c r="L1184">
        <v>4.2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910</v>
      </c>
      <c r="AD1184">
        <v>1</v>
      </c>
      <c r="AE1184">
        <v>0</v>
      </c>
      <c r="AF1184">
        <v>0</v>
      </c>
      <c r="AG1184">
        <v>0</v>
      </c>
      <c r="AH1184">
        <v>590</v>
      </c>
      <c r="AI1184">
        <v>4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f t="shared" si="56"/>
        <v>1.1560000000000006</v>
      </c>
      <c r="AU1184">
        <f t="shared" si="54"/>
        <v>6.6333333333333337</v>
      </c>
      <c r="AV1184">
        <f t="shared" si="55"/>
        <v>819.03</v>
      </c>
      <c r="AX1184">
        <v>1113</v>
      </c>
      <c r="AY1184">
        <v>1188</v>
      </c>
      <c r="AZ1184">
        <v>13</v>
      </c>
      <c r="BB1184" t="s">
        <v>353</v>
      </c>
      <c r="BC1184" t="s">
        <v>196</v>
      </c>
    </row>
    <row r="1185" spans="3:55" x14ac:dyDescent="0.45">
      <c r="C1185">
        <v>82.8</v>
      </c>
      <c r="D1185">
        <v>6.2</v>
      </c>
      <c r="E1185">
        <v>0</v>
      </c>
      <c r="F1185">
        <v>1.5</v>
      </c>
      <c r="G1185">
        <v>0</v>
      </c>
      <c r="H1185">
        <v>0</v>
      </c>
      <c r="I1185">
        <v>0</v>
      </c>
      <c r="J1185">
        <v>2.6</v>
      </c>
      <c r="K1185">
        <v>2.7</v>
      </c>
      <c r="L1185">
        <v>4.2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910</v>
      </c>
      <c r="AD1185">
        <v>1</v>
      </c>
      <c r="AE1185">
        <v>0</v>
      </c>
      <c r="AF1185">
        <v>0</v>
      </c>
      <c r="AG1185">
        <v>1</v>
      </c>
      <c r="AH1185">
        <v>590</v>
      </c>
      <c r="AI1185">
        <v>4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f t="shared" si="56"/>
        <v>1.1560000000000006</v>
      </c>
      <c r="AU1185">
        <f t="shared" si="54"/>
        <v>6.6333333333333337</v>
      </c>
      <c r="AV1185">
        <f t="shared" si="55"/>
        <v>819.03</v>
      </c>
      <c r="AX1185">
        <v>1001</v>
      </c>
      <c r="AY1185">
        <v>1048</v>
      </c>
      <c r="AZ1185">
        <v>20.3</v>
      </c>
      <c r="BB1185" t="s">
        <v>353</v>
      </c>
      <c r="BC1185" t="s">
        <v>196</v>
      </c>
    </row>
    <row r="1186" spans="3:55" x14ac:dyDescent="0.45">
      <c r="C1186">
        <v>81.05</v>
      </c>
      <c r="D1186">
        <v>5.01</v>
      </c>
      <c r="E1186">
        <v>4.9800000000000004</v>
      </c>
      <c r="F1186">
        <v>2.99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4.97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860</v>
      </c>
      <c r="AD1186">
        <v>2</v>
      </c>
      <c r="AE1186">
        <v>0</v>
      </c>
      <c r="AF1186">
        <v>0</v>
      </c>
      <c r="AG1186">
        <v>1</v>
      </c>
      <c r="AH1186">
        <v>610</v>
      </c>
      <c r="AI1186">
        <v>3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f t="shared" si="56"/>
        <v>8.0806000000000004</v>
      </c>
      <c r="AU1186">
        <f t="shared" si="54"/>
        <v>5.1766666666666667</v>
      </c>
      <c r="AV1186">
        <f t="shared" si="55"/>
        <v>743.46299999999997</v>
      </c>
      <c r="BB1186" t="s">
        <v>353</v>
      </c>
      <c r="BC1186" t="s">
        <v>199</v>
      </c>
    </row>
    <row r="1187" spans="3:55" x14ac:dyDescent="0.45">
      <c r="C1187">
        <v>81.05</v>
      </c>
      <c r="D1187">
        <v>5.01</v>
      </c>
      <c r="E1187">
        <v>4.9800000000000004</v>
      </c>
      <c r="F1187">
        <v>2.99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4.97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860</v>
      </c>
      <c r="AD1187">
        <v>2</v>
      </c>
      <c r="AE1187">
        <v>0</v>
      </c>
      <c r="AF1187">
        <v>0</v>
      </c>
      <c r="AG1187">
        <v>1</v>
      </c>
      <c r="AH1187">
        <v>640</v>
      </c>
      <c r="AI1187">
        <v>3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f t="shared" si="56"/>
        <v>8.0806000000000004</v>
      </c>
      <c r="AU1187">
        <f t="shared" si="54"/>
        <v>5.1766666666666667</v>
      </c>
      <c r="AV1187">
        <f t="shared" si="55"/>
        <v>743.46299999999997</v>
      </c>
      <c r="BB1187" t="s">
        <v>353</v>
      </c>
      <c r="BC1187" t="s">
        <v>199</v>
      </c>
    </row>
    <row r="1188" spans="3:55" x14ac:dyDescent="0.45">
      <c r="C1188">
        <v>81.05</v>
      </c>
      <c r="D1188">
        <v>5.01</v>
      </c>
      <c r="E1188">
        <v>4.9800000000000004</v>
      </c>
      <c r="F1188">
        <v>2.99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4.97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860</v>
      </c>
      <c r="AD1188">
        <v>2</v>
      </c>
      <c r="AE1188">
        <v>0</v>
      </c>
      <c r="AF1188">
        <v>0</v>
      </c>
      <c r="AG1188">
        <v>1</v>
      </c>
      <c r="AH1188">
        <v>670</v>
      </c>
      <c r="AI1188">
        <v>3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f t="shared" si="56"/>
        <v>8.0806000000000004</v>
      </c>
      <c r="AU1188">
        <f t="shared" si="54"/>
        <v>5.1766666666666667</v>
      </c>
      <c r="AV1188">
        <f t="shared" si="55"/>
        <v>743.46299999999997</v>
      </c>
      <c r="BB1188" t="s">
        <v>353</v>
      </c>
      <c r="BC1188" t="s">
        <v>199</v>
      </c>
    </row>
    <row r="1189" spans="3:55" x14ac:dyDescent="0.45">
      <c r="C1189">
        <v>93.352599999999995</v>
      </c>
      <c r="D1189">
        <v>2.61</v>
      </c>
      <c r="E1189">
        <v>0</v>
      </c>
      <c r="F1189">
        <v>0</v>
      </c>
      <c r="G1189">
        <v>0</v>
      </c>
      <c r="H1189">
        <v>1.7000000000000001E-2</v>
      </c>
      <c r="I1189">
        <v>0</v>
      </c>
      <c r="J1189">
        <v>3.07</v>
      </c>
      <c r="K1189">
        <v>0.02</v>
      </c>
      <c r="L1189">
        <v>0.86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1050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950</v>
      </c>
      <c r="AD1189">
        <v>1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f t="shared" si="56"/>
        <v>-1.6950999999999998</v>
      </c>
      <c r="AU1189">
        <f t="shared" si="54"/>
        <v>3.1216666666666666</v>
      </c>
      <c r="AV1189">
        <f t="shared" si="55"/>
        <v>857.86620000000005</v>
      </c>
      <c r="BC1189" t="s">
        <v>202</v>
      </c>
    </row>
    <row r="1190" spans="3:55" x14ac:dyDescent="0.45">
      <c r="C1190">
        <v>93.352599999999995</v>
      </c>
      <c r="D1190">
        <v>2.61</v>
      </c>
      <c r="E1190">
        <v>0</v>
      </c>
      <c r="F1190">
        <v>0</v>
      </c>
      <c r="G1190">
        <v>0</v>
      </c>
      <c r="H1190">
        <v>1.7000000000000001E-2</v>
      </c>
      <c r="I1190">
        <v>0</v>
      </c>
      <c r="J1190">
        <v>3.07</v>
      </c>
      <c r="K1190">
        <v>0.02</v>
      </c>
      <c r="L1190">
        <v>0.86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1050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950</v>
      </c>
      <c r="AD1190">
        <v>1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f t="shared" si="56"/>
        <v>-1.6950999999999998</v>
      </c>
      <c r="AU1190">
        <f t="shared" si="54"/>
        <v>3.1216666666666666</v>
      </c>
      <c r="AV1190">
        <f t="shared" si="55"/>
        <v>857.86620000000005</v>
      </c>
      <c r="BC1190" t="s">
        <v>202</v>
      </c>
    </row>
    <row r="1191" spans="3:55" x14ac:dyDescent="0.45">
      <c r="C1191">
        <v>93.352599999999995</v>
      </c>
      <c r="D1191">
        <v>2.61</v>
      </c>
      <c r="E1191">
        <v>0</v>
      </c>
      <c r="F1191">
        <v>0</v>
      </c>
      <c r="G1191">
        <v>0</v>
      </c>
      <c r="H1191">
        <v>1.7000000000000001E-2</v>
      </c>
      <c r="I1191">
        <v>0</v>
      </c>
      <c r="J1191">
        <v>3.07</v>
      </c>
      <c r="K1191">
        <v>0.02</v>
      </c>
      <c r="L1191">
        <v>0.86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1050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950</v>
      </c>
      <c r="AD1191">
        <v>1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f t="shared" si="56"/>
        <v>-1.6950999999999998</v>
      </c>
      <c r="AU1191">
        <f t="shared" si="54"/>
        <v>3.1216666666666666</v>
      </c>
      <c r="AV1191">
        <f t="shared" si="55"/>
        <v>857.86620000000005</v>
      </c>
      <c r="BC1191" t="s">
        <v>202</v>
      </c>
    </row>
    <row r="1192" spans="3:55" x14ac:dyDescent="0.45">
      <c r="C1192">
        <v>93.352599999999995</v>
      </c>
      <c r="D1192">
        <v>2.61</v>
      </c>
      <c r="E1192">
        <v>0</v>
      </c>
      <c r="F1192">
        <v>0</v>
      </c>
      <c r="G1192">
        <v>0</v>
      </c>
      <c r="H1192">
        <v>1.7000000000000001E-2</v>
      </c>
      <c r="I1192">
        <v>0</v>
      </c>
      <c r="J1192">
        <v>3.07</v>
      </c>
      <c r="K1192">
        <v>0.02</v>
      </c>
      <c r="L1192">
        <v>0.86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1050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950</v>
      </c>
      <c r="AD1192">
        <v>1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f t="shared" si="56"/>
        <v>-1.6950999999999998</v>
      </c>
      <c r="AU1192">
        <f t="shared" si="54"/>
        <v>3.1216666666666666</v>
      </c>
      <c r="AV1192">
        <f t="shared" si="55"/>
        <v>857.86620000000005</v>
      </c>
      <c r="BC1192" t="s">
        <v>202</v>
      </c>
    </row>
    <row r="1193" spans="3:55" x14ac:dyDescent="0.45">
      <c r="C1193">
        <v>93.352599999999995</v>
      </c>
      <c r="D1193">
        <v>2.61</v>
      </c>
      <c r="E1193">
        <v>0</v>
      </c>
      <c r="F1193">
        <v>0</v>
      </c>
      <c r="G1193">
        <v>0</v>
      </c>
      <c r="H1193">
        <v>1.7000000000000001E-2</v>
      </c>
      <c r="I1193">
        <v>0</v>
      </c>
      <c r="J1193">
        <v>3.07</v>
      </c>
      <c r="K1193">
        <v>0.02</v>
      </c>
      <c r="L1193">
        <v>0.86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1050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950</v>
      </c>
      <c r="AD1193">
        <v>1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f t="shared" si="56"/>
        <v>-1.6950999999999998</v>
      </c>
      <c r="AU1193">
        <f t="shared" si="54"/>
        <v>3.1216666666666666</v>
      </c>
      <c r="AV1193">
        <f t="shared" si="55"/>
        <v>857.86620000000005</v>
      </c>
      <c r="BC1193" t="s">
        <v>202</v>
      </c>
    </row>
    <row r="1194" spans="3:55" x14ac:dyDescent="0.45">
      <c r="C1194">
        <v>87.11</v>
      </c>
      <c r="D1194">
        <v>6.11</v>
      </c>
      <c r="E1194">
        <v>0</v>
      </c>
      <c r="F1194">
        <v>1.71</v>
      </c>
      <c r="G1194">
        <v>0</v>
      </c>
      <c r="H1194">
        <v>0</v>
      </c>
      <c r="I1194">
        <v>0</v>
      </c>
      <c r="J1194">
        <v>1.01</v>
      </c>
      <c r="K1194">
        <v>1.03</v>
      </c>
      <c r="L1194">
        <v>2.1</v>
      </c>
      <c r="M1194">
        <v>0.93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910</v>
      </c>
      <c r="AD1194">
        <v>2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f t="shared" si="56"/>
        <v>-0.98559999999999981</v>
      </c>
      <c r="AU1194">
        <f t="shared" si="54"/>
        <v>6.5883333333333329</v>
      </c>
      <c r="AV1194">
        <f t="shared" si="55"/>
        <v>851.12699999999984</v>
      </c>
      <c r="AY1194">
        <v>1144</v>
      </c>
      <c r="AZ1194">
        <v>15</v>
      </c>
      <c r="BC1194" t="s">
        <v>203</v>
      </c>
    </row>
    <row r="1195" spans="3:55" x14ac:dyDescent="0.45">
      <c r="C1195">
        <v>87.11</v>
      </c>
      <c r="D1195">
        <v>6.11</v>
      </c>
      <c r="E1195">
        <v>0</v>
      </c>
      <c r="F1195">
        <v>1.71</v>
      </c>
      <c r="G1195">
        <v>0</v>
      </c>
      <c r="H1195">
        <v>0</v>
      </c>
      <c r="I1195">
        <v>0</v>
      </c>
      <c r="J1195">
        <v>1.01</v>
      </c>
      <c r="K1195">
        <v>1.03</v>
      </c>
      <c r="L1195">
        <v>2.1</v>
      </c>
      <c r="M1195">
        <v>0.93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930</v>
      </c>
      <c r="AD1195">
        <v>2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f t="shared" si="56"/>
        <v>-0.98559999999999981</v>
      </c>
      <c r="AU1195">
        <f t="shared" ref="AU1195:AU1205" si="57">D1195+J1195/6+M1195/3+(T1195+S1195)/10</f>
        <v>6.5883333333333329</v>
      </c>
      <c r="AV1195">
        <f t="shared" si="55"/>
        <v>851.12699999999984</v>
      </c>
      <c r="AY1195">
        <v>1205</v>
      </c>
      <c r="AZ1195">
        <v>11</v>
      </c>
      <c r="BC1195" t="s">
        <v>203</v>
      </c>
    </row>
    <row r="1196" spans="3:55" x14ac:dyDescent="0.45">
      <c r="C1196">
        <v>87.11</v>
      </c>
      <c r="D1196">
        <v>6.11</v>
      </c>
      <c r="E1196">
        <v>0</v>
      </c>
      <c r="F1196">
        <v>1.71</v>
      </c>
      <c r="G1196">
        <v>0</v>
      </c>
      <c r="H1196">
        <v>0</v>
      </c>
      <c r="I1196">
        <v>0</v>
      </c>
      <c r="J1196">
        <v>1.01</v>
      </c>
      <c r="K1196">
        <v>1.03</v>
      </c>
      <c r="L1196">
        <v>2.1</v>
      </c>
      <c r="M1196">
        <v>0.93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950</v>
      </c>
      <c r="AD1196">
        <v>2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f t="shared" si="56"/>
        <v>-0.98559999999999981</v>
      </c>
      <c r="AU1196">
        <f t="shared" si="57"/>
        <v>6.5883333333333329</v>
      </c>
      <c r="AV1196">
        <f t="shared" si="55"/>
        <v>851.12699999999984</v>
      </c>
      <c r="AY1196">
        <v>1322</v>
      </c>
      <c r="AZ1196">
        <v>7</v>
      </c>
      <c r="BC1196" t="s">
        <v>203</v>
      </c>
    </row>
    <row r="1197" spans="3:55" x14ac:dyDescent="0.45">
      <c r="C1197">
        <v>87.11</v>
      </c>
      <c r="D1197">
        <v>6.11</v>
      </c>
      <c r="E1197">
        <v>0</v>
      </c>
      <c r="F1197">
        <v>1.71</v>
      </c>
      <c r="G1197">
        <v>0</v>
      </c>
      <c r="H1197">
        <v>0</v>
      </c>
      <c r="I1197">
        <v>0</v>
      </c>
      <c r="J1197">
        <v>1.01</v>
      </c>
      <c r="K1197">
        <v>1.03</v>
      </c>
      <c r="L1197">
        <v>2.1</v>
      </c>
      <c r="M1197">
        <v>0.93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970</v>
      </c>
      <c r="AD1197">
        <v>2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f t="shared" si="56"/>
        <v>-0.98559999999999981</v>
      </c>
      <c r="AU1197">
        <f t="shared" si="57"/>
        <v>6.5883333333333329</v>
      </c>
      <c r="AV1197">
        <f t="shared" si="55"/>
        <v>851.12699999999984</v>
      </c>
      <c r="AY1197">
        <v>1215</v>
      </c>
      <c r="AZ1197">
        <v>2.4500000000000002</v>
      </c>
      <c r="BC1197" t="s">
        <v>203</v>
      </c>
    </row>
    <row r="1198" spans="3:55" x14ac:dyDescent="0.45">
      <c r="C1198">
        <v>87.11</v>
      </c>
      <c r="D1198">
        <v>6.11</v>
      </c>
      <c r="E1198">
        <v>0</v>
      </c>
      <c r="F1198">
        <v>1.71</v>
      </c>
      <c r="G1198">
        <v>0</v>
      </c>
      <c r="H1198">
        <v>0</v>
      </c>
      <c r="I1198">
        <v>0</v>
      </c>
      <c r="J1198">
        <v>1.01</v>
      </c>
      <c r="K1198">
        <v>1.03</v>
      </c>
      <c r="L1198">
        <v>2.1</v>
      </c>
      <c r="M1198">
        <v>0.93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990</v>
      </c>
      <c r="AD1198">
        <v>2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f t="shared" si="56"/>
        <v>-0.98559999999999981</v>
      </c>
      <c r="AU1198">
        <f t="shared" si="57"/>
        <v>6.5883333333333329</v>
      </c>
      <c r="AV1198">
        <f t="shared" si="55"/>
        <v>851.12699999999984</v>
      </c>
      <c r="AY1198">
        <v>1213</v>
      </c>
      <c r="AZ1198">
        <v>2.4500000000000002</v>
      </c>
      <c r="BC1198" t="s">
        <v>203</v>
      </c>
    </row>
    <row r="1199" spans="3:55" x14ac:dyDescent="0.45">
      <c r="C1199">
        <v>87.11</v>
      </c>
      <c r="D1199">
        <v>6.11</v>
      </c>
      <c r="E1199">
        <v>0</v>
      </c>
      <c r="F1199">
        <v>1.71</v>
      </c>
      <c r="G1199">
        <v>0</v>
      </c>
      <c r="H1199">
        <v>0</v>
      </c>
      <c r="I1199">
        <v>0</v>
      </c>
      <c r="J1199">
        <v>1.01</v>
      </c>
      <c r="K1199">
        <v>1.03</v>
      </c>
      <c r="L1199">
        <v>2.1</v>
      </c>
      <c r="M1199">
        <v>0.93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1010</v>
      </c>
      <c r="AD1199">
        <v>2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f t="shared" si="56"/>
        <v>-0.98559999999999981</v>
      </c>
      <c r="AU1199">
        <f t="shared" si="57"/>
        <v>6.5883333333333329</v>
      </c>
      <c r="AV1199">
        <f t="shared" si="55"/>
        <v>851.12699999999984</v>
      </c>
      <c r="AY1199">
        <v>1210</v>
      </c>
      <c r="AZ1199">
        <v>1.98</v>
      </c>
      <c r="BC1199" t="s">
        <v>203</v>
      </c>
    </row>
    <row r="1200" spans="3:55" x14ac:dyDescent="0.45">
      <c r="C1200">
        <v>80.477999999999994</v>
      </c>
      <c r="D1200">
        <v>5.01</v>
      </c>
      <c r="E1200">
        <v>4.9800000000000004</v>
      </c>
      <c r="F1200">
        <v>2.99</v>
      </c>
      <c r="G1200">
        <v>0</v>
      </c>
      <c r="H1200">
        <v>0.37</v>
      </c>
      <c r="I1200">
        <v>0</v>
      </c>
      <c r="J1200">
        <v>1</v>
      </c>
      <c r="K1200">
        <v>0</v>
      </c>
      <c r="L1200">
        <v>4.97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760</v>
      </c>
      <c r="AD1200">
        <v>0.5</v>
      </c>
      <c r="AE1200">
        <v>0</v>
      </c>
      <c r="AF1200">
        <v>1</v>
      </c>
      <c r="AG1200">
        <v>0</v>
      </c>
      <c r="AH1200">
        <v>600</v>
      </c>
      <c r="AI1200">
        <v>6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f t="shared" si="56"/>
        <v>9.1536000000000008</v>
      </c>
      <c r="AU1200">
        <f t="shared" si="57"/>
        <v>5.1766666666666667</v>
      </c>
      <c r="AV1200">
        <f t="shared" si="55"/>
        <v>737.76499999999999</v>
      </c>
      <c r="AX1200">
        <v>1028</v>
      </c>
      <c r="AY1200">
        <v>1274</v>
      </c>
      <c r="AZ1200">
        <v>4</v>
      </c>
      <c r="BC1200" t="s">
        <v>208</v>
      </c>
    </row>
    <row r="1201" spans="3:55" x14ac:dyDescent="0.45">
      <c r="C1201">
        <v>80.477999999999994</v>
      </c>
      <c r="D1201">
        <v>5.01</v>
      </c>
      <c r="E1201">
        <v>4.9800000000000004</v>
      </c>
      <c r="F1201">
        <v>2.99</v>
      </c>
      <c r="G1201">
        <v>0</v>
      </c>
      <c r="H1201">
        <v>0.37</v>
      </c>
      <c r="I1201">
        <v>0</v>
      </c>
      <c r="J1201">
        <v>1</v>
      </c>
      <c r="K1201">
        <v>0</v>
      </c>
      <c r="L1201">
        <v>4.97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730</v>
      </c>
      <c r="AD1201">
        <v>0.5</v>
      </c>
      <c r="AE1201">
        <v>0</v>
      </c>
      <c r="AF1201">
        <v>1</v>
      </c>
      <c r="AG1201">
        <v>0</v>
      </c>
      <c r="AH1201">
        <v>600</v>
      </c>
      <c r="AI1201">
        <v>6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f t="shared" si="56"/>
        <v>9.1536000000000008</v>
      </c>
      <c r="AU1201">
        <f t="shared" si="57"/>
        <v>5.1766666666666667</v>
      </c>
      <c r="AV1201">
        <f t="shared" si="55"/>
        <v>737.76499999999999</v>
      </c>
      <c r="AX1201">
        <v>1175</v>
      </c>
      <c r="AY1201">
        <v>1240</v>
      </c>
      <c r="AZ1201">
        <v>4.5999999999999996</v>
      </c>
      <c r="BC1201" t="s">
        <v>208</v>
      </c>
    </row>
    <row r="1202" spans="3:55" x14ac:dyDescent="0.45">
      <c r="C1202">
        <v>80.477999999999994</v>
      </c>
      <c r="D1202">
        <v>5.01</v>
      </c>
      <c r="E1202">
        <v>4.9800000000000004</v>
      </c>
      <c r="F1202">
        <v>2.99</v>
      </c>
      <c r="G1202">
        <v>0</v>
      </c>
      <c r="H1202">
        <v>0.37</v>
      </c>
      <c r="I1202">
        <v>0</v>
      </c>
      <c r="J1202">
        <v>1</v>
      </c>
      <c r="K1202">
        <v>0</v>
      </c>
      <c r="L1202">
        <v>4.97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700</v>
      </c>
      <c r="AD1202">
        <v>0.5</v>
      </c>
      <c r="AE1202">
        <v>0</v>
      </c>
      <c r="AF1202">
        <v>1</v>
      </c>
      <c r="AG1202">
        <v>0</v>
      </c>
      <c r="AH1202">
        <v>600</v>
      </c>
      <c r="AI1202">
        <v>6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f t="shared" si="56"/>
        <v>9.1536000000000008</v>
      </c>
      <c r="AU1202">
        <f t="shared" si="57"/>
        <v>5.1766666666666667</v>
      </c>
      <c r="AV1202">
        <f t="shared" si="55"/>
        <v>737.76499999999999</v>
      </c>
      <c r="AX1202">
        <v>1128</v>
      </c>
      <c r="AY1202">
        <v>1194</v>
      </c>
      <c r="AZ1202">
        <v>7.3</v>
      </c>
      <c r="BC1202" t="s">
        <v>208</v>
      </c>
    </row>
    <row r="1203" spans="3:55" x14ac:dyDescent="0.45">
      <c r="C1203">
        <v>82.656999999999996</v>
      </c>
      <c r="D1203">
        <v>5.0199999999999996</v>
      </c>
      <c r="E1203">
        <v>0</v>
      </c>
      <c r="F1203">
        <v>3.93</v>
      </c>
      <c r="G1203">
        <v>0</v>
      </c>
      <c r="H1203">
        <v>0.05</v>
      </c>
      <c r="I1203">
        <v>0</v>
      </c>
      <c r="J1203">
        <v>1.95</v>
      </c>
      <c r="K1203">
        <v>0</v>
      </c>
      <c r="L1203">
        <v>3.88</v>
      </c>
      <c r="M1203">
        <v>2.37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820</v>
      </c>
      <c r="X1203">
        <v>20</v>
      </c>
      <c r="Y1203">
        <v>0</v>
      </c>
      <c r="Z1203">
        <v>0</v>
      </c>
      <c r="AA1203">
        <v>1</v>
      </c>
      <c r="AB1203">
        <v>0</v>
      </c>
      <c r="AC1203">
        <v>820</v>
      </c>
      <c r="AD1203">
        <v>4</v>
      </c>
      <c r="AE1203">
        <v>1</v>
      </c>
      <c r="AF1203">
        <v>0</v>
      </c>
      <c r="AG1203">
        <v>0</v>
      </c>
      <c r="AH1203">
        <v>630</v>
      </c>
      <c r="AI1203">
        <v>8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f t="shared" si="56"/>
        <v>5.2929999999999993</v>
      </c>
      <c r="AU1203">
        <f t="shared" si="57"/>
        <v>6.1349999999999998</v>
      </c>
      <c r="AV1203">
        <f t="shared" si="55"/>
        <v>803.85799999999995</v>
      </c>
      <c r="BC1203" t="s">
        <v>211</v>
      </c>
    </row>
    <row r="1204" spans="3:55" x14ac:dyDescent="0.45">
      <c r="C1204">
        <v>82.656999999999996</v>
      </c>
      <c r="D1204">
        <v>5.0199999999999996</v>
      </c>
      <c r="E1204">
        <v>0</v>
      </c>
      <c r="F1204">
        <v>3.93</v>
      </c>
      <c r="G1204">
        <v>0</v>
      </c>
      <c r="H1204">
        <v>0.05</v>
      </c>
      <c r="I1204">
        <v>0</v>
      </c>
      <c r="J1204">
        <v>1.95</v>
      </c>
      <c r="K1204">
        <v>0</v>
      </c>
      <c r="L1204">
        <v>3.88</v>
      </c>
      <c r="M1204">
        <v>2.37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820</v>
      </c>
      <c r="X1204">
        <v>40</v>
      </c>
      <c r="Y1204">
        <v>0</v>
      </c>
      <c r="Z1204">
        <v>0</v>
      </c>
      <c r="AA1204">
        <v>1</v>
      </c>
      <c r="AB1204">
        <v>0</v>
      </c>
      <c r="AC1204">
        <v>820</v>
      </c>
      <c r="AD1204">
        <v>4</v>
      </c>
      <c r="AE1204">
        <v>1</v>
      </c>
      <c r="AF1204">
        <v>0</v>
      </c>
      <c r="AG1204">
        <v>0</v>
      </c>
      <c r="AH1204">
        <v>630</v>
      </c>
      <c r="AI1204">
        <v>8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f t="shared" si="56"/>
        <v>5.2929999999999993</v>
      </c>
      <c r="AU1204">
        <f t="shared" si="57"/>
        <v>6.1349999999999998</v>
      </c>
      <c r="AV1204">
        <f t="shared" si="55"/>
        <v>803.85799999999995</v>
      </c>
      <c r="BC1204" t="s">
        <v>211</v>
      </c>
    </row>
    <row r="1205" spans="3:55" x14ac:dyDescent="0.45">
      <c r="C1205">
        <v>82.656999999999996</v>
      </c>
      <c r="D1205">
        <v>5.0199999999999996</v>
      </c>
      <c r="E1205">
        <v>0</v>
      </c>
      <c r="F1205">
        <v>3.93</v>
      </c>
      <c r="G1205">
        <v>0</v>
      </c>
      <c r="H1205">
        <v>0.05</v>
      </c>
      <c r="I1205">
        <v>0</v>
      </c>
      <c r="J1205">
        <v>1.95</v>
      </c>
      <c r="K1205">
        <v>0</v>
      </c>
      <c r="L1205">
        <v>3.88</v>
      </c>
      <c r="M1205">
        <v>2.37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820</v>
      </c>
      <c r="X1205">
        <v>60</v>
      </c>
      <c r="Y1205">
        <v>0</v>
      </c>
      <c r="Z1205">
        <v>0</v>
      </c>
      <c r="AA1205">
        <v>1</v>
      </c>
      <c r="AB1205">
        <v>0</v>
      </c>
      <c r="AC1205">
        <v>820</v>
      </c>
      <c r="AD1205">
        <v>4</v>
      </c>
      <c r="AE1205">
        <v>1</v>
      </c>
      <c r="AF1205">
        <v>0</v>
      </c>
      <c r="AG1205">
        <v>0</v>
      </c>
      <c r="AH1205">
        <v>630</v>
      </c>
      <c r="AI1205">
        <v>8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f t="shared" si="56"/>
        <v>5.2929999999999993</v>
      </c>
      <c r="AU1205">
        <f t="shared" si="57"/>
        <v>6.1349999999999998</v>
      </c>
      <c r="AV1205">
        <f t="shared" si="55"/>
        <v>803.85799999999995</v>
      </c>
      <c r="BC1205" t="s">
        <v>211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EB58-C346-4178-B0A6-50A7CB1020C2}">
  <dimension ref="A1:BC240"/>
  <sheetViews>
    <sheetView zoomScaleNormal="100" workbookViewId="0">
      <pane ySplit="1" topLeftCell="A2" activePane="bottomLeft" state="frozen"/>
      <selection activeCell="AU1" sqref="AU1"/>
      <selection pane="bottomLeft"/>
    </sheetView>
  </sheetViews>
  <sheetFormatPr defaultRowHeight="14" x14ac:dyDescent="0.45"/>
  <cols>
    <col min="1" max="1" width="3" bestFit="1" customWidth="1"/>
    <col min="2" max="2" width="9.234375" bestFit="1" customWidth="1"/>
    <col min="3" max="3" width="8.46875" bestFit="1" customWidth="1"/>
    <col min="4" max="6" width="5.46875" bestFit="1" customWidth="1"/>
    <col min="7" max="8" width="6.46875" bestFit="1" customWidth="1"/>
    <col min="9" max="9" width="5.46875" bestFit="1" customWidth="1"/>
    <col min="10" max="11" width="6.46875" bestFit="1" customWidth="1"/>
    <col min="12" max="12" width="7.46875" bestFit="1" customWidth="1"/>
    <col min="13" max="13" width="6.46875" bestFit="1" customWidth="1"/>
    <col min="14" max="14" width="3.234375" bestFit="1" customWidth="1"/>
    <col min="15" max="15" width="6.46875" bestFit="1" customWidth="1"/>
    <col min="16" max="16" width="3.234375" bestFit="1" customWidth="1"/>
    <col min="17" max="17" width="5.46875" bestFit="1" customWidth="1"/>
    <col min="18" max="20" width="7.46875" bestFit="1" customWidth="1"/>
    <col min="21" max="21" width="3.3515625" bestFit="1" customWidth="1"/>
    <col min="22" max="22" width="10.87890625" bestFit="1" customWidth="1"/>
    <col min="23" max="23" width="9.703125" bestFit="1" customWidth="1"/>
    <col min="24" max="24" width="12.703125" bestFit="1" customWidth="1"/>
    <col min="25" max="25" width="16.3515625" bestFit="1" customWidth="1"/>
    <col min="26" max="26" width="15.87890625" bestFit="1" customWidth="1"/>
    <col min="27" max="27" width="16.5859375" bestFit="1" customWidth="1"/>
    <col min="28" max="28" width="17.87890625" customWidth="1"/>
    <col min="29" max="29" width="10.234375" bestFit="1" customWidth="1"/>
    <col min="30" max="30" width="12.703125" bestFit="1" customWidth="1"/>
    <col min="31" max="31" width="11.87890625" bestFit="1" customWidth="1"/>
    <col min="32" max="32" width="7.703125" bestFit="1" customWidth="1"/>
    <col min="33" max="33" width="12.05859375" bestFit="1" customWidth="1"/>
    <col min="34" max="34" width="10.234375" bestFit="1" customWidth="1"/>
    <col min="35" max="35" width="12.703125" bestFit="1" customWidth="1"/>
    <col min="36" max="36" width="11.87890625" bestFit="1" customWidth="1"/>
    <col min="37" max="37" width="7.703125" bestFit="1" customWidth="1"/>
    <col min="38" max="38" width="12.05859375" bestFit="1" customWidth="1"/>
    <col min="39" max="39" width="10.05859375" bestFit="1" customWidth="1"/>
    <col min="40" max="40" width="11.87890625" bestFit="1" customWidth="1"/>
    <col min="41" max="41" width="10.5859375" bestFit="1" customWidth="1"/>
    <col min="42" max="42" width="17.87890625" bestFit="1" customWidth="1"/>
    <col min="43" max="43" width="25.234375" bestFit="1" customWidth="1"/>
    <col min="44" max="44" width="13.46875" bestFit="1" customWidth="1"/>
    <col min="45" max="45" width="17.703125" bestFit="1" customWidth="1"/>
    <col min="46" max="46" width="8.46875" bestFit="1" customWidth="1"/>
    <col min="47" max="47" width="12.703125" bestFit="1" customWidth="1"/>
    <col min="48" max="48" width="16.234375" bestFit="1" customWidth="1"/>
    <col min="49" max="49" width="7.46875" bestFit="1" customWidth="1"/>
    <col min="50" max="51" width="5.46875" bestFit="1" customWidth="1"/>
    <col min="52" max="52" width="6.46875" bestFit="1" customWidth="1"/>
    <col min="53" max="53" width="4.46875" bestFit="1" customWidth="1"/>
    <col min="54" max="54" width="7.46875" customWidth="1"/>
  </cols>
  <sheetData>
    <row r="1" spans="1:55" x14ac:dyDescent="0.45">
      <c r="A1" s="1" t="s">
        <v>0</v>
      </c>
      <c r="B1" s="1" t="s">
        <v>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7" t="s">
        <v>640</v>
      </c>
      <c r="W1" s="3" t="s">
        <v>20</v>
      </c>
      <c r="X1" s="3" t="s">
        <v>21</v>
      </c>
      <c r="Y1" s="3" t="s">
        <v>637</v>
      </c>
      <c r="Z1" s="3" t="s">
        <v>22</v>
      </c>
      <c r="AA1" s="3" t="s">
        <v>23</v>
      </c>
      <c r="AB1" s="3" t="s">
        <v>24</v>
      </c>
      <c r="AC1" s="6" t="s">
        <v>25</v>
      </c>
      <c r="AD1" s="6" t="s">
        <v>26</v>
      </c>
      <c r="AE1" s="6" t="s">
        <v>29</v>
      </c>
      <c r="AF1" s="6" t="s">
        <v>30</v>
      </c>
      <c r="AG1" s="6" t="s">
        <v>31</v>
      </c>
      <c r="AH1" s="6" t="s">
        <v>27</v>
      </c>
      <c r="AI1" s="6" t="s">
        <v>28</v>
      </c>
      <c r="AJ1" s="6" t="s">
        <v>32</v>
      </c>
      <c r="AK1" s="6" t="s">
        <v>33</v>
      </c>
      <c r="AL1" s="6" t="s">
        <v>34</v>
      </c>
      <c r="AM1" s="4" t="s">
        <v>642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39</v>
      </c>
      <c r="AS1" s="4" t="s">
        <v>40</v>
      </c>
      <c r="AT1" s="4" t="s">
        <v>358</v>
      </c>
      <c r="AU1" s="4" t="s">
        <v>634</v>
      </c>
      <c r="AV1" s="4" t="s">
        <v>638</v>
      </c>
      <c r="AW1" s="5" t="s">
        <v>41</v>
      </c>
      <c r="AX1" s="5" t="s">
        <v>43</v>
      </c>
      <c r="AY1" s="5" t="s">
        <v>45</v>
      </c>
      <c r="AZ1" s="5" t="s">
        <v>46</v>
      </c>
      <c r="BA1" s="5" t="s">
        <v>218</v>
      </c>
      <c r="BB1" t="s">
        <v>219</v>
      </c>
      <c r="BC1" t="s">
        <v>48</v>
      </c>
    </row>
    <row r="2" spans="1:55" x14ac:dyDescent="0.45">
      <c r="C2">
        <v>93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f>L2+0.67*E2+0.44*P2+0.28*K2+0.22*O2+2.9*H2+1.6*F2+1.7*G2-D2</f>
        <v>20.3</v>
      </c>
      <c r="AU2">
        <f t="shared" ref="AU2:AU65" si="0">D2+J2/6+M2/3+(T2+S2)/10</f>
        <v>0</v>
      </c>
      <c r="AV2">
        <f t="shared" ref="AV2:AV65" si="1">882+2.1*D2-9.5*L2+4.2*M2-6.9*J2-11.8*E2-12.1*F2-15.4*H2+23.3*Q2+123*T2</f>
        <v>774.2</v>
      </c>
      <c r="AW2">
        <v>130</v>
      </c>
      <c r="AX2">
        <v>1874</v>
      </c>
      <c r="AY2">
        <v>1990</v>
      </c>
      <c r="AZ2">
        <v>7.9</v>
      </c>
      <c r="BC2" t="s">
        <v>359</v>
      </c>
    </row>
    <row r="3" spans="1:55" x14ac:dyDescent="0.45">
      <c r="C3">
        <v>92</v>
      </c>
      <c r="D3">
        <v>0</v>
      </c>
      <c r="E3">
        <v>0</v>
      </c>
      <c r="F3">
        <v>0</v>
      </c>
      <c r="G3">
        <v>0</v>
      </c>
      <c r="H3">
        <v>7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f t="shared" ref="AT3:AT66" si="2">L3+0.67*E3+0.44*P3+0.28*K3+0.22*O3+2.9*H3+1.6*F3+1.7*G3-D3</f>
        <v>20.580000000000002</v>
      </c>
      <c r="AU3">
        <f t="shared" si="0"/>
        <v>0</v>
      </c>
      <c r="AV3">
        <f t="shared" si="1"/>
        <v>774.2</v>
      </c>
      <c r="AW3">
        <v>124</v>
      </c>
      <c r="AX3">
        <v>1785</v>
      </c>
      <c r="AY3">
        <v>1972</v>
      </c>
      <c r="AZ3">
        <v>10</v>
      </c>
      <c r="BC3" t="s">
        <v>360</v>
      </c>
    </row>
    <row r="4" spans="1:55" x14ac:dyDescent="0.45">
      <c r="C4">
        <v>89</v>
      </c>
      <c r="D4">
        <v>0</v>
      </c>
      <c r="E4">
        <v>0</v>
      </c>
      <c r="F4">
        <v>0</v>
      </c>
      <c r="G4">
        <v>0</v>
      </c>
      <c r="H4">
        <v>7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f t="shared" si="2"/>
        <v>21.42</v>
      </c>
      <c r="AU4">
        <f t="shared" si="0"/>
        <v>0</v>
      </c>
      <c r="AV4">
        <f t="shared" si="1"/>
        <v>774.2</v>
      </c>
      <c r="AW4">
        <v>115</v>
      </c>
      <c r="AX4">
        <v>1539</v>
      </c>
      <c r="AY4">
        <v>2093</v>
      </c>
      <c r="AZ4">
        <v>24.3</v>
      </c>
      <c r="BC4" t="s">
        <v>359</v>
      </c>
    </row>
    <row r="5" spans="1:55" x14ac:dyDescent="0.45">
      <c r="C5">
        <v>87</v>
      </c>
      <c r="D5">
        <v>0</v>
      </c>
      <c r="E5">
        <v>0</v>
      </c>
      <c r="F5">
        <v>0</v>
      </c>
      <c r="G5">
        <v>0</v>
      </c>
      <c r="H5">
        <v>7</v>
      </c>
      <c r="I5">
        <v>0</v>
      </c>
      <c r="J5">
        <v>0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f t="shared" si="2"/>
        <v>21.98</v>
      </c>
      <c r="AU5">
        <f t="shared" si="0"/>
        <v>0</v>
      </c>
      <c r="AV5">
        <f t="shared" si="1"/>
        <v>774.2</v>
      </c>
      <c r="AW5">
        <v>97</v>
      </c>
      <c r="AX5">
        <v>1144</v>
      </c>
      <c r="AY5">
        <v>2014</v>
      </c>
      <c r="AZ5">
        <v>32.1</v>
      </c>
      <c r="BC5" t="s">
        <v>359</v>
      </c>
    </row>
    <row r="6" spans="1:55" x14ac:dyDescent="0.45">
      <c r="C6">
        <v>88.238399999999999</v>
      </c>
      <c r="D6">
        <v>0</v>
      </c>
      <c r="E6">
        <v>0</v>
      </c>
      <c r="F6">
        <v>0</v>
      </c>
      <c r="G6">
        <v>11.5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9.5999999999999992E-3</v>
      </c>
      <c r="S6">
        <v>9.5999999999999992E-3</v>
      </c>
      <c r="T6">
        <v>0.252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f t="shared" si="2"/>
        <v>19.55</v>
      </c>
      <c r="AU6">
        <f t="shared" si="0"/>
        <v>2.6159999999999999E-2</v>
      </c>
      <c r="AV6">
        <f t="shared" si="1"/>
        <v>912.99599999999998</v>
      </c>
      <c r="AW6">
        <v>96</v>
      </c>
      <c r="AX6">
        <v>932</v>
      </c>
      <c r="AY6">
        <v>973</v>
      </c>
      <c r="AZ6">
        <v>2.6</v>
      </c>
      <c r="BA6">
        <v>291</v>
      </c>
      <c r="BC6" t="s">
        <v>361</v>
      </c>
    </row>
    <row r="7" spans="1:55" x14ac:dyDescent="0.45">
      <c r="C7">
        <v>86.421899999999994</v>
      </c>
      <c r="D7">
        <v>0</v>
      </c>
      <c r="E7">
        <v>0</v>
      </c>
      <c r="F7">
        <v>0</v>
      </c>
      <c r="G7">
        <v>13.3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8.0999999999999996E-3</v>
      </c>
      <c r="S7">
        <v>8.0999999999999996E-3</v>
      </c>
      <c r="T7">
        <v>0.27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f t="shared" si="2"/>
        <v>22.61</v>
      </c>
      <c r="AU7">
        <f t="shared" si="0"/>
        <v>2.7810000000000001E-2</v>
      </c>
      <c r="AV7">
        <f t="shared" si="1"/>
        <v>915.21</v>
      </c>
      <c r="AW7">
        <v>99</v>
      </c>
      <c r="AY7">
        <v>938</v>
      </c>
      <c r="AZ7">
        <v>0.65</v>
      </c>
      <c r="BC7" t="s">
        <v>361</v>
      </c>
    </row>
    <row r="8" spans="1:55" x14ac:dyDescent="0.45">
      <c r="C8">
        <v>87.271000000000001</v>
      </c>
      <c r="D8">
        <v>0</v>
      </c>
      <c r="E8">
        <v>0</v>
      </c>
      <c r="F8">
        <v>0</v>
      </c>
      <c r="G8">
        <v>12.65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2.3999999999999998E-3</v>
      </c>
      <c r="S8">
        <v>4.3E-3</v>
      </c>
      <c r="T8">
        <v>7.4700000000000003E-2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f t="shared" si="2"/>
        <v>21.504999999999999</v>
      </c>
      <c r="AU8">
        <f t="shared" si="0"/>
        <v>7.9000000000000008E-3</v>
      </c>
      <c r="AV8">
        <f t="shared" si="1"/>
        <v>891.18809999999996</v>
      </c>
      <c r="AW8">
        <v>100</v>
      </c>
      <c r="AY8">
        <v>939</v>
      </c>
      <c r="AZ8">
        <v>13</v>
      </c>
      <c r="BA8">
        <v>312</v>
      </c>
      <c r="BC8" t="s">
        <v>362</v>
      </c>
    </row>
    <row r="9" spans="1:55" x14ac:dyDescent="0.45">
      <c r="C9">
        <v>84.312700000000007</v>
      </c>
      <c r="D9">
        <v>0</v>
      </c>
      <c r="E9">
        <v>0</v>
      </c>
      <c r="F9">
        <v>0</v>
      </c>
      <c r="G9">
        <v>15.4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1.23E-2</v>
      </c>
      <c r="S9">
        <v>1.23E-2</v>
      </c>
      <c r="T9">
        <v>0.27500000000000002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f t="shared" si="2"/>
        <v>26.18</v>
      </c>
      <c r="AU9">
        <f t="shared" si="0"/>
        <v>2.8729999999999999E-2</v>
      </c>
      <c r="AV9">
        <f t="shared" si="1"/>
        <v>915.82500000000005</v>
      </c>
      <c r="AW9">
        <v>98</v>
      </c>
      <c r="AY9">
        <v>677</v>
      </c>
      <c r="BC9" t="s">
        <v>363</v>
      </c>
    </row>
    <row r="10" spans="1:55" x14ac:dyDescent="0.45">
      <c r="C10">
        <v>82.576499999999996</v>
      </c>
      <c r="D10">
        <v>0</v>
      </c>
      <c r="E10">
        <v>0</v>
      </c>
      <c r="F10">
        <v>0</v>
      </c>
      <c r="G10">
        <v>17.100000000000001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7.4999999999999997E-3</v>
      </c>
      <c r="S10">
        <v>7.4999999999999997E-3</v>
      </c>
      <c r="T10">
        <v>0.316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f t="shared" si="2"/>
        <v>29.07</v>
      </c>
      <c r="AU10">
        <f t="shared" si="0"/>
        <v>3.2350000000000004E-2</v>
      </c>
      <c r="AV10">
        <f t="shared" si="1"/>
        <v>920.86800000000005</v>
      </c>
      <c r="AW10">
        <v>103</v>
      </c>
      <c r="AY10">
        <v>339</v>
      </c>
      <c r="BA10">
        <v>317</v>
      </c>
      <c r="BC10" t="s">
        <v>363</v>
      </c>
    </row>
    <row r="11" spans="1:55" x14ac:dyDescent="0.45">
      <c r="C11">
        <v>82.288800000000009</v>
      </c>
      <c r="D11">
        <v>0</v>
      </c>
      <c r="E11">
        <v>0</v>
      </c>
      <c r="F11">
        <v>0</v>
      </c>
      <c r="G11">
        <v>17.649999999999999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7.3000000000000001E-3</v>
      </c>
      <c r="S11">
        <v>2.0999999999999999E-3</v>
      </c>
      <c r="T11">
        <v>5.91E-2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f t="shared" si="2"/>
        <v>30.004999999999995</v>
      </c>
      <c r="AU11">
        <f t="shared" si="0"/>
        <v>6.1199999999999996E-3</v>
      </c>
      <c r="AV11">
        <f t="shared" si="1"/>
        <v>889.26930000000004</v>
      </c>
      <c r="AW11">
        <v>105</v>
      </c>
      <c r="AY11">
        <v>246</v>
      </c>
      <c r="AZ11">
        <v>0.1</v>
      </c>
      <c r="BA11">
        <v>336</v>
      </c>
      <c r="BC11" t="s">
        <v>362</v>
      </c>
    </row>
    <row r="12" spans="1:55" x14ac:dyDescent="0.45">
      <c r="C12">
        <v>94.321899999999999</v>
      </c>
      <c r="D12">
        <v>0</v>
      </c>
      <c r="E12">
        <v>0</v>
      </c>
      <c r="F12">
        <v>0</v>
      </c>
      <c r="G12">
        <v>5.6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3.5999999999999999E-3</v>
      </c>
      <c r="S12">
        <v>4.4999999999999997E-3</v>
      </c>
      <c r="T12">
        <v>7.3599999999999999E-2</v>
      </c>
      <c r="U12">
        <v>0</v>
      </c>
      <c r="V12">
        <v>1</v>
      </c>
      <c r="W12">
        <v>900</v>
      </c>
      <c r="X12">
        <v>0</v>
      </c>
      <c r="Y12">
        <v>0</v>
      </c>
      <c r="Z12">
        <v>1</v>
      </c>
      <c r="AA12">
        <v>1</v>
      </c>
      <c r="AB12">
        <v>0</v>
      </c>
      <c r="AC12">
        <v>1000</v>
      </c>
      <c r="AD12">
        <v>6</v>
      </c>
      <c r="AE12">
        <v>0</v>
      </c>
      <c r="AF12">
        <v>0</v>
      </c>
      <c r="AG12">
        <v>0</v>
      </c>
      <c r="AH12">
        <v>900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f t="shared" si="2"/>
        <v>9.52</v>
      </c>
      <c r="AU12">
        <f t="shared" si="0"/>
        <v>7.8100000000000001E-3</v>
      </c>
      <c r="AV12">
        <f t="shared" si="1"/>
        <v>891.05280000000005</v>
      </c>
      <c r="AW12">
        <v>129</v>
      </c>
      <c r="BA12">
        <v>469</v>
      </c>
      <c r="BC12" t="s">
        <v>362</v>
      </c>
    </row>
    <row r="13" spans="1:55" x14ac:dyDescent="0.45">
      <c r="C13">
        <v>92.200599999999994</v>
      </c>
      <c r="D13">
        <v>0</v>
      </c>
      <c r="E13">
        <v>0</v>
      </c>
      <c r="F13">
        <v>0</v>
      </c>
      <c r="G13">
        <v>7.56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6.4000000000000003E-3</v>
      </c>
      <c r="S13">
        <v>6.4000000000000003E-3</v>
      </c>
      <c r="T13">
        <v>0.23300000000000001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f t="shared" si="2"/>
        <v>12.851999999999999</v>
      </c>
      <c r="AU13">
        <f t="shared" si="0"/>
        <v>2.3939999999999999E-2</v>
      </c>
      <c r="AV13">
        <f t="shared" si="1"/>
        <v>910.65899999999999</v>
      </c>
      <c r="AW13">
        <v>87</v>
      </c>
      <c r="AX13">
        <v>1094</v>
      </c>
      <c r="AY13">
        <v>1162</v>
      </c>
      <c r="AZ13">
        <v>1.5</v>
      </c>
      <c r="BC13" t="s">
        <v>363</v>
      </c>
    </row>
    <row r="14" spans="1:55" x14ac:dyDescent="0.45">
      <c r="C14">
        <v>90.453699999999998</v>
      </c>
      <c r="D14">
        <v>0</v>
      </c>
      <c r="E14">
        <v>0</v>
      </c>
      <c r="F14">
        <v>0</v>
      </c>
      <c r="G14">
        <v>9.4700000000000006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3.0999999999999999E-3</v>
      </c>
      <c r="S14">
        <v>3.5999999999999999E-3</v>
      </c>
      <c r="T14">
        <v>7.2700000000000001E-2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f t="shared" si="2"/>
        <v>16.099</v>
      </c>
      <c r="AU14">
        <f t="shared" si="0"/>
        <v>7.6300000000000005E-3</v>
      </c>
      <c r="AV14">
        <f t="shared" si="1"/>
        <v>890.94209999999998</v>
      </c>
      <c r="AW14">
        <v>94</v>
      </c>
      <c r="AY14">
        <v>1048</v>
      </c>
      <c r="AZ14">
        <v>19</v>
      </c>
      <c r="BA14">
        <v>338</v>
      </c>
      <c r="BC14" t="s">
        <v>362</v>
      </c>
    </row>
    <row r="15" spans="1:55" x14ac:dyDescent="0.45">
      <c r="C15">
        <v>90.457899999999995</v>
      </c>
      <c r="D15">
        <v>0</v>
      </c>
      <c r="E15">
        <v>0</v>
      </c>
      <c r="F15">
        <v>0</v>
      </c>
      <c r="G15">
        <v>9.2899999999999991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8.0999999999999996E-3</v>
      </c>
      <c r="S15">
        <v>8.0999999999999996E-3</v>
      </c>
      <c r="T15">
        <v>0.24399999999999999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f t="shared" si="2"/>
        <v>15.792999999999997</v>
      </c>
      <c r="AU15">
        <f t="shared" si="0"/>
        <v>2.521E-2</v>
      </c>
      <c r="AV15">
        <f t="shared" si="1"/>
        <v>912.01199999999994</v>
      </c>
      <c r="AW15">
        <v>89</v>
      </c>
      <c r="AX15">
        <v>992</v>
      </c>
      <c r="AY15">
        <v>1046</v>
      </c>
      <c r="AZ15">
        <v>4.7</v>
      </c>
      <c r="BC15" t="s">
        <v>363</v>
      </c>
    </row>
    <row r="16" spans="1:55" x14ac:dyDescent="0.45">
      <c r="C16">
        <v>91.942999999999998</v>
      </c>
      <c r="D16">
        <v>0</v>
      </c>
      <c r="E16">
        <v>0</v>
      </c>
      <c r="F16">
        <v>0</v>
      </c>
      <c r="G16">
        <v>5.07</v>
      </c>
      <c r="H16">
        <v>0</v>
      </c>
      <c r="I16">
        <v>0</v>
      </c>
      <c r="J16">
        <v>0</v>
      </c>
      <c r="K16">
        <v>0</v>
      </c>
      <c r="L16">
        <v>2.92</v>
      </c>
      <c r="M16">
        <v>0</v>
      </c>
      <c r="N16">
        <v>0</v>
      </c>
      <c r="O16">
        <v>0</v>
      </c>
      <c r="P16">
        <v>0</v>
      </c>
      <c r="Q16">
        <v>0</v>
      </c>
      <c r="R16">
        <v>1.54E-2</v>
      </c>
      <c r="S16">
        <v>0</v>
      </c>
      <c r="T16">
        <v>6.7000000000000004E-2</v>
      </c>
      <c r="U16">
        <v>0</v>
      </c>
      <c r="V16">
        <v>1</v>
      </c>
      <c r="W16">
        <v>900</v>
      </c>
      <c r="X16">
        <v>0</v>
      </c>
      <c r="Y16">
        <v>0</v>
      </c>
      <c r="Z16">
        <v>1</v>
      </c>
      <c r="AA16">
        <v>1</v>
      </c>
      <c r="AB16">
        <v>0</v>
      </c>
      <c r="AC16">
        <v>1000</v>
      </c>
      <c r="AD16">
        <v>6</v>
      </c>
      <c r="AE16">
        <v>1</v>
      </c>
      <c r="AF16">
        <v>0</v>
      </c>
      <c r="AG16">
        <v>0</v>
      </c>
      <c r="AH16">
        <v>900</v>
      </c>
      <c r="AI16">
        <v>6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f t="shared" si="2"/>
        <v>11.539</v>
      </c>
      <c r="AU16">
        <f t="shared" si="0"/>
        <v>6.7000000000000002E-3</v>
      </c>
      <c r="AV16">
        <f t="shared" si="1"/>
        <v>862.50099999999998</v>
      </c>
      <c r="AW16">
        <v>100</v>
      </c>
      <c r="AX16">
        <v>855</v>
      </c>
      <c r="AY16">
        <v>920</v>
      </c>
      <c r="AZ16">
        <v>18</v>
      </c>
      <c r="BA16">
        <v>372</v>
      </c>
      <c r="BC16" t="s">
        <v>364</v>
      </c>
    </row>
    <row r="17" spans="3:55" x14ac:dyDescent="0.45">
      <c r="C17">
        <v>91.0154</v>
      </c>
      <c r="D17">
        <v>0</v>
      </c>
      <c r="E17">
        <v>0</v>
      </c>
      <c r="F17">
        <v>0</v>
      </c>
      <c r="G17">
        <v>4.99</v>
      </c>
      <c r="H17">
        <v>0</v>
      </c>
      <c r="I17">
        <v>0</v>
      </c>
      <c r="J17">
        <v>0</v>
      </c>
      <c r="K17">
        <v>0</v>
      </c>
      <c r="L17">
        <v>3.98</v>
      </c>
      <c r="M17">
        <v>0</v>
      </c>
      <c r="N17">
        <v>0</v>
      </c>
      <c r="O17">
        <v>0</v>
      </c>
      <c r="P17">
        <v>0</v>
      </c>
      <c r="Q17">
        <v>0</v>
      </c>
      <c r="R17">
        <v>1.46E-2</v>
      </c>
      <c r="S17">
        <v>0</v>
      </c>
      <c r="T17">
        <v>1.46E-2</v>
      </c>
      <c r="U17">
        <v>0</v>
      </c>
      <c r="V17">
        <v>1</v>
      </c>
      <c r="W17">
        <v>900</v>
      </c>
      <c r="X17">
        <v>0</v>
      </c>
      <c r="Y17">
        <v>0</v>
      </c>
      <c r="Z17">
        <v>1</v>
      </c>
      <c r="AA17">
        <v>1</v>
      </c>
      <c r="AB17">
        <v>0</v>
      </c>
      <c r="AC17">
        <v>1000</v>
      </c>
      <c r="AD17">
        <v>6</v>
      </c>
      <c r="AE17">
        <v>1</v>
      </c>
      <c r="AF17">
        <v>0</v>
      </c>
      <c r="AG17">
        <v>0</v>
      </c>
      <c r="AH17">
        <v>900</v>
      </c>
      <c r="AI17">
        <v>6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f t="shared" si="2"/>
        <v>12.463000000000001</v>
      </c>
      <c r="AU17">
        <f t="shared" si="0"/>
        <v>1.4599999999999999E-3</v>
      </c>
      <c r="AV17">
        <f t="shared" si="1"/>
        <v>845.98580000000004</v>
      </c>
      <c r="AW17">
        <v>91</v>
      </c>
      <c r="AX17">
        <v>815</v>
      </c>
      <c r="AY17">
        <v>815</v>
      </c>
      <c r="AZ17">
        <v>34</v>
      </c>
      <c r="BC17" t="s">
        <v>364</v>
      </c>
    </row>
    <row r="18" spans="3:55" x14ac:dyDescent="0.45">
      <c r="C18">
        <v>90.700299999999999</v>
      </c>
      <c r="D18">
        <v>0</v>
      </c>
      <c r="E18">
        <v>0</v>
      </c>
      <c r="F18">
        <v>0</v>
      </c>
      <c r="G18">
        <v>6.32</v>
      </c>
      <c r="H18">
        <v>0</v>
      </c>
      <c r="I18">
        <v>0</v>
      </c>
      <c r="J18">
        <v>0</v>
      </c>
      <c r="K18">
        <v>0</v>
      </c>
      <c r="L18">
        <v>2.97</v>
      </c>
      <c r="M18">
        <v>0</v>
      </c>
      <c r="N18">
        <v>0</v>
      </c>
      <c r="O18">
        <v>0</v>
      </c>
      <c r="P18">
        <v>0</v>
      </c>
      <c r="Q18">
        <v>0</v>
      </c>
      <c r="R18">
        <v>1.44E-2</v>
      </c>
      <c r="S18">
        <v>0</v>
      </c>
      <c r="T18">
        <v>9.7000000000000003E-3</v>
      </c>
      <c r="U18">
        <v>0</v>
      </c>
      <c r="V18">
        <v>1</v>
      </c>
      <c r="W18">
        <v>900</v>
      </c>
      <c r="X18">
        <v>0</v>
      </c>
      <c r="Y18">
        <v>0</v>
      </c>
      <c r="Z18">
        <v>1</v>
      </c>
      <c r="AA18">
        <v>1</v>
      </c>
      <c r="AB18">
        <v>0</v>
      </c>
      <c r="AC18">
        <v>1000</v>
      </c>
      <c r="AD18">
        <v>6</v>
      </c>
      <c r="AE18">
        <v>1</v>
      </c>
      <c r="AF18">
        <v>0</v>
      </c>
      <c r="AG18">
        <v>0</v>
      </c>
      <c r="AH18">
        <v>900</v>
      </c>
      <c r="AI18">
        <v>6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f t="shared" si="2"/>
        <v>13.714</v>
      </c>
      <c r="AU18">
        <f t="shared" si="0"/>
        <v>9.7000000000000005E-4</v>
      </c>
      <c r="AV18">
        <f t="shared" si="1"/>
        <v>854.97809999999993</v>
      </c>
      <c r="AW18">
        <v>91</v>
      </c>
      <c r="AX18">
        <v>1200</v>
      </c>
      <c r="AY18">
        <v>1220</v>
      </c>
      <c r="AZ18">
        <v>14</v>
      </c>
      <c r="BC18" t="s">
        <v>364</v>
      </c>
    </row>
    <row r="19" spans="3:55" x14ac:dyDescent="0.45">
      <c r="C19">
        <v>89.915599999999998</v>
      </c>
      <c r="D19">
        <v>0</v>
      </c>
      <c r="E19">
        <v>0</v>
      </c>
      <c r="F19">
        <v>0</v>
      </c>
      <c r="G19">
        <v>6.27</v>
      </c>
      <c r="H19">
        <v>0</v>
      </c>
      <c r="I19">
        <v>0</v>
      </c>
      <c r="J19">
        <v>0</v>
      </c>
      <c r="K19">
        <v>0</v>
      </c>
      <c r="L19">
        <v>3.8</v>
      </c>
      <c r="M19">
        <v>0</v>
      </c>
      <c r="N19">
        <v>0</v>
      </c>
      <c r="O19">
        <v>0</v>
      </c>
      <c r="P19">
        <v>0</v>
      </c>
      <c r="Q19">
        <v>0</v>
      </c>
      <c r="R19">
        <v>1.44E-2</v>
      </c>
      <c r="S19">
        <v>0</v>
      </c>
      <c r="T19">
        <v>1.44E-2</v>
      </c>
      <c r="U19">
        <v>0</v>
      </c>
      <c r="V19">
        <v>1</v>
      </c>
      <c r="W19">
        <v>900</v>
      </c>
      <c r="X19">
        <v>0</v>
      </c>
      <c r="Y19">
        <v>0</v>
      </c>
      <c r="Z19">
        <v>1</v>
      </c>
      <c r="AA19">
        <v>1</v>
      </c>
      <c r="AB19">
        <v>0</v>
      </c>
      <c r="AC19">
        <v>1000</v>
      </c>
      <c r="AD19">
        <v>6</v>
      </c>
      <c r="AE19">
        <v>1</v>
      </c>
      <c r="AF19">
        <v>0</v>
      </c>
      <c r="AG19">
        <v>0</v>
      </c>
      <c r="AH19">
        <v>900</v>
      </c>
      <c r="AI19">
        <v>6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f t="shared" si="2"/>
        <v>14.459</v>
      </c>
      <c r="AU19">
        <f t="shared" si="0"/>
        <v>1.4399999999999999E-3</v>
      </c>
      <c r="AV19">
        <f t="shared" si="1"/>
        <v>847.6712</v>
      </c>
      <c r="AW19">
        <v>89</v>
      </c>
      <c r="AX19">
        <v>1090</v>
      </c>
      <c r="AY19">
        <v>1105</v>
      </c>
      <c r="AZ19">
        <v>15</v>
      </c>
      <c r="BA19">
        <v>336</v>
      </c>
      <c r="BC19" t="s">
        <v>364</v>
      </c>
    </row>
    <row r="20" spans="3:55" x14ac:dyDescent="0.45">
      <c r="C20">
        <v>89.98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f t="shared" si="2"/>
        <v>10.02</v>
      </c>
      <c r="AU20">
        <f t="shared" si="0"/>
        <v>0</v>
      </c>
      <c r="AV20">
        <f t="shared" si="1"/>
        <v>786.81</v>
      </c>
      <c r="AW20">
        <v>112.99</v>
      </c>
      <c r="AX20">
        <v>741</v>
      </c>
      <c r="AY20">
        <v>663</v>
      </c>
      <c r="AZ20">
        <v>0.71</v>
      </c>
      <c r="BA20">
        <v>474</v>
      </c>
      <c r="BC20" t="s">
        <v>365</v>
      </c>
    </row>
    <row r="21" spans="3:55" x14ac:dyDescent="0.45">
      <c r="C21">
        <v>89.17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10.83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f t="shared" si="2"/>
        <v>10.83</v>
      </c>
      <c r="AU21">
        <f t="shared" si="0"/>
        <v>0</v>
      </c>
      <c r="AV21">
        <f t="shared" si="1"/>
        <v>779.11500000000001</v>
      </c>
      <c r="AW21">
        <v>105.17</v>
      </c>
      <c r="AY21">
        <v>885</v>
      </c>
      <c r="AZ21">
        <v>0.35</v>
      </c>
      <c r="BA21">
        <v>441</v>
      </c>
      <c r="BC21" t="s">
        <v>365</v>
      </c>
    </row>
    <row r="22" spans="3:55" x14ac:dyDescent="0.45">
      <c r="C22">
        <v>88.22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11.78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f t="shared" si="2"/>
        <v>11.78</v>
      </c>
      <c r="AU22">
        <f t="shared" si="0"/>
        <v>0</v>
      </c>
      <c r="AV22">
        <f t="shared" si="1"/>
        <v>770.09</v>
      </c>
      <c r="AW22">
        <v>133.15</v>
      </c>
      <c r="BA22">
        <v>390</v>
      </c>
      <c r="BC22" t="s">
        <v>366</v>
      </c>
    </row>
    <row r="23" spans="3:55" x14ac:dyDescent="0.45">
      <c r="C23">
        <v>87.11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12.89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f t="shared" si="2"/>
        <v>12.89</v>
      </c>
      <c r="AU23">
        <f t="shared" si="0"/>
        <v>0</v>
      </c>
      <c r="AV23">
        <f t="shared" si="1"/>
        <v>759.54499999999996</v>
      </c>
      <c r="AW23">
        <v>104.47</v>
      </c>
      <c r="AY23">
        <v>643</v>
      </c>
      <c r="AZ23">
        <v>0.09</v>
      </c>
      <c r="BA23">
        <v>413</v>
      </c>
      <c r="BC23" t="s">
        <v>365</v>
      </c>
    </row>
    <row r="24" spans="3:55" x14ac:dyDescent="0.45">
      <c r="C24">
        <v>84.95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15.05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f t="shared" si="2"/>
        <v>15.05</v>
      </c>
      <c r="AU24">
        <f t="shared" si="0"/>
        <v>0</v>
      </c>
      <c r="AV24">
        <f t="shared" si="1"/>
        <v>739.02499999999998</v>
      </c>
      <c r="AW24">
        <v>70.48</v>
      </c>
      <c r="AX24">
        <v>542</v>
      </c>
      <c r="AY24">
        <v>593</v>
      </c>
      <c r="AZ24">
        <v>0.14000000000000001</v>
      </c>
      <c r="BA24">
        <v>350</v>
      </c>
      <c r="BC24" t="s">
        <v>365</v>
      </c>
    </row>
    <row r="25" spans="3:55" x14ac:dyDescent="0.45">
      <c r="C25">
        <v>96.944599999999994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3.0554000000000001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900</v>
      </c>
      <c r="AD25">
        <v>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f t="shared" si="2"/>
        <v>3.0554000000000001</v>
      </c>
      <c r="AU25">
        <f t="shared" si="0"/>
        <v>0</v>
      </c>
      <c r="AV25">
        <f t="shared" si="1"/>
        <v>852.97370000000001</v>
      </c>
      <c r="AW25">
        <v>83.8</v>
      </c>
      <c r="BC25" t="s">
        <v>367</v>
      </c>
    </row>
    <row r="26" spans="3:55" x14ac:dyDescent="0.45">
      <c r="C26">
        <v>92.5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7.5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f t="shared" si="2"/>
        <v>7.5</v>
      </c>
      <c r="AU26">
        <f t="shared" si="0"/>
        <v>0</v>
      </c>
      <c r="AV26">
        <f t="shared" si="1"/>
        <v>810.75</v>
      </c>
      <c r="AW26">
        <v>70</v>
      </c>
      <c r="AX26">
        <v>737</v>
      </c>
      <c r="AY26">
        <v>1019</v>
      </c>
      <c r="AZ26">
        <v>16</v>
      </c>
      <c r="BA26">
        <v>301</v>
      </c>
      <c r="BC26" t="s">
        <v>368</v>
      </c>
    </row>
    <row r="27" spans="3:55" x14ac:dyDescent="0.45">
      <c r="C27">
        <v>91.994399999999999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8.0055999999999994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900</v>
      </c>
      <c r="AD27">
        <v>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f t="shared" si="2"/>
        <v>8.0055999999999994</v>
      </c>
      <c r="AU27">
        <f t="shared" si="0"/>
        <v>0</v>
      </c>
      <c r="AV27">
        <f t="shared" si="1"/>
        <v>805.94680000000005</v>
      </c>
      <c r="AW27">
        <v>82.98</v>
      </c>
      <c r="BC27" t="s">
        <v>367</v>
      </c>
    </row>
    <row r="28" spans="3:55" x14ac:dyDescent="0.45">
      <c r="C28">
        <v>92.5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7.5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f t="shared" si="2"/>
        <v>7.5</v>
      </c>
      <c r="AU28">
        <f t="shared" si="0"/>
        <v>0</v>
      </c>
      <c r="AV28">
        <f t="shared" si="1"/>
        <v>810.75</v>
      </c>
      <c r="AW28">
        <v>70</v>
      </c>
      <c r="AY28">
        <v>806</v>
      </c>
      <c r="AZ28">
        <v>42</v>
      </c>
      <c r="BC28" t="s">
        <v>369</v>
      </c>
    </row>
    <row r="29" spans="3:55" x14ac:dyDescent="0.45">
      <c r="C29">
        <v>78.099999999999994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10.8</v>
      </c>
      <c r="L29">
        <v>11.1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f t="shared" si="2"/>
        <v>14.124000000000001</v>
      </c>
      <c r="AU29">
        <f t="shared" si="0"/>
        <v>0</v>
      </c>
      <c r="AV29">
        <f t="shared" si="1"/>
        <v>776.55</v>
      </c>
      <c r="AW29">
        <v>56.9</v>
      </c>
      <c r="BA29">
        <v>312</v>
      </c>
      <c r="BC29" t="s">
        <v>366</v>
      </c>
    </row>
    <row r="30" spans="3:55" x14ac:dyDescent="0.45">
      <c r="C30">
        <v>78.099999999999994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10.8</v>
      </c>
      <c r="L30">
        <v>11.1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f t="shared" si="2"/>
        <v>14.124000000000001</v>
      </c>
      <c r="AU30">
        <f t="shared" si="0"/>
        <v>0</v>
      </c>
      <c r="AV30">
        <f t="shared" si="1"/>
        <v>776.55</v>
      </c>
      <c r="AW30">
        <v>57</v>
      </c>
      <c r="AX30">
        <v>654</v>
      </c>
      <c r="AY30">
        <v>875</v>
      </c>
      <c r="AZ30">
        <v>0.61</v>
      </c>
      <c r="BC30" t="s">
        <v>370</v>
      </c>
    </row>
    <row r="31" spans="3:55" x14ac:dyDescent="0.45">
      <c r="C31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</v>
      </c>
      <c r="L31">
        <v>12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80</v>
      </c>
      <c r="Y31">
        <v>0</v>
      </c>
      <c r="Z31">
        <v>0</v>
      </c>
      <c r="AA31">
        <v>1</v>
      </c>
      <c r="AB31">
        <v>0</v>
      </c>
      <c r="AC31">
        <v>780</v>
      </c>
      <c r="AD31">
        <v>0</v>
      </c>
      <c r="AE31">
        <v>1</v>
      </c>
      <c r="AF31">
        <v>0</v>
      </c>
      <c r="AG31">
        <v>0</v>
      </c>
      <c r="AH31">
        <v>950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f t="shared" si="2"/>
        <v>14.24</v>
      </c>
      <c r="AU31">
        <f t="shared" si="0"/>
        <v>0</v>
      </c>
      <c r="AV31">
        <f t="shared" si="1"/>
        <v>768</v>
      </c>
      <c r="AW31">
        <v>91</v>
      </c>
      <c r="AX31">
        <v>528</v>
      </c>
      <c r="AY31">
        <v>716</v>
      </c>
      <c r="AZ31">
        <v>33</v>
      </c>
      <c r="BC31" t="s">
        <v>371</v>
      </c>
    </row>
    <row r="32" spans="3:55" x14ac:dyDescent="0.45">
      <c r="C32">
        <v>93.2</v>
      </c>
      <c r="D32">
        <v>0</v>
      </c>
      <c r="E32">
        <v>0.45</v>
      </c>
      <c r="F32">
        <v>0.02</v>
      </c>
      <c r="G32">
        <v>0</v>
      </c>
      <c r="H32">
        <v>0.05</v>
      </c>
      <c r="I32">
        <v>0.09</v>
      </c>
      <c r="J32">
        <v>0</v>
      </c>
      <c r="K32">
        <v>2.79</v>
      </c>
      <c r="L32">
        <v>3.15</v>
      </c>
      <c r="M32">
        <v>0</v>
      </c>
      <c r="N32">
        <v>0</v>
      </c>
      <c r="O32">
        <v>0</v>
      </c>
      <c r="P32">
        <v>0</v>
      </c>
      <c r="Q32">
        <v>0.04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1100</v>
      </c>
      <c r="AD32">
        <v>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f t="shared" si="2"/>
        <v>4.4096999999999991</v>
      </c>
      <c r="AU32">
        <f t="shared" si="0"/>
        <v>0</v>
      </c>
      <c r="AV32">
        <f t="shared" si="1"/>
        <v>846.68500000000017</v>
      </c>
      <c r="AW32">
        <v>102.6</v>
      </c>
      <c r="BA32">
        <v>354</v>
      </c>
      <c r="BC32" t="s">
        <v>372</v>
      </c>
    </row>
    <row r="33" spans="3:55" x14ac:dyDescent="0.45">
      <c r="C33">
        <v>81.739999999999995</v>
      </c>
      <c r="D33">
        <v>0</v>
      </c>
      <c r="E33">
        <v>0</v>
      </c>
      <c r="F33">
        <v>0.26</v>
      </c>
      <c r="G33">
        <v>0</v>
      </c>
      <c r="H33">
        <v>0</v>
      </c>
      <c r="I33">
        <v>0</v>
      </c>
      <c r="J33">
        <v>0</v>
      </c>
      <c r="K33">
        <v>2.8</v>
      </c>
      <c r="L33">
        <v>15</v>
      </c>
      <c r="M33">
        <v>0</v>
      </c>
      <c r="N33">
        <v>0</v>
      </c>
      <c r="O33">
        <v>0</v>
      </c>
      <c r="P33">
        <v>0</v>
      </c>
      <c r="Q33">
        <v>0.2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f t="shared" si="2"/>
        <v>16.2</v>
      </c>
      <c r="AU33">
        <f t="shared" si="0"/>
        <v>0</v>
      </c>
      <c r="AV33">
        <f t="shared" si="1"/>
        <v>741.01400000000001</v>
      </c>
      <c r="AW33">
        <v>80</v>
      </c>
      <c r="BC33" t="s">
        <v>373</v>
      </c>
    </row>
    <row r="34" spans="3:55" x14ac:dyDescent="0.45">
      <c r="C34">
        <v>84.8</v>
      </c>
      <c r="D34">
        <v>0</v>
      </c>
      <c r="E34">
        <v>0.59</v>
      </c>
      <c r="F34">
        <v>0.03</v>
      </c>
      <c r="G34">
        <v>0</v>
      </c>
      <c r="H34">
        <v>0.05</v>
      </c>
      <c r="I34">
        <v>0.11</v>
      </c>
      <c r="J34">
        <v>0</v>
      </c>
      <c r="K34">
        <v>4.55</v>
      </c>
      <c r="L34">
        <v>5.75</v>
      </c>
      <c r="M34">
        <v>3.93</v>
      </c>
      <c r="N34">
        <v>0</v>
      </c>
      <c r="O34">
        <v>0</v>
      </c>
      <c r="P34">
        <v>0</v>
      </c>
      <c r="Q34">
        <v>0.04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1100</v>
      </c>
      <c r="AD34">
        <v>7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f t="shared" si="2"/>
        <v>7.6122999999999994</v>
      </c>
      <c r="AU34">
        <f t="shared" si="0"/>
        <v>1.31</v>
      </c>
      <c r="AV34">
        <f t="shared" si="1"/>
        <v>836.71799999999996</v>
      </c>
      <c r="AW34">
        <v>104.6</v>
      </c>
      <c r="BA34">
        <v>296</v>
      </c>
      <c r="BC34" t="s">
        <v>374</v>
      </c>
    </row>
    <row r="35" spans="3:55" x14ac:dyDescent="0.45">
      <c r="C35">
        <v>81.5</v>
      </c>
      <c r="D35">
        <v>0</v>
      </c>
      <c r="E35">
        <v>0.5</v>
      </c>
      <c r="F35">
        <v>0.04</v>
      </c>
      <c r="G35">
        <v>0</v>
      </c>
      <c r="H35">
        <v>0.04</v>
      </c>
      <c r="I35">
        <v>0.01</v>
      </c>
      <c r="J35">
        <v>0</v>
      </c>
      <c r="K35">
        <v>3.92</v>
      </c>
      <c r="L35">
        <v>5.0599999999999996</v>
      </c>
      <c r="M35">
        <v>8.06</v>
      </c>
      <c r="N35">
        <v>0</v>
      </c>
      <c r="O35">
        <v>0</v>
      </c>
      <c r="P35">
        <v>0</v>
      </c>
      <c r="Q35">
        <v>0.04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1100</v>
      </c>
      <c r="AD35">
        <v>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f t="shared" si="2"/>
        <v>6.6725999999999992</v>
      </c>
      <c r="AU35">
        <f t="shared" si="0"/>
        <v>2.686666666666667</v>
      </c>
      <c r="AV35">
        <f t="shared" si="1"/>
        <v>861.71400000000006</v>
      </c>
      <c r="AW35">
        <v>98.2</v>
      </c>
      <c r="BA35">
        <v>351</v>
      </c>
      <c r="BC35" t="s">
        <v>374</v>
      </c>
    </row>
    <row r="36" spans="3:55" x14ac:dyDescent="0.45">
      <c r="C36">
        <v>82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</v>
      </c>
      <c r="K36">
        <v>6</v>
      </c>
      <c r="L36">
        <v>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820</v>
      </c>
      <c r="X36">
        <v>80</v>
      </c>
      <c r="Y36">
        <v>0</v>
      </c>
      <c r="Z36">
        <v>0</v>
      </c>
      <c r="AA36">
        <v>1</v>
      </c>
      <c r="AB36">
        <v>0</v>
      </c>
      <c r="AC36">
        <v>950</v>
      </c>
      <c r="AD36">
        <v>2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f t="shared" si="2"/>
        <v>9.68</v>
      </c>
      <c r="AU36">
        <f t="shared" si="0"/>
        <v>0.66666666666666663</v>
      </c>
      <c r="AV36">
        <f t="shared" si="1"/>
        <v>778.4</v>
      </c>
      <c r="AW36">
        <v>72</v>
      </c>
      <c r="AX36">
        <v>899</v>
      </c>
      <c r="AZ36">
        <v>15</v>
      </c>
      <c r="BC36" t="s">
        <v>375</v>
      </c>
    </row>
    <row r="37" spans="3:55" x14ac:dyDescent="0.45">
      <c r="C37">
        <v>84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1000</v>
      </c>
      <c r="AD37">
        <v>24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f t="shared" si="2"/>
        <v>1.4000000000000001</v>
      </c>
      <c r="AU37">
        <f t="shared" si="0"/>
        <v>0.5</v>
      </c>
      <c r="AV37">
        <f t="shared" si="1"/>
        <v>861.3</v>
      </c>
      <c r="AW37">
        <v>69</v>
      </c>
      <c r="AX37">
        <v>947</v>
      </c>
      <c r="AZ37">
        <v>21</v>
      </c>
      <c r="BC37" t="s">
        <v>375</v>
      </c>
    </row>
    <row r="38" spans="3:55" x14ac:dyDescent="0.45">
      <c r="C38">
        <v>86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1000</v>
      </c>
      <c r="AD38">
        <v>24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f t="shared" si="2"/>
        <v>1.1200000000000001</v>
      </c>
      <c r="AU38">
        <f t="shared" si="0"/>
        <v>0.33333333333333331</v>
      </c>
      <c r="AV38">
        <f t="shared" si="1"/>
        <v>868.2</v>
      </c>
      <c r="AW38">
        <v>35.4</v>
      </c>
      <c r="AX38">
        <v>798</v>
      </c>
      <c r="AZ38">
        <v>15</v>
      </c>
      <c r="BC38" t="s">
        <v>375</v>
      </c>
    </row>
    <row r="39" spans="3:55" x14ac:dyDescent="0.45">
      <c r="C39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12</v>
      </c>
      <c r="M39">
        <v>0</v>
      </c>
      <c r="N39">
        <v>0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950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f t="shared" si="2"/>
        <v>13.1</v>
      </c>
      <c r="AU39">
        <f t="shared" si="0"/>
        <v>0</v>
      </c>
      <c r="AV39">
        <f t="shared" si="1"/>
        <v>768</v>
      </c>
      <c r="AW39">
        <v>74</v>
      </c>
      <c r="BA39">
        <v>303</v>
      </c>
      <c r="BC39" t="s">
        <v>376</v>
      </c>
    </row>
    <row r="40" spans="3:55" x14ac:dyDescent="0.45">
      <c r="C40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</v>
      </c>
      <c r="M40">
        <v>0</v>
      </c>
      <c r="N40">
        <v>0</v>
      </c>
      <c r="O40">
        <v>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950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f t="shared" si="2"/>
        <v>13.1</v>
      </c>
      <c r="AU40">
        <f t="shared" si="0"/>
        <v>0</v>
      </c>
      <c r="AV40">
        <f t="shared" si="1"/>
        <v>768</v>
      </c>
      <c r="AW40">
        <v>74</v>
      </c>
      <c r="BA40">
        <v>303</v>
      </c>
      <c r="BC40" t="s">
        <v>377</v>
      </c>
    </row>
    <row r="41" spans="3:55" x14ac:dyDescent="0.45">
      <c r="C41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</v>
      </c>
      <c r="K41">
        <v>0</v>
      </c>
      <c r="L41">
        <v>12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1000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f t="shared" si="2"/>
        <v>12</v>
      </c>
      <c r="AU41">
        <f t="shared" si="0"/>
        <v>0.83333333333333337</v>
      </c>
      <c r="AV41">
        <f t="shared" si="1"/>
        <v>733.5</v>
      </c>
      <c r="AW41">
        <v>90.9</v>
      </c>
      <c r="AX41">
        <v>956</v>
      </c>
      <c r="AY41">
        <v>1028</v>
      </c>
      <c r="AZ41">
        <v>4.0999999999999996</v>
      </c>
      <c r="BA41">
        <v>396</v>
      </c>
      <c r="BC41" t="s">
        <v>378</v>
      </c>
    </row>
    <row r="42" spans="3:55" x14ac:dyDescent="0.45">
      <c r="C42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</v>
      </c>
      <c r="K42">
        <v>0</v>
      </c>
      <c r="L42">
        <v>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1000</v>
      </c>
      <c r="AD42">
        <v>1</v>
      </c>
      <c r="AE42">
        <v>0</v>
      </c>
      <c r="AF42">
        <v>0</v>
      </c>
      <c r="AG42">
        <v>0</v>
      </c>
      <c r="AH42">
        <v>780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f t="shared" si="2"/>
        <v>12</v>
      </c>
      <c r="AU42">
        <f t="shared" si="0"/>
        <v>0.83333333333333337</v>
      </c>
      <c r="AV42">
        <f t="shared" si="1"/>
        <v>733.5</v>
      </c>
      <c r="AW42">
        <v>78.599999999999994</v>
      </c>
      <c r="AX42">
        <v>540</v>
      </c>
      <c r="AY42">
        <v>695</v>
      </c>
      <c r="AZ42">
        <v>3.9</v>
      </c>
      <c r="BA42">
        <v>427</v>
      </c>
      <c r="BC42" t="s">
        <v>378</v>
      </c>
    </row>
    <row r="43" spans="3:55" x14ac:dyDescent="0.45">
      <c r="C43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</v>
      </c>
      <c r="K43">
        <v>0</v>
      </c>
      <c r="L43">
        <v>12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1000</v>
      </c>
      <c r="AD43">
        <v>1</v>
      </c>
      <c r="AE43">
        <v>0</v>
      </c>
      <c r="AF43">
        <v>0</v>
      </c>
      <c r="AG43">
        <v>0</v>
      </c>
      <c r="AH43">
        <v>860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f t="shared" si="2"/>
        <v>12</v>
      </c>
      <c r="AU43">
        <f t="shared" si="0"/>
        <v>0.83333333333333337</v>
      </c>
      <c r="AV43">
        <f t="shared" si="1"/>
        <v>733.5</v>
      </c>
      <c r="AW43">
        <v>64.5</v>
      </c>
      <c r="AX43">
        <v>509</v>
      </c>
      <c r="AY43">
        <v>628</v>
      </c>
      <c r="AZ43">
        <v>4.7</v>
      </c>
      <c r="BA43">
        <v>442</v>
      </c>
      <c r="BC43" t="s">
        <v>378</v>
      </c>
    </row>
    <row r="44" spans="3:55" x14ac:dyDescent="0.45">
      <c r="C44">
        <v>81.873099999999994</v>
      </c>
      <c r="D44">
        <v>2.93</v>
      </c>
      <c r="E44">
        <v>0</v>
      </c>
      <c r="F44">
        <v>0</v>
      </c>
      <c r="G44">
        <v>0</v>
      </c>
      <c r="H44">
        <v>4.2999999999999997E-2</v>
      </c>
      <c r="I44">
        <v>0</v>
      </c>
      <c r="J44">
        <v>0</v>
      </c>
      <c r="K44">
        <v>0</v>
      </c>
      <c r="L44">
        <v>14.97</v>
      </c>
      <c r="M44">
        <v>0</v>
      </c>
      <c r="N44">
        <v>0</v>
      </c>
      <c r="O44">
        <v>0</v>
      </c>
      <c r="P44">
        <v>0</v>
      </c>
      <c r="Q44">
        <v>0</v>
      </c>
      <c r="R44">
        <v>6.0000000000000001E-3</v>
      </c>
      <c r="S44">
        <v>1.29E-2</v>
      </c>
      <c r="T44">
        <v>0.16500000000000001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785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f t="shared" si="2"/>
        <v>12.164700000000002</v>
      </c>
      <c r="AU44">
        <f t="shared" si="0"/>
        <v>2.9477900000000004</v>
      </c>
      <c r="AV44">
        <f t="shared" si="1"/>
        <v>765.57079999999996</v>
      </c>
      <c r="AZ44">
        <v>23</v>
      </c>
      <c r="BC44" t="s">
        <v>379</v>
      </c>
    </row>
    <row r="45" spans="3:55" x14ac:dyDescent="0.45">
      <c r="C45">
        <v>80.257199999999997</v>
      </c>
      <c r="D45">
        <v>0</v>
      </c>
      <c r="E45">
        <v>0</v>
      </c>
      <c r="F45">
        <v>0</v>
      </c>
      <c r="G45">
        <v>0</v>
      </c>
      <c r="H45">
        <v>4.5999999999999999E-2</v>
      </c>
      <c r="I45">
        <v>0</v>
      </c>
      <c r="J45">
        <v>4.76</v>
      </c>
      <c r="K45">
        <v>0</v>
      </c>
      <c r="L45">
        <v>14.74</v>
      </c>
      <c r="M45">
        <v>0</v>
      </c>
      <c r="N45">
        <v>0</v>
      </c>
      <c r="O45">
        <v>0</v>
      </c>
      <c r="P45">
        <v>0</v>
      </c>
      <c r="Q45">
        <v>0</v>
      </c>
      <c r="R45">
        <v>8.0000000000000002E-3</v>
      </c>
      <c r="S45">
        <v>5.7999999999999996E-3</v>
      </c>
      <c r="T45">
        <v>0.183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730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f t="shared" si="2"/>
        <v>14.8734</v>
      </c>
      <c r="AU45">
        <f t="shared" si="0"/>
        <v>0.81221333333333334</v>
      </c>
      <c r="AV45">
        <f t="shared" si="1"/>
        <v>730.92660000000001</v>
      </c>
      <c r="AZ45">
        <v>32</v>
      </c>
      <c r="BC45" t="s">
        <v>379</v>
      </c>
    </row>
    <row r="46" spans="3:55" x14ac:dyDescent="0.45">
      <c r="C46">
        <v>81.75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</v>
      </c>
      <c r="K46">
        <v>0</v>
      </c>
      <c r="L46">
        <v>10</v>
      </c>
      <c r="M46">
        <v>0</v>
      </c>
      <c r="N46">
        <v>0</v>
      </c>
      <c r="O46">
        <v>0</v>
      </c>
      <c r="P46">
        <v>0</v>
      </c>
      <c r="Q46">
        <v>1.25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f t="shared" si="2"/>
        <v>10</v>
      </c>
      <c r="AU46">
        <f t="shared" si="0"/>
        <v>1.1666666666666667</v>
      </c>
      <c r="AV46">
        <f t="shared" si="1"/>
        <v>767.82500000000005</v>
      </c>
      <c r="AW46">
        <v>29.533999999999999</v>
      </c>
      <c r="BC46" t="s">
        <v>380</v>
      </c>
    </row>
    <row r="47" spans="3:55" x14ac:dyDescent="0.45">
      <c r="C47">
        <v>80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6</v>
      </c>
      <c r="K47">
        <v>0</v>
      </c>
      <c r="L47">
        <v>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f t="shared" si="2"/>
        <v>17.8</v>
      </c>
      <c r="AU47">
        <f t="shared" si="0"/>
        <v>1</v>
      </c>
      <c r="AV47">
        <f t="shared" si="1"/>
        <v>695.80000000000007</v>
      </c>
      <c r="AW47">
        <v>107.1</v>
      </c>
      <c r="AX47">
        <v>1291</v>
      </c>
      <c r="AZ47">
        <v>1.3</v>
      </c>
      <c r="BA47">
        <v>488</v>
      </c>
      <c r="BC47" t="s">
        <v>381</v>
      </c>
    </row>
    <row r="48" spans="3:55" x14ac:dyDescent="0.45">
      <c r="C48">
        <v>80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6</v>
      </c>
      <c r="K48">
        <v>0</v>
      </c>
      <c r="L48">
        <v>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f t="shared" si="2"/>
        <v>17.8</v>
      </c>
      <c r="AU48">
        <f t="shared" si="0"/>
        <v>1</v>
      </c>
      <c r="AV48">
        <f t="shared" si="1"/>
        <v>695.80000000000007</v>
      </c>
      <c r="AW48">
        <v>85.7</v>
      </c>
      <c r="AX48">
        <v>1026</v>
      </c>
      <c r="AY48">
        <v>1026</v>
      </c>
      <c r="AZ48">
        <v>12.7</v>
      </c>
      <c r="BA48">
        <v>343</v>
      </c>
      <c r="BC48" t="s">
        <v>381</v>
      </c>
    </row>
    <row r="49" spans="3:55" x14ac:dyDescent="0.45">
      <c r="C49">
        <v>80</v>
      </c>
      <c r="D49">
        <v>0</v>
      </c>
      <c r="E49">
        <v>0</v>
      </c>
      <c r="F49">
        <v>0</v>
      </c>
      <c r="G49">
        <v>0</v>
      </c>
      <c r="H49">
        <v>2</v>
      </c>
      <c r="I49">
        <v>0</v>
      </c>
      <c r="J49">
        <v>6</v>
      </c>
      <c r="K49">
        <v>0</v>
      </c>
      <c r="L49">
        <v>12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1000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f t="shared" si="2"/>
        <v>17.8</v>
      </c>
      <c r="AU49">
        <f t="shared" si="0"/>
        <v>1</v>
      </c>
      <c r="AV49">
        <f t="shared" si="1"/>
        <v>695.80000000000007</v>
      </c>
      <c r="AW49">
        <v>70.900000000000006</v>
      </c>
      <c r="AX49">
        <v>988</v>
      </c>
      <c r="AY49">
        <v>943</v>
      </c>
      <c r="AZ49">
        <v>12</v>
      </c>
      <c r="BA49">
        <v>326</v>
      </c>
      <c r="BC49" t="s">
        <v>381</v>
      </c>
    </row>
    <row r="50" spans="3:55" x14ac:dyDescent="0.45">
      <c r="C50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f t="shared" si="2"/>
        <v>1.1200000000000001</v>
      </c>
      <c r="AU50">
        <f t="shared" si="0"/>
        <v>0.33333333333333331</v>
      </c>
      <c r="AV50">
        <f t="shared" si="1"/>
        <v>868.2</v>
      </c>
      <c r="AW50">
        <v>52</v>
      </c>
      <c r="AX50">
        <v>483</v>
      </c>
      <c r="AZ50">
        <v>26</v>
      </c>
      <c r="BC50" t="s">
        <v>375</v>
      </c>
    </row>
    <row r="51" spans="3:55" x14ac:dyDescent="0.45">
      <c r="C51">
        <v>84.75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</v>
      </c>
      <c r="K51">
        <v>0</v>
      </c>
      <c r="L51">
        <v>10</v>
      </c>
      <c r="M51">
        <v>0</v>
      </c>
      <c r="N51">
        <v>0</v>
      </c>
      <c r="O51">
        <v>0</v>
      </c>
      <c r="P51">
        <v>0</v>
      </c>
      <c r="Q51">
        <v>1.25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f t="shared" si="2"/>
        <v>10</v>
      </c>
      <c r="AU51">
        <f t="shared" si="0"/>
        <v>0.66666666666666663</v>
      </c>
      <c r="AV51">
        <f t="shared" si="1"/>
        <v>788.52499999999998</v>
      </c>
      <c r="AW51">
        <v>23.085999999999999</v>
      </c>
      <c r="AX51">
        <v>825</v>
      </c>
      <c r="BC51" t="s">
        <v>380</v>
      </c>
    </row>
    <row r="52" spans="3:55" x14ac:dyDescent="0.45">
      <c r="C52">
        <v>78.75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</v>
      </c>
      <c r="K52">
        <v>0</v>
      </c>
      <c r="L52">
        <v>10</v>
      </c>
      <c r="M52">
        <v>0</v>
      </c>
      <c r="N52">
        <v>0</v>
      </c>
      <c r="O52">
        <v>0</v>
      </c>
      <c r="P52">
        <v>0</v>
      </c>
      <c r="Q52">
        <v>1.25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f t="shared" si="2"/>
        <v>10</v>
      </c>
      <c r="AU52">
        <f t="shared" si="0"/>
        <v>1.6666666666666667</v>
      </c>
      <c r="AV52">
        <f t="shared" si="1"/>
        <v>747.125</v>
      </c>
      <c r="AW52">
        <v>28.370999999999999</v>
      </c>
      <c r="BC52" t="s">
        <v>380</v>
      </c>
    </row>
    <row r="53" spans="3:55" x14ac:dyDescent="0.45">
      <c r="C53">
        <v>77.77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</v>
      </c>
      <c r="K53">
        <v>0</v>
      </c>
      <c r="L53">
        <v>11.5</v>
      </c>
      <c r="M53">
        <v>4.5</v>
      </c>
      <c r="N53">
        <v>0</v>
      </c>
      <c r="O53">
        <v>0</v>
      </c>
      <c r="P53">
        <v>0</v>
      </c>
      <c r="Q53">
        <v>0</v>
      </c>
      <c r="R53">
        <v>0</v>
      </c>
      <c r="S53">
        <v>0.05</v>
      </c>
      <c r="T53">
        <v>0.18</v>
      </c>
      <c r="U53">
        <v>0</v>
      </c>
      <c r="V53">
        <v>1</v>
      </c>
      <c r="W53">
        <v>0</v>
      </c>
      <c r="X53">
        <v>43.333333333333336</v>
      </c>
      <c r="Y53">
        <v>0</v>
      </c>
      <c r="Z53">
        <v>1</v>
      </c>
      <c r="AA53">
        <v>0</v>
      </c>
      <c r="AB53">
        <v>0</v>
      </c>
      <c r="AC53">
        <v>730</v>
      </c>
      <c r="AD53">
        <v>0.25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f t="shared" si="2"/>
        <v>11.5</v>
      </c>
      <c r="AU53">
        <f t="shared" si="0"/>
        <v>2.5230000000000001</v>
      </c>
      <c r="AV53">
        <f t="shared" si="1"/>
        <v>772.39</v>
      </c>
      <c r="AW53">
        <v>79</v>
      </c>
      <c r="BC53" t="s">
        <v>382</v>
      </c>
    </row>
    <row r="54" spans="3:55" x14ac:dyDescent="0.45">
      <c r="C54">
        <v>77.77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</v>
      </c>
      <c r="K54">
        <v>0</v>
      </c>
      <c r="L54">
        <v>11.5</v>
      </c>
      <c r="M54">
        <v>4.5</v>
      </c>
      <c r="N54">
        <v>0</v>
      </c>
      <c r="O54">
        <v>0</v>
      </c>
      <c r="P54">
        <v>0</v>
      </c>
      <c r="Q54">
        <v>0</v>
      </c>
      <c r="R54">
        <v>0</v>
      </c>
      <c r="S54">
        <v>0.05</v>
      </c>
      <c r="T54">
        <v>0.18</v>
      </c>
      <c r="U54">
        <v>0</v>
      </c>
      <c r="V54">
        <v>1</v>
      </c>
      <c r="W54">
        <v>0</v>
      </c>
      <c r="X54">
        <v>43.333333333333336</v>
      </c>
      <c r="Y54">
        <v>0</v>
      </c>
      <c r="Z54">
        <v>1</v>
      </c>
      <c r="AA54">
        <v>0</v>
      </c>
      <c r="AB54">
        <v>0</v>
      </c>
      <c r="AC54">
        <v>730</v>
      </c>
      <c r="AD54">
        <v>0.25</v>
      </c>
      <c r="AE54">
        <v>0</v>
      </c>
      <c r="AF54">
        <v>0</v>
      </c>
      <c r="AG54">
        <v>0</v>
      </c>
      <c r="AH54">
        <v>510</v>
      </c>
      <c r="AI54">
        <v>8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f t="shared" si="2"/>
        <v>11.5</v>
      </c>
      <c r="AU54">
        <f t="shared" si="0"/>
        <v>2.5230000000000001</v>
      </c>
      <c r="AV54">
        <f t="shared" si="1"/>
        <v>772.39</v>
      </c>
      <c r="AW54">
        <v>108</v>
      </c>
      <c r="BC54" t="s">
        <v>382</v>
      </c>
    </row>
    <row r="55" spans="3:55" x14ac:dyDescent="0.45">
      <c r="C55">
        <v>78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85</v>
      </c>
      <c r="Y55">
        <v>0</v>
      </c>
      <c r="Z55">
        <v>1</v>
      </c>
      <c r="AA55">
        <v>0</v>
      </c>
      <c r="AB55">
        <v>0</v>
      </c>
      <c r="AC55">
        <v>1000</v>
      </c>
      <c r="AD55">
        <v>10</v>
      </c>
      <c r="AE55">
        <v>0</v>
      </c>
      <c r="AF55">
        <v>0</v>
      </c>
      <c r="AG55">
        <v>0</v>
      </c>
      <c r="AH55">
        <v>950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f t="shared" si="2"/>
        <v>6.16</v>
      </c>
      <c r="AU55">
        <f t="shared" si="0"/>
        <v>0</v>
      </c>
      <c r="AV55">
        <f t="shared" si="1"/>
        <v>882</v>
      </c>
      <c r="AW55">
        <v>72</v>
      </c>
      <c r="AX55">
        <v>400</v>
      </c>
      <c r="AY55">
        <v>600</v>
      </c>
      <c r="AZ55">
        <v>31.5</v>
      </c>
      <c r="BC55" t="s">
        <v>383</v>
      </c>
    </row>
    <row r="56" spans="3:55" x14ac:dyDescent="0.45">
      <c r="C56">
        <v>61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89</v>
      </c>
      <c r="Y56">
        <v>0</v>
      </c>
      <c r="Z56">
        <v>1</v>
      </c>
      <c r="AA56">
        <v>0</v>
      </c>
      <c r="AB56">
        <v>0</v>
      </c>
      <c r="AC56">
        <v>950</v>
      </c>
      <c r="AD56">
        <v>5</v>
      </c>
      <c r="AE56">
        <v>0</v>
      </c>
      <c r="AF56">
        <v>0</v>
      </c>
      <c r="AG56">
        <v>0</v>
      </c>
      <c r="AH56">
        <v>800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f t="shared" si="2"/>
        <v>10.920000000000002</v>
      </c>
      <c r="AU56">
        <f t="shared" si="0"/>
        <v>0</v>
      </c>
      <c r="AV56">
        <f t="shared" si="1"/>
        <v>882</v>
      </c>
      <c r="AW56">
        <v>45</v>
      </c>
      <c r="AX56">
        <v>156</v>
      </c>
      <c r="AY56">
        <v>500</v>
      </c>
      <c r="BC56" t="s">
        <v>384</v>
      </c>
    </row>
    <row r="57" spans="3:55" x14ac:dyDescent="0.45">
      <c r="C57">
        <v>61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89</v>
      </c>
      <c r="Y57">
        <v>0</v>
      </c>
      <c r="Z57">
        <v>1</v>
      </c>
      <c r="AA57">
        <v>0</v>
      </c>
      <c r="AB57">
        <v>0</v>
      </c>
      <c r="AC57">
        <v>950</v>
      </c>
      <c r="AD57">
        <v>5</v>
      </c>
      <c r="AE57">
        <v>0</v>
      </c>
      <c r="AF57">
        <v>0</v>
      </c>
      <c r="AG57">
        <v>0</v>
      </c>
      <c r="AH57">
        <v>250</v>
      </c>
      <c r="AI57">
        <v>0.5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f t="shared" si="2"/>
        <v>10.920000000000002</v>
      </c>
      <c r="AU57">
        <f t="shared" si="0"/>
        <v>0</v>
      </c>
      <c r="AV57">
        <f t="shared" si="1"/>
        <v>882</v>
      </c>
      <c r="AW57">
        <v>39</v>
      </c>
      <c r="AX57">
        <v>410</v>
      </c>
      <c r="AY57">
        <v>745</v>
      </c>
      <c r="BC57" t="s">
        <v>385</v>
      </c>
    </row>
    <row r="58" spans="3:55" x14ac:dyDescent="0.45">
      <c r="C58">
        <v>55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f t="shared" si="2"/>
        <v>12.600000000000001</v>
      </c>
      <c r="AU58">
        <f t="shared" si="0"/>
        <v>0</v>
      </c>
      <c r="AV58">
        <f t="shared" si="1"/>
        <v>882</v>
      </c>
      <c r="AW58">
        <v>65</v>
      </c>
      <c r="BC58" t="s">
        <v>386</v>
      </c>
    </row>
    <row r="59" spans="3:55" x14ac:dyDescent="0.45">
      <c r="C59">
        <v>88.5</v>
      </c>
      <c r="D59">
        <v>0</v>
      </c>
      <c r="E59">
        <v>0</v>
      </c>
      <c r="F59">
        <v>0</v>
      </c>
      <c r="G59">
        <v>0</v>
      </c>
      <c r="H59">
        <v>0.5</v>
      </c>
      <c r="I59">
        <v>0</v>
      </c>
      <c r="J59">
        <v>0</v>
      </c>
      <c r="K59">
        <v>11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f t="shared" si="2"/>
        <v>4.53</v>
      </c>
      <c r="AU59">
        <f t="shared" si="0"/>
        <v>0</v>
      </c>
      <c r="AV59">
        <f t="shared" si="1"/>
        <v>874.3</v>
      </c>
      <c r="AW59">
        <v>109</v>
      </c>
      <c r="AX59">
        <v>796</v>
      </c>
      <c r="AZ59">
        <v>18</v>
      </c>
      <c r="BA59">
        <v>278</v>
      </c>
      <c r="BC59" t="s">
        <v>387</v>
      </c>
    </row>
    <row r="60" spans="3:55" x14ac:dyDescent="0.45">
      <c r="C60">
        <v>85.5</v>
      </c>
      <c r="D60">
        <v>0</v>
      </c>
      <c r="E60">
        <v>0</v>
      </c>
      <c r="F60">
        <v>0</v>
      </c>
      <c r="G60">
        <v>0</v>
      </c>
      <c r="H60">
        <v>3.5</v>
      </c>
      <c r="I60">
        <v>0</v>
      </c>
      <c r="J60">
        <v>0</v>
      </c>
      <c r="K60">
        <v>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750</v>
      </c>
      <c r="AD60">
        <v>0.16666666666666666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f t="shared" si="2"/>
        <v>13.23</v>
      </c>
      <c r="AU60">
        <f t="shared" si="0"/>
        <v>0</v>
      </c>
      <c r="AV60">
        <f t="shared" si="1"/>
        <v>828.1</v>
      </c>
      <c r="AW60">
        <v>101</v>
      </c>
      <c r="AX60">
        <v>932</v>
      </c>
      <c r="AZ60">
        <v>29</v>
      </c>
      <c r="BA60">
        <v>303</v>
      </c>
      <c r="BC60" t="s">
        <v>387</v>
      </c>
    </row>
    <row r="61" spans="3:55" x14ac:dyDescent="0.45">
      <c r="C61">
        <v>83</v>
      </c>
      <c r="D61">
        <v>0</v>
      </c>
      <c r="E61">
        <v>0</v>
      </c>
      <c r="F61">
        <v>0</v>
      </c>
      <c r="G61">
        <v>0</v>
      </c>
      <c r="H61">
        <v>6</v>
      </c>
      <c r="I61">
        <v>0</v>
      </c>
      <c r="J61">
        <v>0</v>
      </c>
      <c r="K61">
        <v>11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f t="shared" si="2"/>
        <v>20.479999999999997</v>
      </c>
      <c r="AU61">
        <f t="shared" si="0"/>
        <v>0</v>
      </c>
      <c r="AV61">
        <f t="shared" si="1"/>
        <v>789.6</v>
      </c>
      <c r="AW61">
        <v>89</v>
      </c>
      <c r="AX61">
        <v>1137</v>
      </c>
      <c r="AZ61">
        <v>36</v>
      </c>
      <c r="BA61">
        <v>357</v>
      </c>
      <c r="BC61" t="s">
        <v>387</v>
      </c>
    </row>
    <row r="62" spans="3:55" x14ac:dyDescent="0.45">
      <c r="C62">
        <v>80</v>
      </c>
      <c r="D62">
        <v>0</v>
      </c>
      <c r="E62">
        <v>0</v>
      </c>
      <c r="F62">
        <v>0</v>
      </c>
      <c r="G62">
        <v>0</v>
      </c>
      <c r="H62">
        <v>9</v>
      </c>
      <c r="I62">
        <v>0</v>
      </c>
      <c r="J62">
        <v>0</v>
      </c>
      <c r="K62">
        <v>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f t="shared" si="2"/>
        <v>29.18</v>
      </c>
      <c r="AU62">
        <f t="shared" si="0"/>
        <v>0</v>
      </c>
      <c r="AV62">
        <f t="shared" si="1"/>
        <v>743.4</v>
      </c>
      <c r="AW62">
        <v>82</v>
      </c>
      <c r="AX62">
        <v>1078</v>
      </c>
      <c r="AZ62">
        <v>38</v>
      </c>
      <c r="BA62">
        <v>334</v>
      </c>
      <c r="BC62" t="s">
        <v>387</v>
      </c>
    </row>
    <row r="63" spans="3:55" x14ac:dyDescent="0.45">
      <c r="C63">
        <v>82</v>
      </c>
      <c r="D63">
        <v>0</v>
      </c>
      <c r="E63">
        <v>0</v>
      </c>
      <c r="F63">
        <v>0</v>
      </c>
      <c r="G63">
        <v>0</v>
      </c>
      <c r="H63">
        <v>7</v>
      </c>
      <c r="I63">
        <v>0</v>
      </c>
      <c r="J63">
        <v>0</v>
      </c>
      <c r="K63">
        <v>11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f t="shared" si="2"/>
        <v>23.380000000000003</v>
      </c>
      <c r="AU63">
        <f t="shared" si="0"/>
        <v>0</v>
      </c>
      <c r="AV63">
        <f t="shared" si="1"/>
        <v>774.2</v>
      </c>
      <c r="AW63">
        <v>86</v>
      </c>
      <c r="AX63">
        <v>985</v>
      </c>
      <c r="AY63">
        <v>2006</v>
      </c>
      <c r="AZ63">
        <v>41.5</v>
      </c>
      <c r="BC63" t="s">
        <v>359</v>
      </c>
    </row>
    <row r="64" spans="3:55" x14ac:dyDescent="0.45">
      <c r="C64">
        <v>82</v>
      </c>
      <c r="D64">
        <v>0</v>
      </c>
      <c r="E64">
        <v>0</v>
      </c>
      <c r="F64">
        <v>0</v>
      </c>
      <c r="G64">
        <v>0</v>
      </c>
      <c r="H64">
        <v>3</v>
      </c>
      <c r="I64">
        <v>0</v>
      </c>
      <c r="J64">
        <v>0</v>
      </c>
      <c r="K64">
        <v>15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750</v>
      </c>
      <c r="AD64">
        <v>0.16666666666666666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f t="shared" si="2"/>
        <v>12.899999999999999</v>
      </c>
      <c r="AU64">
        <f t="shared" si="0"/>
        <v>0</v>
      </c>
      <c r="AV64">
        <f t="shared" si="1"/>
        <v>835.8</v>
      </c>
      <c r="AW64">
        <v>94</v>
      </c>
      <c r="AX64">
        <v>695</v>
      </c>
      <c r="BC64" t="s">
        <v>388</v>
      </c>
    </row>
    <row r="65" spans="3:55" x14ac:dyDescent="0.45">
      <c r="C65">
        <v>78.5</v>
      </c>
      <c r="D65">
        <v>0</v>
      </c>
      <c r="E65">
        <v>0</v>
      </c>
      <c r="F65">
        <v>0</v>
      </c>
      <c r="G65">
        <v>0</v>
      </c>
      <c r="H65">
        <v>2.5</v>
      </c>
      <c r="I65">
        <v>0</v>
      </c>
      <c r="J65">
        <v>0</v>
      </c>
      <c r="K65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750</v>
      </c>
      <c r="AD65">
        <v>0.16666666666666666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f t="shared" si="2"/>
        <v>12.57</v>
      </c>
      <c r="AU65">
        <f t="shared" si="0"/>
        <v>0</v>
      </c>
      <c r="AV65">
        <f t="shared" si="1"/>
        <v>843.5</v>
      </c>
      <c r="AW65">
        <v>90</v>
      </c>
      <c r="AX65">
        <v>672</v>
      </c>
      <c r="BC65" t="s">
        <v>388</v>
      </c>
    </row>
    <row r="66" spans="3:55" x14ac:dyDescent="0.45">
      <c r="C66">
        <v>75</v>
      </c>
      <c r="D66">
        <v>0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  <c r="K66">
        <v>23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750</v>
      </c>
      <c r="AD66">
        <v>0.16666666666666666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f t="shared" si="2"/>
        <v>12.24</v>
      </c>
      <c r="AU66">
        <f t="shared" ref="AU66:AU129" si="3">D66+J66/6+M66/3+(T66+S66)/10</f>
        <v>0</v>
      </c>
      <c r="AV66">
        <f t="shared" ref="AV66:AV129" si="4">882+2.1*D66-9.5*L66+4.2*M66-6.9*J66-11.8*E66-12.1*F66-15.4*H66+23.3*Q66+123*T66</f>
        <v>851.2</v>
      </c>
      <c r="AW66">
        <v>95</v>
      </c>
      <c r="AX66">
        <v>604</v>
      </c>
      <c r="BC66" t="s">
        <v>388</v>
      </c>
    </row>
    <row r="67" spans="3:55" x14ac:dyDescent="0.45">
      <c r="C67">
        <v>70.7</v>
      </c>
      <c r="D67">
        <v>0</v>
      </c>
      <c r="E67">
        <v>0</v>
      </c>
      <c r="F67">
        <v>0</v>
      </c>
      <c r="G67">
        <v>0</v>
      </c>
      <c r="H67">
        <v>2.12</v>
      </c>
      <c r="I67">
        <v>0</v>
      </c>
      <c r="J67">
        <v>0</v>
      </c>
      <c r="K67">
        <v>27.18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84</v>
      </c>
      <c r="Y67">
        <v>0</v>
      </c>
      <c r="Z67">
        <v>1</v>
      </c>
      <c r="AA67">
        <v>0</v>
      </c>
      <c r="AB67">
        <v>0</v>
      </c>
      <c r="AC67">
        <v>1000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f t="shared" ref="AT67:AT130" si="5">L67+0.67*E67+0.44*P67+0.28*K67+0.22*O67+2.9*H67+1.6*F67+1.7*G67-D67</f>
        <v>13.7584</v>
      </c>
      <c r="AU67">
        <f t="shared" si="3"/>
        <v>0</v>
      </c>
      <c r="AV67">
        <f t="shared" si="4"/>
        <v>849.35199999999998</v>
      </c>
      <c r="AW67">
        <v>83</v>
      </c>
      <c r="BC67" t="s">
        <v>389</v>
      </c>
    </row>
    <row r="68" spans="3:55" x14ac:dyDescent="0.45">
      <c r="C68">
        <v>71.5</v>
      </c>
      <c r="D68">
        <v>0</v>
      </c>
      <c r="E68">
        <v>0</v>
      </c>
      <c r="F68">
        <v>0</v>
      </c>
      <c r="G68">
        <v>0</v>
      </c>
      <c r="H68">
        <v>1.5</v>
      </c>
      <c r="I68">
        <v>0</v>
      </c>
      <c r="J68">
        <v>0</v>
      </c>
      <c r="K68">
        <v>27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750</v>
      </c>
      <c r="AD68">
        <v>0.16666666666666666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f t="shared" si="5"/>
        <v>11.91</v>
      </c>
      <c r="AU68">
        <f t="shared" si="3"/>
        <v>0</v>
      </c>
      <c r="AV68">
        <f t="shared" si="4"/>
        <v>858.9</v>
      </c>
      <c r="AW68">
        <v>81</v>
      </c>
      <c r="AX68">
        <v>496</v>
      </c>
      <c r="BC68" t="s">
        <v>388</v>
      </c>
    </row>
    <row r="69" spans="3:55" x14ac:dyDescent="0.45">
      <c r="C69">
        <v>68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31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750</v>
      </c>
      <c r="AD69">
        <v>0.16666666666666666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f t="shared" si="5"/>
        <v>11.580000000000002</v>
      </c>
      <c r="AU69">
        <f t="shared" si="3"/>
        <v>0</v>
      </c>
      <c r="AV69">
        <f t="shared" si="4"/>
        <v>866.6</v>
      </c>
      <c r="AW69">
        <v>81</v>
      </c>
      <c r="AX69">
        <v>477</v>
      </c>
      <c r="BC69" t="s">
        <v>388</v>
      </c>
    </row>
    <row r="70" spans="3:55" x14ac:dyDescent="0.45">
      <c r="C70">
        <v>84</v>
      </c>
      <c r="D70">
        <v>0</v>
      </c>
      <c r="E70">
        <v>0</v>
      </c>
      <c r="F70">
        <v>0</v>
      </c>
      <c r="G70">
        <v>0</v>
      </c>
      <c r="H70">
        <v>7</v>
      </c>
      <c r="I70">
        <v>0</v>
      </c>
      <c r="J70">
        <v>0</v>
      </c>
      <c r="K70">
        <v>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f t="shared" si="5"/>
        <v>22.82</v>
      </c>
      <c r="AU70">
        <f t="shared" si="3"/>
        <v>0</v>
      </c>
      <c r="AV70">
        <f t="shared" si="4"/>
        <v>774.2</v>
      </c>
      <c r="AW70">
        <v>89</v>
      </c>
      <c r="AX70">
        <v>1010</v>
      </c>
      <c r="AY70">
        <v>2007</v>
      </c>
      <c r="AZ70">
        <v>40.5</v>
      </c>
      <c r="BC70" t="s">
        <v>387</v>
      </c>
    </row>
    <row r="71" spans="3:55" x14ac:dyDescent="0.45">
      <c r="C71">
        <v>70.3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19.5</v>
      </c>
      <c r="L71">
        <v>10.199999999999999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f t="shared" si="5"/>
        <v>15.66</v>
      </c>
      <c r="AU71">
        <f t="shared" si="3"/>
        <v>0</v>
      </c>
      <c r="AV71">
        <f t="shared" si="4"/>
        <v>785.1</v>
      </c>
      <c r="AW71">
        <v>62</v>
      </c>
      <c r="AX71">
        <v>873</v>
      </c>
      <c r="AY71">
        <v>685</v>
      </c>
      <c r="AZ71">
        <v>0.44</v>
      </c>
      <c r="BC71" t="s">
        <v>370</v>
      </c>
    </row>
    <row r="72" spans="3:55" x14ac:dyDescent="0.45">
      <c r="C72">
        <v>64.099999999999994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26.7</v>
      </c>
      <c r="L72">
        <v>9.1999999999999993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f t="shared" si="5"/>
        <v>16.676000000000002</v>
      </c>
      <c r="AU72">
        <f t="shared" si="3"/>
        <v>0</v>
      </c>
      <c r="AV72">
        <f t="shared" si="4"/>
        <v>794.6</v>
      </c>
      <c r="AW72">
        <v>71</v>
      </c>
      <c r="AX72">
        <v>844</v>
      </c>
      <c r="AY72">
        <v>875</v>
      </c>
      <c r="AZ72">
        <v>3.1</v>
      </c>
      <c r="BC72" t="s">
        <v>370</v>
      </c>
    </row>
    <row r="73" spans="3:55" x14ac:dyDescent="0.45">
      <c r="C73">
        <v>49.8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38.1</v>
      </c>
      <c r="L73">
        <v>12.1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f t="shared" si="5"/>
        <v>22.768000000000001</v>
      </c>
      <c r="AU73">
        <f t="shared" si="3"/>
        <v>0</v>
      </c>
      <c r="AV73">
        <f t="shared" si="4"/>
        <v>767.05</v>
      </c>
      <c r="AW73">
        <v>54.5</v>
      </c>
      <c r="AX73">
        <v>581</v>
      </c>
      <c r="AY73">
        <v>663</v>
      </c>
      <c r="BA73">
        <v>242</v>
      </c>
      <c r="BC73" t="s">
        <v>390</v>
      </c>
    </row>
    <row r="74" spans="3:55" x14ac:dyDescent="0.45">
      <c r="C74">
        <v>54.400000000000006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39.299999999999997</v>
      </c>
      <c r="L74">
        <v>6.3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f t="shared" si="5"/>
        <v>17.303999999999998</v>
      </c>
      <c r="AU74">
        <f t="shared" si="3"/>
        <v>0</v>
      </c>
      <c r="AV74">
        <f t="shared" si="4"/>
        <v>822.15</v>
      </c>
      <c r="AW74">
        <v>63.6</v>
      </c>
      <c r="AX74">
        <v>554</v>
      </c>
      <c r="AY74">
        <v>621</v>
      </c>
      <c r="BA74">
        <v>211</v>
      </c>
      <c r="BC74" t="s">
        <v>390</v>
      </c>
    </row>
    <row r="75" spans="3:55" x14ac:dyDescent="0.45">
      <c r="C75">
        <v>52.099999999999994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38.700000000000003</v>
      </c>
      <c r="L75">
        <v>9.1999999999999993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f t="shared" si="5"/>
        <v>20.036000000000001</v>
      </c>
      <c r="AU75">
        <f t="shared" si="3"/>
        <v>0</v>
      </c>
      <c r="AV75">
        <f t="shared" si="4"/>
        <v>794.6</v>
      </c>
      <c r="AW75">
        <v>55.7</v>
      </c>
      <c r="AX75">
        <v>578</v>
      </c>
      <c r="AY75">
        <v>634</v>
      </c>
      <c r="BA75">
        <v>218</v>
      </c>
      <c r="BC75" t="s">
        <v>390</v>
      </c>
    </row>
    <row r="76" spans="3:55" x14ac:dyDescent="0.45">
      <c r="C76">
        <v>56.9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39.9</v>
      </c>
      <c r="L76">
        <v>3.2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f t="shared" si="5"/>
        <v>14.372</v>
      </c>
      <c r="AU76">
        <f t="shared" si="3"/>
        <v>0</v>
      </c>
      <c r="AV76">
        <f t="shared" si="4"/>
        <v>851.6</v>
      </c>
      <c r="AW76">
        <v>67</v>
      </c>
      <c r="AX76">
        <v>481</v>
      </c>
      <c r="AY76">
        <v>535</v>
      </c>
      <c r="BA76">
        <v>189</v>
      </c>
      <c r="BC76" t="s">
        <v>390</v>
      </c>
    </row>
    <row r="77" spans="3:55" x14ac:dyDescent="0.45">
      <c r="C77">
        <v>49.81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12.1</v>
      </c>
      <c r="L77">
        <v>38.08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f t="shared" si="5"/>
        <v>41.467999999999996</v>
      </c>
      <c r="AU77">
        <f t="shared" si="3"/>
        <v>0</v>
      </c>
      <c r="AV77">
        <f t="shared" si="4"/>
        <v>520.24</v>
      </c>
      <c r="AW77">
        <v>54.5</v>
      </c>
      <c r="AY77">
        <v>663</v>
      </c>
      <c r="BA77">
        <v>242</v>
      </c>
      <c r="BC77" t="s">
        <v>390</v>
      </c>
    </row>
    <row r="78" spans="3:55" x14ac:dyDescent="0.45"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</v>
      </c>
      <c r="K78">
        <v>15</v>
      </c>
      <c r="L78">
        <v>3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80</v>
      </c>
      <c r="Y78">
        <v>0</v>
      </c>
      <c r="Z78">
        <v>1</v>
      </c>
      <c r="AA78">
        <v>0</v>
      </c>
      <c r="AB78">
        <v>0</v>
      </c>
      <c r="AC78">
        <v>610</v>
      </c>
      <c r="AD78">
        <v>0.5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f t="shared" si="5"/>
        <v>7.2</v>
      </c>
      <c r="AU78">
        <f t="shared" si="3"/>
        <v>1.1666666666666665</v>
      </c>
      <c r="AV78">
        <f t="shared" si="4"/>
        <v>841.19999999999993</v>
      </c>
      <c r="AW78">
        <v>38</v>
      </c>
      <c r="BC78" t="s">
        <v>391</v>
      </c>
    </row>
    <row r="79" spans="3:55" x14ac:dyDescent="0.45">
      <c r="C79">
        <v>61.87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0.13</v>
      </c>
      <c r="U79">
        <v>0</v>
      </c>
      <c r="V79">
        <v>1</v>
      </c>
      <c r="W79">
        <v>0</v>
      </c>
      <c r="X79">
        <v>80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f t="shared" si="5"/>
        <v>10.64</v>
      </c>
      <c r="AU79">
        <f t="shared" si="3"/>
        <v>1.3000000000000001E-2</v>
      </c>
      <c r="AV79">
        <f t="shared" si="4"/>
        <v>897.99</v>
      </c>
      <c r="AW79">
        <v>57</v>
      </c>
      <c r="AY79">
        <v>490</v>
      </c>
      <c r="AZ79">
        <v>35.200000000000003</v>
      </c>
      <c r="BC79" t="s">
        <v>391</v>
      </c>
    </row>
    <row r="80" spans="3:55" x14ac:dyDescent="0.45">
      <c r="C80">
        <v>61.76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0.24</v>
      </c>
      <c r="U80">
        <v>0</v>
      </c>
      <c r="V80">
        <v>1</v>
      </c>
      <c r="W80">
        <v>0</v>
      </c>
      <c r="X80">
        <v>80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f t="shared" si="5"/>
        <v>10.64</v>
      </c>
      <c r="AU80">
        <f t="shared" si="3"/>
        <v>2.4E-2</v>
      </c>
      <c r="AV80">
        <f t="shared" si="4"/>
        <v>911.52</v>
      </c>
      <c r="AW80">
        <v>59</v>
      </c>
      <c r="AY80">
        <v>590</v>
      </c>
      <c r="AZ80">
        <v>35.5</v>
      </c>
      <c r="BC80" t="s">
        <v>391</v>
      </c>
    </row>
    <row r="81" spans="3:55" x14ac:dyDescent="0.45">
      <c r="C81">
        <v>61.54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0.46</v>
      </c>
      <c r="U81">
        <v>0</v>
      </c>
      <c r="V81">
        <v>1</v>
      </c>
      <c r="W81">
        <v>0</v>
      </c>
      <c r="X81">
        <v>80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f t="shared" si="5"/>
        <v>10.64</v>
      </c>
      <c r="AU81">
        <f t="shared" si="3"/>
        <v>4.5999999999999999E-2</v>
      </c>
      <c r="AV81">
        <f t="shared" si="4"/>
        <v>938.58</v>
      </c>
      <c r="AW81">
        <v>62</v>
      </c>
      <c r="AY81">
        <v>780</v>
      </c>
      <c r="AZ81">
        <v>25</v>
      </c>
      <c r="BC81" t="s">
        <v>391</v>
      </c>
    </row>
    <row r="82" spans="3:55" x14ac:dyDescent="0.45">
      <c r="C82">
        <v>90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f t="shared" si="5"/>
        <v>2.8000000000000003</v>
      </c>
      <c r="AU82">
        <f t="shared" si="3"/>
        <v>0</v>
      </c>
      <c r="AV82">
        <f t="shared" si="4"/>
        <v>882</v>
      </c>
      <c r="AW82">
        <v>76</v>
      </c>
      <c r="BC82" t="s">
        <v>392</v>
      </c>
    </row>
    <row r="83" spans="3:55" x14ac:dyDescent="0.45">
      <c r="C83">
        <v>87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f t="shared" si="5"/>
        <v>2.8000000000000003</v>
      </c>
      <c r="AU83">
        <f t="shared" si="3"/>
        <v>1</v>
      </c>
      <c r="AV83">
        <f t="shared" si="4"/>
        <v>894.6</v>
      </c>
      <c r="AW83">
        <v>74</v>
      </c>
      <c r="BC83" t="s">
        <v>392</v>
      </c>
    </row>
    <row r="84" spans="3:55" x14ac:dyDescent="0.45">
      <c r="C84">
        <v>85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10</v>
      </c>
      <c r="L84">
        <v>0</v>
      </c>
      <c r="M84">
        <v>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f t="shared" si="5"/>
        <v>2.8000000000000003</v>
      </c>
      <c r="AU84">
        <f t="shared" si="3"/>
        <v>1.6666666666666667</v>
      </c>
      <c r="AV84">
        <f t="shared" si="4"/>
        <v>903</v>
      </c>
      <c r="AW84">
        <v>73.5</v>
      </c>
      <c r="BC84" t="s">
        <v>392</v>
      </c>
    </row>
    <row r="85" spans="3:55" x14ac:dyDescent="0.45">
      <c r="C85">
        <v>82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10</v>
      </c>
      <c r="L85">
        <v>0</v>
      </c>
      <c r="M85">
        <v>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f t="shared" si="5"/>
        <v>2.8000000000000003</v>
      </c>
      <c r="AU85">
        <f t="shared" si="3"/>
        <v>2.6666666666666665</v>
      </c>
      <c r="AV85">
        <f t="shared" si="4"/>
        <v>915.6</v>
      </c>
      <c r="AW85">
        <v>73</v>
      </c>
      <c r="BC85" t="s">
        <v>392</v>
      </c>
    </row>
    <row r="86" spans="3:55" x14ac:dyDescent="0.45">
      <c r="C86">
        <v>72.760000000000005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16.62</v>
      </c>
      <c r="L86">
        <v>0</v>
      </c>
      <c r="M86">
        <v>10.62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f t="shared" si="5"/>
        <v>4.6536000000000008</v>
      </c>
      <c r="AU86">
        <f t="shared" si="3"/>
        <v>3.5399999999999996</v>
      </c>
      <c r="AV86">
        <f t="shared" si="4"/>
        <v>926.60400000000004</v>
      </c>
      <c r="AW86">
        <v>80</v>
      </c>
      <c r="AX86">
        <v>787</v>
      </c>
      <c r="AZ86">
        <v>6.84</v>
      </c>
      <c r="BC86" t="s">
        <v>383</v>
      </c>
    </row>
    <row r="87" spans="3:55" x14ac:dyDescent="0.45">
      <c r="C87">
        <v>68.64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21.02</v>
      </c>
      <c r="L87">
        <v>0</v>
      </c>
      <c r="M87">
        <v>11.08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f t="shared" si="5"/>
        <v>5.8856000000000002</v>
      </c>
      <c r="AU87">
        <f t="shared" si="3"/>
        <v>3.6933333333333334</v>
      </c>
      <c r="AV87">
        <f t="shared" si="4"/>
        <v>928.53600000000006</v>
      </c>
      <c r="AW87">
        <v>75</v>
      </c>
      <c r="AX87">
        <v>772</v>
      </c>
      <c r="AZ87">
        <v>9.4600000000000009</v>
      </c>
      <c r="BC87" t="s">
        <v>383</v>
      </c>
    </row>
    <row r="88" spans="3:55" x14ac:dyDescent="0.45">
      <c r="C88">
        <v>72.8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16.600000000000001</v>
      </c>
      <c r="L88">
        <v>0</v>
      </c>
      <c r="M88">
        <v>10.6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f t="shared" si="5"/>
        <v>4.6480000000000006</v>
      </c>
      <c r="AU88">
        <f t="shared" si="3"/>
        <v>3.5333333333333332</v>
      </c>
      <c r="AV88">
        <f t="shared" si="4"/>
        <v>926.52</v>
      </c>
      <c r="AW88">
        <v>80</v>
      </c>
      <c r="AX88">
        <v>787</v>
      </c>
      <c r="AZ88">
        <v>6.84</v>
      </c>
      <c r="BA88">
        <v>230</v>
      </c>
      <c r="BC88" t="s">
        <v>383</v>
      </c>
    </row>
    <row r="89" spans="3:55" x14ac:dyDescent="0.45">
      <c r="C89">
        <v>68.400000000000006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21.2</v>
      </c>
      <c r="L89">
        <v>0</v>
      </c>
      <c r="M89">
        <v>10.4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f t="shared" si="5"/>
        <v>5.9359999999999999</v>
      </c>
      <c r="AU89">
        <f t="shared" si="3"/>
        <v>3.4666666666666668</v>
      </c>
      <c r="AV89">
        <f t="shared" si="4"/>
        <v>925.68000000000006</v>
      </c>
      <c r="AW89">
        <v>75</v>
      </c>
      <c r="AX89">
        <v>435</v>
      </c>
      <c r="AZ89">
        <v>3.71</v>
      </c>
      <c r="BA89">
        <v>218</v>
      </c>
      <c r="BC89" t="s">
        <v>383</v>
      </c>
    </row>
    <row r="90" spans="3:55" x14ac:dyDescent="0.45">
      <c r="C90">
        <v>64.5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25.4</v>
      </c>
      <c r="L90">
        <v>0</v>
      </c>
      <c r="M90">
        <v>10.1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f t="shared" si="5"/>
        <v>7.1120000000000001</v>
      </c>
      <c r="AU90">
        <f t="shared" si="3"/>
        <v>3.3666666666666667</v>
      </c>
      <c r="AV90">
        <f t="shared" si="4"/>
        <v>924.42</v>
      </c>
      <c r="AW90">
        <v>62</v>
      </c>
      <c r="AX90">
        <v>611</v>
      </c>
      <c r="AZ90">
        <v>5.3</v>
      </c>
      <c r="BA90">
        <v>220</v>
      </c>
      <c r="BC90" t="s">
        <v>383</v>
      </c>
    </row>
    <row r="91" spans="3:55" x14ac:dyDescent="0.45">
      <c r="C91">
        <v>59.4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30.8</v>
      </c>
      <c r="L91">
        <v>0</v>
      </c>
      <c r="M91">
        <v>9.8000000000000007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f t="shared" si="5"/>
        <v>8.6240000000000006</v>
      </c>
      <c r="AU91">
        <f t="shared" si="3"/>
        <v>3.2666666666666671</v>
      </c>
      <c r="AV91">
        <f t="shared" si="4"/>
        <v>923.16</v>
      </c>
      <c r="AW91">
        <v>61</v>
      </c>
      <c r="AX91">
        <v>772</v>
      </c>
      <c r="AZ91">
        <v>9.4600000000000009</v>
      </c>
      <c r="BA91">
        <v>226</v>
      </c>
      <c r="BC91" t="s">
        <v>393</v>
      </c>
    </row>
    <row r="92" spans="3:55" x14ac:dyDescent="0.45">
      <c r="C92">
        <v>63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33</v>
      </c>
      <c r="L92">
        <v>0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87</v>
      </c>
      <c r="Y92">
        <v>0</v>
      </c>
      <c r="Z92">
        <v>1</v>
      </c>
      <c r="AA92">
        <v>0</v>
      </c>
      <c r="AB92">
        <v>0</v>
      </c>
      <c r="AC92">
        <v>800</v>
      </c>
      <c r="AD92">
        <v>1</v>
      </c>
      <c r="AE92">
        <v>1</v>
      </c>
      <c r="AF92">
        <v>0</v>
      </c>
      <c r="AG92">
        <v>0</v>
      </c>
      <c r="AH92">
        <v>400</v>
      </c>
      <c r="AI92">
        <v>0.33333333333333331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f t="shared" si="5"/>
        <v>9.24</v>
      </c>
      <c r="AU92">
        <f t="shared" si="3"/>
        <v>1.3333333333333333</v>
      </c>
      <c r="AV92">
        <f t="shared" si="4"/>
        <v>898.8</v>
      </c>
      <c r="AW92">
        <v>36</v>
      </c>
      <c r="AX92">
        <v>763</v>
      </c>
      <c r="AY92">
        <v>853</v>
      </c>
      <c r="BC92" t="s">
        <v>394</v>
      </c>
    </row>
    <row r="93" spans="3:55" x14ac:dyDescent="0.45">
      <c r="C93">
        <v>61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35</v>
      </c>
      <c r="L93">
        <v>0</v>
      </c>
      <c r="M93">
        <v>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f t="shared" si="5"/>
        <v>9.8000000000000007</v>
      </c>
      <c r="AU93">
        <f t="shared" si="3"/>
        <v>1.3333333333333333</v>
      </c>
      <c r="AV93">
        <f t="shared" si="4"/>
        <v>898.8</v>
      </c>
      <c r="AW93">
        <v>44</v>
      </c>
      <c r="BC93" t="s">
        <v>395</v>
      </c>
    </row>
    <row r="94" spans="3:55" x14ac:dyDescent="0.45">
      <c r="C94">
        <v>57.1</v>
      </c>
      <c r="D94">
        <v>0</v>
      </c>
      <c r="E94">
        <v>0</v>
      </c>
      <c r="F94">
        <v>0</v>
      </c>
      <c r="G94">
        <v>0</v>
      </c>
      <c r="H94">
        <v>7.9</v>
      </c>
      <c r="I94">
        <v>0</v>
      </c>
      <c r="J94">
        <v>0</v>
      </c>
      <c r="K94">
        <v>35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1150</v>
      </c>
      <c r="AD94">
        <v>24</v>
      </c>
      <c r="AE94">
        <v>0</v>
      </c>
      <c r="AF94">
        <v>0</v>
      </c>
      <c r="AG94">
        <v>0</v>
      </c>
      <c r="AH94">
        <v>950</v>
      </c>
      <c r="AI94">
        <v>2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f t="shared" si="5"/>
        <v>32.71</v>
      </c>
      <c r="AU94">
        <f t="shared" si="3"/>
        <v>0</v>
      </c>
      <c r="AV94">
        <f t="shared" si="4"/>
        <v>760.34</v>
      </c>
      <c r="AW94">
        <v>43</v>
      </c>
      <c r="BC94" t="s">
        <v>394</v>
      </c>
    </row>
    <row r="95" spans="3:55" x14ac:dyDescent="0.45">
      <c r="C95">
        <v>61</v>
      </c>
      <c r="D95">
        <v>0</v>
      </c>
      <c r="E95">
        <v>0</v>
      </c>
      <c r="F95">
        <v>0</v>
      </c>
      <c r="G95">
        <v>0</v>
      </c>
      <c r="H95">
        <v>4</v>
      </c>
      <c r="I95">
        <v>0</v>
      </c>
      <c r="J95">
        <v>0</v>
      </c>
      <c r="K95">
        <v>35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1150</v>
      </c>
      <c r="AD95">
        <v>24</v>
      </c>
      <c r="AE95">
        <v>0</v>
      </c>
      <c r="AF95">
        <v>0</v>
      </c>
      <c r="AG95">
        <v>0</v>
      </c>
      <c r="AH95">
        <v>950</v>
      </c>
      <c r="AI95">
        <v>2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f t="shared" si="5"/>
        <v>21.4</v>
      </c>
      <c r="AU95">
        <f t="shared" si="3"/>
        <v>0</v>
      </c>
      <c r="AV95">
        <f t="shared" si="4"/>
        <v>820.4</v>
      </c>
      <c r="AW95">
        <v>36</v>
      </c>
      <c r="BC95" t="s">
        <v>396</v>
      </c>
    </row>
    <row r="96" spans="3:55" x14ac:dyDescent="0.45">
      <c r="C96">
        <v>64.02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25.16</v>
      </c>
      <c r="L96">
        <v>0</v>
      </c>
      <c r="M96">
        <v>10.82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f t="shared" si="5"/>
        <v>7.0448000000000004</v>
      </c>
      <c r="AU96">
        <f t="shared" si="3"/>
        <v>3.6066666666666669</v>
      </c>
      <c r="AV96">
        <f t="shared" si="4"/>
        <v>927.44399999999996</v>
      </c>
      <c r="AW96">
        <v>62</v>
      </c>
      <c r="AX96">
        <v>611</v>
      </c>
      <c r="AZ96">
        <v>5.3</v>
      </c>
      <c r="BC96" t="s">
        <v>393</v>
      </c>
    </row>
    <row r="97" spans="3:55" x14ac:dyDescent="0.45">
      <c r="C97">
        <v>58.98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30.51</v>
      </c>
      <c r="L97">
        <v>0</v>
      </c>
      <c r="M97">
        <v>10.51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f t="shared" si="5"/>
        <v>8.5428000000000015</v>
      </c>
      <c r="AU97">
        <f t="shared" si="3"/>
        <v>3.5033333333333334</v>
      </c>
      <c r="AV97">
        <f t="shared" si="4"/>
        <v>926.14200000000005</v>
      </c>
      <c r="AW97">
        <v>61</v>
      </c>
      <c r="AX97">
        <v>435</v>
      </c>
      <c r="AZ97">
        <v>3.71</v>
      </c>
      <c r="BC97" t="s">
        <v>393</v>
      </c>
    </row>
    <row r="98" spans="3:55" x14ac:dyDescent="0.45">
      <c r="C98">
        <v>69.19</v>
      </c>
      <c r="D98">
        <v>0</v>
      </c>
      <c r="E98">
        <v>0</v>
      </c>
      <c r="F98">
        <v>0</v>
      </c>
      <c r="G98">
        <v>0</v>
      </c>
      <c r="H98">
        <v>2.16</v>
      </c>
      <c r="I98">
        <v>0</v>
      </c>
      <c r="J98">
        <v>0</v>
      </c>
      <c r="K98">
        <v>26.75</v>
      </c>
      <c r="L98">
        <v>0</v>
      </c>
      <c r="M98">
        <v>1.9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84</v>
      </c>
      <c r="Y98">
        <v>0</v>
      </c>
      <c r="Z98">
        <v>1</v>
      </c>
      <c r="AA98">
        <v>0</v>
      </c>
      <c r="AB98">
        <v>0</v>
      </c>
      <c r="AC98">
        <v>1000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f t="shared" si="5"/>
        <v>13.754000000000001</v>
      </c>
      <c r="AU98">
        <f t="shared" si="3"/>
        <v>0.6333333333333333</v>
      </c>
      <c r="AV98">
        <f t="shared" si="4"/>
        <v>856.71600000000001</v>
      </c>
      <c r="AW98">
        <v>64</v>
      </c>
      <c r="BC98" t="s">
        <v>389</v>
      </c>
    </row>
    <row r="99" spans="3:55" x14ac:dyDescent="0.45">
      <c r="C99">
        <v>66.22999999999999</v>
      </c>
      <c r="D99">
        <v>0</v>
      </c>
      <c r="E99">
        <v>0</v>
      </c>
      <c r="F99">
        <v>0</v>
      </c>
      <c r="G99">
        <v>0</v>
      </c>
      <c r="H99">
        <v>1.68</v>
      </c>
      <c r="I99">
        <v>0</v>
      </c>
      <c r="J99">
        <v>0</v>
      </c>
      <c r="K99">
        <v>27.61</v>
      </c>
      <c r="L99">
        <v>0</v>
      </c>
      <c r="M99">
        <v>4.4800000000000004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84</v>
      </c>
      <c r="Y99">
        <v>0</v>
      </c>
      <c r="Z99">
        <v>1</v>
      </c>
      <c r="AA99">
        <v>0</v>
      </c>
      <c r="AB99">
        <v>0</v>
      </c>
      <c r="AC99">
        <v>1000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f t="shared" si="5"/>
        <v>12.6028</v>
      </c>
      <c r="AU99">
        <f t="shared" si="3"/>
        <v>1.4933333333333334</v>
      </c>
      <c r="AV99">
        <f t="shared" si="4"/>
        <v>874.94400000000007</v>
      </c>
      <c r="AW99">
        <v>58</v>
      </c>
      <c r="BC99" t="s">
        <v>389</v>
      </c>
    </row>
    <row r="100" spans="3:55" x14ac:dyDescent="0.45">
      <c r="C100">
        <v>65.62</v>
      </c>
      <c r="D100">
        <v>0</v>
      </c>
      <c r="E100">
        <v>0</v>
      </c>
      <c r="F100">
        <v>0</v>
      </c>
      <c r="G100">
        <v>0</v>
      </c>
      <c r="H100">
        <v>2.09</v>
      </c>
      <c r="I100">
        <v>0</v>
      </c>
      <c r="J100">
        <v>0</v>
      </c>
      <c r="K100">
        <v>26.41</v>
      </c>
      <c r="L100">
        <v>0</v>
      </c>
      <c r="M100">
        <v>5.88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84</v>
      </c>
      <c r="Y100">
        <v>0</v>
      </c>
      <c r="Z100">
        <v>1</v>
      </c>
      <c r="AA100">
        <v>0</v>
      </c>
      <c r="AB100">
        <v>0</v>
      </c>
      <c r="AC100">
        <v>1000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f t="shared" si="5"/>
        <v>13.4558</v>
      </c>
      <c r="AU100">
        <f t="shared" si="3"/>
        <v>1.96</v>
      </c>
      <c r="AV100">
        <f t="shared" si="4"/>
        <v>874.51</v>
      </c>
      <c r="AW100">
        <v>60</v>
      </c>
      <c r="BC100" t="s">
        <v>389</v>
      </c>
    </row>
    <row r="101" spans="3:55" x14ac:dyDescent="0.45">
      <c r="C101">
        <v>63.82</v>
      </c>
      <c r="D101">
        <v>0</v>
      </c>
      <c r="E101">
        <v>0</v>
      </c>
      <c r="F101">
        <v>0</v>
      </c>
      <c r="G101">
        <v>0</v>
      </c>
      <c r="H101">
        <v>2.17</v>
      </c>
      <c r="I101">
        <v>0</v>
      </c>
      <c r="J101">
        <v>0</v>
      </c>
      <c r="K101">
        <v>25.72</v>
      </c>
      <c r="L101">
        <v>0</v>
      </c>
      <c r="M101">
        <v>8.2899999999999991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84</v>
      </c>
      <c r="Y101">
        <v>0</v>
      </c>
      <c r="Z101">
        <v>1</v>
      </c>
      <c r="AA101">
        <v>0</v>
      </c>
      <c r="AB101">
        <v>0</v>
      </c>
      <c r="AC101">
        <v>1000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f t="shared" si="5"/>
        <v>13.494599999999998</v>
      </c>
      <c r="AU101">
        <f t="shared" si="3"/>
        <v>2.7633333333333332</v>
      </c>
      <c r="AV101">
        <f t="shared" si="4"/>
        <v>883.4</v>
      </c>
      <c r="AW101">
        <v>63</v>
      </c>
      <c r="BC101" t="s">
        <v>389</v>
      </c>
    </row>
    <row r="102" spans="3:55" x14ac:dyDescent="0.45">
      <c r="C102">
        <v>69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25</v>
      </c>
      <c r="L102">
        <v>2</v>
      </c>
      <c r="M102">
        <v>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f t="shared" si="5"/>
        <v>9</v>
      </c>
      <c r="AU102">
        <f t="shared" si="3"/>
        <v>1.3333333333333333</v>
      </c>
      <c r="AV102">
        <f t="shared" si="4"/>
        <v>879.8</v>
      </c>
      <c r="AW102">
        <v>65</v>
      </c>
      <c r="BC102" t="s">
        <v>397</v>
      </c>
    </row>
    <row r="103" spans="3:55" x14ac:dyDescent="0.45">
      <c r="C103">
        <v>73.8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4.9000000000000004</v>
      </c>
      <c r="K103">
        <v>9.9</v>
      </c>
      <c r="L103">
        <v>5.0999999999999996</v>
      </c>
      <c r="M103">
        <v>6.3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f t="shared" si="5"/>
        <v>7.8719999999999999</v>
      </c>
      <c r="AU103">
        <f t="shared" si="3"/>
        <v>2.916666666666667</v>
      </c>
      <c r="AV103">
        <f t="shared" si="4"/>
        <v>826.2</v>
      </c>
      <c r="AW103">
        <v>59</v>
      </c>
      <c r="AX103">
        <v>275</v>
      </c>
      <c r="AY103">
        <v>762</v>
      </c>
      <c r="AZ103">
        <v>13.8</v>
      </c>
      <c r="BC103" t="s">
        <v>398</v>
      </c>
    </row>
    <row r="104" spans="3:55" x14ac:dyDescent="0.45">
      <c r="C104">
        <v>68.8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4.9000000000000004</v>
      </c>
      <c r="K104">
        <v>9.9</v>
      </c>
      <c r="L104">
        <v>5.0999999999999996</v>
      </c>
      <c r="M104">
        <v>6.3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f t="shared" si="5"/>
        <v>7.8719999999999999</v>
      </c>
      <c r="AU104">
        <f t="shared" si="3"/>
        <v>2.916666666666667</v>
      </c>
      <c r="AV104">
        <f t="shared" si="4"/>
        <v>826.2</v>
      </c>
      <c r="AW104">
        <v>59</v>
      </c>
      <c r="BC104" t="s">
        <v>395</v>
      </c>
    </row>
    <row r="105" spans="3:55" x14ac:dyDescent="0.45">
      <c r="C105">
        <v>68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</v>
      </c>
      <c r="K105">
        <v>15.2</v>
      </c>
      <c r="L105">
        <v>5.3</v>
      </c>
      <c r="M105">
        <v>6.5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f t="shared" si="5"/>
        <v>9.5560000000000009</v>
      </c>
      <c r="AU105">
        <f t="shared" si="3"/>
        <v>3</v>
      </c>
      <c r="AV105">
        <f t="shared" si="4"/>
        <v>824.44999999999993</v>
      </c>
      <c r="AW105">
        <v>55</v>
      </c>
      <c r="AX105">
        <v>533</v>
      </c>
      <c r="AY105">
        <v>692</v>
      </c>
      <c r="AZ105">
        <v>14.2</v>
      </c>
      <c r="BC105" t="s">
        <v>399</v>
      </c>
    </row>
    <row r="106" spans="3:55" x14ac:dyDescent="0.45">
      <c r="C106">
        <v>68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15.2</v>
      </c>
      <c r="L106">
        <v>5.3</v>
      </c>
      <c r="M106">
        <v>6.5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f t="shared" si="5"/>
        <v>9.5560000000000009</v>
      </c>
      <c r="AU106">
        <f t="shared" si="3"/>
        <v>3</v>
      </c>
      <c r="AV106">
        <f t="shared" si="4"/>
        <v>824.44999999999993</v>
      </c>
      <c r="AW106">
        <v>55</v>
      </c>
      <c r="BC106" t="s">
        <v>395</v>
      </c>
    </row>
    <row r="107" spans="3:55" x14ac:dyDescent="0.45">
      <c r="C107">
        <v>62.25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0.45</v>
      </c>
      <c r="K107">
        <v>21.19</v>
      </c>
      <c r="L107">
        <v>0</v>
      </c>
      <c r="M107">
        <v>9.4700000000000006</v>
      </c>
      <c r="N107">
        <v>0</v>
      </c>
      <c r="O107">
        <v>6.64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1200</v>
      </c>
      <c r="AD107">
        <v>30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f t="shared" si="5"/>
        <v>7.394000000000001</v>
      </c>
      <c r="AU107">
        <f t="shared" si="3"/>
        <v>3.2316666666666669</v>
      </c>
      <c r="AV107">
        <f t="shared" si="4"/>
        <v>918.66899999999998</v>
      </c>
      <c r="AW107">
        <v>80.58</v>
      </c>
      <c r="BC107" t="s">
        <v>400</v>
      </c>
    </row>
    <row r="108" spans="3:55" x14ac:dyDescent="0.45">
      <c r="C108">
        <v>65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11.4</v>
      </c>
      <c r="K108">
        <v>11.6</v>
      </c>
      <c r="L108">
        <v>0</v>
      </c>
      <c r="M108">
        <v>12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1200</v>
      </c>
      <c r="AD108">
        <v>24</v>
      </c>
      <c r="AE108">
        <v>1</v>
      </c>
      <c r="AF108">
        <v>0</v>
      </c>
      <c r="AG108">
        <v>0</v>
      </c>
      <c r="AH108">
        <v>900</v>
      </c>
      <c r="AI108">
        <v>0.16666666666666666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f t="shared" si="5"/>
        <v>3.2480000000000002</v>
      </c>
      <c r="AU108">
        <f t="shared" si="3"/>
        <v>5.9</v>
      </c>
      <c r="AV108">
        <f t="shared" si="4"/>
        <v>853.74</v>
      </c>
      <c r="AW108">
        <v>42.4</v>
      </c>
      <c r="BC108" t="s">
        <v>401</v>
      </c>
    </row>
    <row r="109" spans="3:55" x14ac:dyDescent="0.45">
      <c r="C109">
        <v>62.5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11.8</v>
      </c>
      <c r="K109">
        <v>13.4</v>
      </c>
      <c r="L109">
        <v>0</v>
      </c>
      <c r="M109">
        <v>12.03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1200</v>
      </c>
      <c r="AD109">
        <v>24</v>
      </c>
      <c r="AE109">
        <v>1</v>
      </c>
      <c r="AF109">
        <v>0</v>
      </c>
      <c r="AG109">
        <v>0</v>
      </c>
      <c r="AH109">
        <v>900</v>
      </c>
      <c r="AI109">
        <v>0.16666666666666666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f t="shared" si="5"/>
        <v>3.7520000000000007</v>
      </c>
      <c r="AU109">
        <f t="shared" si="3"/>
        <v>5.9766666666666666</v>
      </c>
      <c r="AV109">
        <f t="shared" si="4"/>
        <v>851.10599999999999</v>
      </c>
      <c r="AW109">
        <v>51.6</v>
      </c>
      <c r="BC109" t="s">
        <v>401</v>
      </c>
    </row>
    <row r="110" spans="3:55" x14ac:dyDescent="0.45">
      <c r="C110">
        <v>61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11.9</v>
      </c>
      <c r="K110">
        <v>15.5</v>
      </c>
      <c r="L110">
        <v>0</v>
      </c>
      <c r="M110">
        <v>11.6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1200</v>
      </c>
      <c r="AD110">
        <v>24</v>
      </c>
      <c r="AE110">
        <v>1</v>
      </c>
      <c r="AF110">
        <v>0</v>
      </c>
      <c r="AG110">
        <v>0</v>
      </c>
      <c r="AH110">
        <v>900</v>
      </c>
      <c r="AI110">
        <v>0.16666666666666666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f t="shared" si="5"/>
        <v>4.3400000000000007</v>
      </c>
      <c r="AU110">
        <f t="shared" si="3"/>
        <v>5.85</v>
      </c>
      <c r="AV110">
        <f t="shared" si="4"/>
        <v>848.61</v>
      </c>
      <c r="AW110">
        <v>71.3</v>
      </c>
      <c r="BC110" t="s">
        <v>401</v>
      </c>
    </row>
    <row r="111" spans="3:55" x14ac:dyDescent="0.45">
      <c r="C111">
        <v>62.9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4.8</v>
      </c>
      <c r="K111">
        <v>17.7</v>
      </c>
      <c r="L111">
        <v>0</v>
      </c>
      <c r="M111">
        <v>14.6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1000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1200</v>
      </c>
      <c r="AD111">
        <v>24</v>
      </c>
      <c r="AE111">
        <v>1</v>
      </c>
      <c r="AF111">
        <v>0</v>
      </c>
      <c r="AG111">
        <v>0</v>
      </c>
      <c r="AH111">
        <v>900</v>
      </c>
      <c r="AI111">
        <v>0.16666666666666666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f t="shared" si="5"/>
        <v>4.9560000000000004</v>
      </c>
      <c r="AU111">
        <f t="shared" si="3"/>
        <v>5.6666666666666661</v>
      </c>
      <c r="AV111">
        <f t="shared" si="4"/>
        <v>910.2</v>
      </c>
      <c r="AW111">
        <v>52.5</v>
      </c>
      <c r="BC111" t="s">
        <v>402</v>
      </c>
    </row>
    <row r="112" spans="3:55" x14ac:dyDescent="0.45">
      <c r="C112">
        <v>64.099999999999994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24</v>
      </c>
      <c r="L112">
        <v>0</v>
      </c>
      <c r="M112">
        <v>7.9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f t="shared" si="5"/>
        <v>6.7200000000000006</v>
      </c>
      <c r="AU112">
        <f t="shared" si="3"/>
        <v>3.3</v>
      </c>
      <c r="AV112">
        <f t="shared" si="4"/>
        <v>887.57999999999993</v>
      </c>
      <c r="AW112">
        <v>33</v>
      </c>
      <c r="BC112" t="s">
        <v>395</v>
      </c>
    </row>
    <row r="113" spans="3:55" x14ac:dyDescent="0.45">
      <c r="C113">
        <v>64.012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3.92</v>
      </c>
      <c r="K113">
        <v>24.1</v>
      </c>
      <c r="L113">
        <v>0</v>
      </c>
      <c r="M113">
        <v>7.85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8.0000000000000002E-3</v>
      </c>
      <c r="T113">
        <v>0.11</v>
      </c>
      <c r="U113">
        <v>0</v>
      </c>
      <c r="V113">
        <v>1</v>
      </c>
      <c r="W113">
        <v>800</v>
      </c>
      <c r="X113">
        <v>50</v>
      </c>
      <c r="Y113">
        <v>0</v>
      </c>
      <c r="Z113">
        <v>1</v>
      </c>
      <c r="AA113">
        <v>1</v>
      </c>
      <c r="AB113">
        <v>0</v>
      </c>
      <c r="AC113">
        <v>850</v>
      </c>
      <c r="AD113">
        <v>0</v>
      </c>
      <c r="AE113">
        <v>1</v>
      </c>
      <c r="AF113">
        <v>1</v>
      </c>
      <c r="AG113">
        <v>0</v>
      </c>
      <c r="AH113">
        <v>800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f t="shared" si="5"/>
        <v>6.7480000000000011</v>
      </c>
      <c r="AU113">
        <f t="shared" si="3"/>
        <v>3.2818000000000001</v>
      </c>
      <c r="AV113">
        <f t="shared" si="4"/>
        <v>901.452</v>
      </c>
      <c r="AW113">
        <v>42</v>
      </c>
      <c r="AY113">
        <v>850</v>
      </c>
      <c r="BC113" t="s">
        <v>403</v>
      </c>
    </row>
    <row r="114" spans="3:55" x14ac:dyDescent="0.45">
      <c r="C114">
        <v>64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</v>
      </c>
      <c r="K114">
        <v>24</v>
      </c>
      <c r="L114">
        <v>0</v>
      </c>
      <c r="M114">
        <v>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1000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f t="shared" si="5"/>
        <v>6.7200000000000006</v>
      </c>
      <c r="AU114">
        <f t="shared" si="3"/>
        <v>3.333333333333333</v>
      </c>
      <c r="AV114">
        <f t="shared" si="4"/>
        <v>888</v>
      </c>
      <c r="AW114">
        <v>56.9</v>
      </c>
      <c r="AY114">
        <v>795</v>
      </c>
      <c r="BC114" t="s">
        <v>404</v>
      </c>
    </row>
    <row r="115" spans="3:55" x14ac:dyDescent="0.45">
      <c r="C115">
        <v>64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24</v>
      </c>
      <c r="L115">
        <v>0</v>
      </c>
      <c r="M115">
        <v>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1000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f t="shared" si="5"/>
        <v>6.7200000000000006</v>
      </c>
      <c r="AU115">
        <f t="shared" si="3"/>
        <v>3.333333333333333</v>
      </c>
      <c r="AV115">
        <f t="shared" si="4"/>
        <v>888</v>
      </c>
      <c r="AW115">
        <v>58.3</v>
      </c>
      <c r="AY115">
        <v>760</v>
      </c>
      <c r="BC115" t="s">
        <v>404</v>
      </c>
    </row>
    <row r="116" spans="3:55" x14ac:dyDescent="0.45">
      <c r="C116">
        <v>64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24</v>
      </c>
      <c r="L116">
        <v>0</v>
      </c>
      <c r="M116">
        <v>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1000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f t="shared" si="5"/>
        <v>6.7200000000000006</v>
      </c>
      <c r="AU116">
        <f t="shared" si="3"/>
        <v>3.333333333333333</v>
      </c>
      <c r="AV116">
        <f t="shared" si="4"/>
        <v>888</v>
      </c>
      <c r="AW116">
        <v>59.2</v>
      </c>
      <c r="AY116">
        <v>755</v>
      </c>
      <c r="BC116" t="s">
        <v>404</v>
      </c>
    </row>
    <row r="117" spans="3:55" x14ac:dyDescent="0.45">
      <c r="C117">
        <v>64.099999999999994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24</v>
      </c>
      <c r="L117">
        <v>0</v>
      </c>
      <c r="M117">
        <v>7.9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800</v>
      </c>
      <c r="X117">
        <v>50</v>
      </c>
      <c r="Y117">
        <v>0</v>
      </c>
      <c r="Z117">
        <v>1</v>
      </c>
      <c r="AA117">
        <v>1</v>
      </c>
      <c r="AB117">
        <v>0</v>
      </c>
      <c r="AC117">
        <v>850</v>
      </c>
      <c r="AD117">
        <v>0</v>
      </c>
      <c r="AE117">
        <v>1</v>
      </c>
      <c r="AF117">
        <v>1</v>
      </c>
      <c r="AG117">
        <v>0</v>
      </c>
      <c r="AH117">
        <v>800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f t="shared" si="5"/>
        <v>6.7200000000000006</v>
      </c>
      <c r="AU117">
        <f t="shared" si="3"/>
        <v>3.3</v>
      </c>
      <c r="AV117">
        <f t="shared" si="4"/>
        <v>887.57999999999993</v>
      </c>
      <c r="AW117">
        <v>42</v>
      </c>
      <c r="AY117">
        <v>850</v>
      </c>
      <c r="BC117" t="s">
        <v>403</v>
      </c>
    </row>
    <row r="118" spans="3:55" x14ac:dyDescent="0.45">
      <c r="C118">
        <v>71.3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4.4000000000000004</v>
      </c>
      <c r="K118">
        <v>13.5</v>
      </c>
      <c r="L118">
        <v>2.8</v>
      </c>
      <c r="M118">
        <v>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f t="shared" si="5"/>
        <v>6.58</v>
      </c>
      <c r="AU118">
        <f t="shared" si="3"/>
        <v>3.4</v>
      </c>
      <c r="AV118">
        <f t="shared" si="4"/>
        <v>858.64</v>
      </c>
      <c r="AW118">
        <v>46</v>
      </c>
      <c r="BC118" t="s">
        <v>373</v>
      </c>
    </row>
    <row r="119" spans="3:55" x14ac:dyDescent="0.45">
      <c r="C119">
        <v>64.3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5.7</v>
      </c>
      <c r="K119">
        <v>14.6</v>
      </c>
      <c r="L119">
        <v>0</v>
      </c>
      <c r="M119">
        <v>9.9</v>
      </c>
      <c r="N119">
        <v>0</v>
      </c>
      <c r="O119">
        <v>5.5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f t="shared" si="5"/>
        <v>5.298</v>
      </c>
      <c r="AU119">
        <f t="shared" si="3"/>
        <v>4.25</v>
      </c>
      <c r="AV119">
        <f t="shared" si="4"/>
        <v>884.25</v>
      </c>
      <c r="AW119">
        <v>52.2</v>
      </c>
      <c r="BC119" t="s">
        <v>405</v>
      </c>
    </row>
    <row r="120" spans="3:55" x14ac:dyDescent="0.45">
      <c r="C120">
        <v>50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25</v>
      </c>
      <c r="L120">
        <v>0</v>
      </c>
      <c r="M120">
        <v>0</v>
      </c>
      <c r="N120">
        <v>0</v>
      </c>
      <c r="O120">
        <v>25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80</v>
      </c>
      <c r="Y120">
        <v>0</v>
      </c>
      <c r="Z120">
        <v>1</v>
      </c>
      <c r="AA120">
        <v>0</v>
      </c>
      <c r="AB120">
        <v>0</v>
      </c>
      <c r="AC120">
        <v>950</v>
      </c>
      <c r="AD120">
        <v>20</v>
      </c>
      <c r="AE120">
        <v>1</v>
      </c>
      <c r="AF120">
        <v>0</v>
      </c>
      <c r="AG120">
        <v>0</v>
      </c>
      <c r="AH120">
        <v>850</v>
      </c>
      <c r="AI120">
        <v>0.5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f t="shared" si="5"/>
        <v>12.5</v>
      </c>
      <c r="AU120">
        <f t="shared" si="3"/>
        <v>0</v>
      </c>
      <c r="AV120">
        <f t="shared" si="4"/>
        <v>882</v>
      </c>
      <c r="AW120">
        <v>55</v>
      </c>
      <c r="AY120">
        <v>530</v>
      </c>
      <c r="AZ120">
        <v>20</v>
      </c>
      <c r="BA120">
        <v>145</v>
      </c>
      <c r="BC120" t="s">
        <v>406</v>
      </c>
    </row>
    <row r="121" spans="3:55" x14ac:dyDescent="0.45">
      <c r="C121">
        <v>67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16</v>
      </c>
      <c r="L121">
        <v>4</v>
      </c>
      <c r="M121">
        <v>0</v>
      </c>
      <c r="N121">
        <v>0</v>
      </c>
      <c r="O121">
        <v>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75</v>
      </c>
      <c r="Y121">
        <v>0</v>
      </c>
      <c r="Z121">
        <v>1</v>
      </c>
      <c r="AA121">
        <v>0</v>
      </c>
      <c r="AB121">
        <v>0</v>
      </c>
      <c r="AC121">
        <v>1000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f t="shared" si="5"/>
        <v>11.34</v>
      </c>
      <c r="AU121">
        <f t="shared" si="3"/>
        <v>0</v>
      </c>
      <c r="AV121">
        <f t="shared" si="4"/>
        <v>844</v>
      </c>
      <c r="AW121">
        <v>43.5</v>
      </c>
      <c r="BC121" t="s">
        <v>407</v>
      </c>
    </row>
    <row r="122" spans="3:55" x14ac:dyDescent="0.45">
      <c r="C122">
        <v>54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29</v>
      </c>
      <c r="L122">
        <v>4</v>
      </c>
      <c r="M122">
        <v>0</v>
      </c>
      <c r="N122">
        <v>0</v>
      </c>
      <c r="O122">
        <v>13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f t="shared" si="5"/>
        <v>14.98</v>
      </c>
      <c r="AU122">
        <f t="shared" si="3"/>
        <v>0</v>
      </c>
      <c r="AV122">
        <f t="shared" si="4"/>
        <v>844</v>
      </c>
      <c r="AW122">
        <v>65</v>
      </c>
      <c r="BC122" t="s">
        <v>408</v>
      </c>
    </row>
    <row r="123" spans="3:55" x14ac:dyDescent="0.45">
      <c r="C123">
        <v>67.3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16.600000000000001</v>
      </c>
      <c r="L123">
        <v>4.9000000000000004</v>
      </c>
      <c r="M123">
        <v>2</v>
      </c>
      <c r="N123">
        <v>0</v>
      </c>
      <c r="O123">
        <v>9.1999999999999993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f t="shared" si="5"/>
        <v>11.572000000000003</v>
      </c>
      <c r="AU123">
        <f t="shared" si="3"/>
        <v>0.66666666666666663</v>
      </c>
      <c r="AV123">
        <f t="shared" si="4"/>
        <v>843.85</v>
      </c>
      <c r="AW123">
        <v>73</v>
      </c>
      <c r="BC123" t="s">
        <v>383</v>
      </c>
    </row>
    <row r="124" spans="3:55" x14ac:dyDescent="0.45">
      <c r="C124">
        <v>56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29</v>
      </c>
      <c r="L124">
        <v>0</v>
      </c>
      <c r="M124">
        <v>2</v>
      </c>
      <c r="N124">
        <v>0</v>
      </c>
      <c r="O124">
        <v>13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f t="shared" si="5"/>
        <v>10.98</v>
      </c>
      <c r="AU124">
        <f t="shared" si="3"/>
        <v>0.66666666666666663</v>
      </c>
      <c r="AV124">
        <f t="shared" si="4"/>
        <v>890.4</v>
      </c>
      <c r="AW124">
        <v>47</v>
      </c>
      <c r="BC124" t="s">
        <v>407</v>
      </c>
    </row>
    <row r="125" spans="3:55" x14ac:dyDescent="0.45">
      <c r="C125">
        <v>53.4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29</v>
      </c>
      <c r="L125">
        <v>0</v>
      </c>
      <c r="M125">
        <v>4.5999999999999996</v>
      </c>
      <c r="N125">
        <v>0</v>
      </c>
      <c r="O125">
        <v>13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f t="shared" si="5"/>
        <v>10.98</v>
      </c>
      <c r="AU125">
        <f t="shared" si="3"/>
        <v>1.5333333333333332</v>
      </c>
      <c r="AV125">
        <f t="shared" si="4"/>
        <v>901.32</v>
      </c>
      <c r="AW125">
        <v>55</v>
      </c>
      <c r="AX125">
        <v>920</v>
      </c>
      <c r="BC125" t="s">
        <v>407</v>
      </c>
    </row>
    <row r="126" spans="3:55" x14ac:dyDescent="0.45">
      <c r="C126">
        <v>52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29</v>
      </c>
      <c r="L126">
        <v>0</v>
      </c>
      <c r="M126">
        <v>6</v>
      </c>
      <c r="N126">
        <v>0</v>
      </c>
      <c r="O126">
        <v>13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f t="shared" si="5"/>
        <v>10.98</v>
      </c>
      <c r="AU126">
        <f t="shared" si="3"/>
        <v>2</v>
      </c>
      <c r="AV126">
        <f t="shared" si="4"/>
        <v>907.2</v>
      </c>
      <c r="AW126">
        <v>74</v>
      </c>
      <c r="BC126" t="s">
        <v>407</v>
      </c>
    </row>
    <row r="127" spans="3:55" x14ac:dyDescent="0.45">
      <c r="C127">
        <v>60.7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4.2</v>
      </c>
      <c r="K127">
        <v>21.2</v>
      </c>
      <c r="L127">
        <v>0</v>
      </c>
      <c r="M127">
        <v>5.4</v>
      </c>
      <c r="N127">
        <v>0</v>
      </c>
      <c r="O127">
        <v>8.1999999999999993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f t="shared" si="5"/>
        <v>7.74</v>
      </c>
      <c r="AU127">
        <f t="shared" si="3"/>
        <v>2.5</v>
      </c>
      <c r="AV127">
        <f t="shared" si="4"/>
        <v>875.69999999999993</v>
      </c>
      <c r="AW127">
        <v>47</v>
      </c>
      <c r="BC127" t="s">
        <v>409</v>
      </c>
    </row>
    <row r="128" spans="3:55" x14ac:dyDescent="0.45">
      <c r="C128">
        <v>71.099999999999994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3.4</v>
      </c>
      <c r="K128">
        <v>17.399999999999999</v>
      </c>
      <c r="L128">
        <v>0</v>
      </c>
      <c r="M128">
        <v>0</v>
      </c>
      <c r="N128">
        <v>0</v>
      </c>
      <c r="O128">
        <v>8.1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f t="shared" si="5"/>
        <v>6.6539999999999999</v>
      </c>
      <c r="AU128">
        <f t="shared" si="3"/>
        <v>0.56666666666666665</v>
      </c>
      <c r="AV128">
        <f t="shared" si="4"/>
        <v>858.54</v>
      </c>
      <c r="AW128">
        <v>55.3</v>
      </c>
      <c r="BC128" t="s">
        <v>383</v>
      </c>
    </row>
    <row r="129" spans="3:55" x14ac:dyDescent="0.45">
      <c r="C129">
        <v>60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29</v>
      </c>
      <c r="L129">
        <v>0</v>
      </c>
      <c r="M129">
        <v>0</v>
      </c>
      <c r="N129">
        <v>0</v>
      </c>
      <c r="O129">
        <v>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f t="shared" si="5"/>
        <v>9.4400000000000013</v>
      </c>
      <c r="AU129">
        <f t="shared" si="3"/>
        <v>0.83333333333333337</v>
      </c>
      <c r="AV129">
        <f t="shared" si="4"/>
        <v>847.5</v>
      </c>
      <c r="AW129">
        <v>43</v>
      </c>
      <c r="BC129" t="s">
        <v>401</v>
      </c>
    </row>
    <row r="130" spans="3:55" x14ac:dyDescent="0.45">
      <c r="C130">
        <v>50.9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7.1</v>
      </c>
      <c r="K130">
        <v>29</v>
      </c>
      <c r="L130">
        <v>0</v>
      </c>
      <c r="M130">
        <v>0</v>
      </c>
      <c r="N130">
        <v>0</v>
      </c>
      <c r="O130">
        <v>13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f t="shared" si="5"/>
        <v>10.98</v>
      </c>
      <c r="AU130">
        <f t="shared" ref="AU130:AU193" si="6">D130+J130/6+M130/3+(T130+S130)/10</f>
        <v>1.1833333333333333</v>
      </c>
      <c r="AV130">
        <f t="shared" ref="AV130:AV193" si="7">882+2.1*D130-9.5*L130+4.2*M130-6.9*J130-11.8*E130-12.1*F130-15.4*H130+23.3*Q130+123*T130</f>
        <v>833.01</v>
      </c>
      <c r="AW130">
        <v>55</v>
      </c>
      <c r="BC130" t="s">
        <v>410</v>
      </c>
    </row>
    <row r="131" spans="3:55" x14ac:dyDescent="0.45">
      <c r="C131">
        <v>55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</v>
      </c>
      <c r="K131">
        <v>29</v>
      </c>
      <c r="L131">
        <v>0</v>
      </c>
      <c r="M131">
        <v>0</v>
      </c>
      <c r="N131">
        <v>0</v>
      </c>
      <c r="O131">
        <v>11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f t="shared" ref="AT131:AT194" si="8">L131+0.67*E131+0.44*P131+0.28*K131+0.22*O131+2.9*H131+1.6*F131+1.7*G131-D131</f>
        <v>10.540000000000001</v>
      </c>
      <c r="AU131">
        <f t="shared" si="6"/>
        <v>0.83333333333333337</v>
      </c>
      <c r="AV131">
        <f t="shared" si="7"/>
        <v>847.5</v>
      </c>
      <c r="AW131">
        <v>50</v>
      </c>
      <c r="BC131" t="s">
        <v>411</v>
      </c>
    </row>
    <row r="132" spans="3:55" x14ac:dyDescent="0.45">
      <c r="C132">
        <v>53.5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4.5</v>
      </c>
      <c r="K132">
        <v>29</v>
      </c>
      <c r="L132">
        <v>0</v>
      </c>
      <c r="M132">
        <v>0</v>
      </c>
      <c r="N132">
        <v>0</v>
      </c>
      <c r="O132">
        <v>13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f t="shared" si="8"/>
        <v>10.98</v>
      </c>
      <c r="AU132">
        <f t="shared" si="6"/>
        <v>0.75</v>
      </c>
      <c r="AV132">
        <f t="shared" si="7"/>
        <v>850.95</v>
      </c>
      <c r="AW132">
        <v>60</v>
      </c>
      <c r="BC132" t="s">
        <v>411</v>
      </c>
    </row>
    <row r="133" spans="3:55" x14ac:dyDescent="0.45">
      <c r="C133">
        <v>53.4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4.5999999999999996</v>
      </c>
      <c r="K133">
        <v>29</v>
      </c>
      <c r="L133">
        <v>0</v>
      </c>
      <c r="M133">
        <v>0</v>
      </c>
      <c r="N133">
        <v>0</v>
      </c>
      <c r="O133">
        <v>13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f t="shared" si="8"/>
        <v>10.98</v>
      </c>
      <c r="AU133">
        <f t="shared" si="6"/>
        <v>0.76666666666666661</v>
      </c>
      <c r="AV133">
        <f t="shared" si="7"/>
        <v>850.26</v>
      </c>
      <c r="AW133">
        <v>47.8</v>
      </c>
      <c r="BC133" t="s">
        <v>412</v>
      </c>
    </row>
    <row r="134" spans="3:55" x14ac:dyDescent="0.45">
      <c r="C134">
        <v>60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6</v>
      </c>
      <c r="K134">
        <v>35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35</v>
      </c>
      <c r="Y134">
        <v>0</v>
      </c>
      <c r="Z134">
        <v>1</v>
      </c>
      <c r="AA134">
        <v>0</v>
      </c>
      <c r="AB134">
        <v>0</v>
      </c>
      <c r="AC134">
        <v>900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f t="shared" si="8"/>
        <v>10.24</v>
      </c>
      <c r="AU134">
        <f t="shared" si="6"/>
        <v>1</v>
      </c>
      <c r="AV134">
        <f t="shared" si="7"/>
        <v>840.6</v>
      </c>
      <c r="AW134">
        <v>47.63</v>
      </c>
      <c r="AY134">
        <v>577</v>
      </c>
      <c r="BC134" t="s">
        <v>413</v>
      </c>
    </row>
    <row r="135" spans="3:55" x14ac:dyDescent="0.45">
      <c r="C135">
        <v>55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</v>
      </c>
      <c r="K135">
        <v>40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90</v>
      </c>
      <c r="Y135">
        <v>0</v>
      </c>
      <c r="Z135">
        <v>1</v>
      </c>
      <c r="AA135">
        <v>0</v>
      </c>
      <c r="AB135">
        <v>0</v>
      </c>
      <c r="AC135">
        <v>650</v>
      </c>
      <c r="AD135">
        <v>0.16666666666666666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f t="shared" si="8"/>
        <v>11.64</v>
      </c>
      <c r="AU135">
        <f t="shared" si="6"/>
        <v>0.5</v>
      </c>
      <c r="AV135">
        <f t="shared" si="7"/>
        <v>861.3</v>
      </c>
      <c r="AW135">
        <v>57.8</v>
      </c>
      <c r="AY135">
        <v>589</v>
      </c>
      <c r="AZ135">
        <v>17.8</v>
      </c>
      <c r="BC135" t="s">
        <v>414</v>
      </c>
    </row>
    <row r="136" spans="3:55" x14ac:dyDescent="0.45">
      <c r="C136">
        <v>52.710000000000008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4.8099999999999996</v>
      </c>
      <c r="K136">
        <v>22.28</v>
      </c>
      <c r="L136">
        <v>4.7699999999999996</v>
      </c>
      <c r="M136">
        <v>0</v>
      </c>
      <c r="N136">
        <v>0</v>
      </c>
      <c r="O136">
        <v>15.43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1200</v>
      </c>
      <c r="AD136">
        <v>30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f t="shared" si="8"/>
        <v>14.403000000000002</v>
      </c>
      <c r="AU136">
        <f t="shared" si="6"/>
        <v>0.80166666666666664</v>
      </c>
      <c r="AV136">
        <f t="shared" si="7"/>
        <v>803.49599999999998</v>
      </c>
      <c r="AW136">
        <v>87.09</v>
      </c>
      <c r="BC136" t="s">
        <v>415</v>
      </c>
    </row>
    <row r="137" spans="3:55" x14ac:dyDescent="0.45">
      <c r="C137">
        <v>60.430000000000007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11.66</v>
      </c>
      <c r="K137">
        <v>10.67</v>
      </c>
      <c r="L137">
        <v>0</v>
      </c>
      <c r="M137">
        <v>4.41</v>
      </c>
      <c r="N137">
        <v>0</v>
      </c>
      <c r="O137">
        <v>12.83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1200</v>
      </c>
      <c r="AD137">
        <v>30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f t="shared" si="8"/>
        <v>5.8102</v>
      </c>
      <c r="AU137">
        <f t="shared" si="6"/>
        <v>3.4133333333333331</v>
      </c>
      <c r="AV137">
        <f t="shared" si="7"/>
        <v>820.06799999999998</v>
      </c>
      <c r="AW137">
        <v>69.91</v>
      </c>
      <c r="BC137" t="s">
        <v>415</v>
      </c>
    </row>
    <row r="138" spans="3:55" x14ac:dyDescent="0.45">
      <c r="C138">
        <v>74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13</v>
      </c>
      <c r="K138">
        <v>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f t="shared" si="8"/>
        <v>3.6400000000000006</v>
      </c>
      <c r="AU138">
        <f t="shared" si="6"/>
        <v>2.1666666666666665</v>
      </c>
      <c r="AV138">
        <f t="shared" si="7"/>
        <v>792.3</v>
      </c>
      <c r="AW138">
        <v>77</v>
      </c>
      <c r="BC138" t="s">
        <v>410</v>
      </c>
    </row>
    <row r="139" spans="3:55" x14ac:dyDescent="0.45">
      <c r="C139">
        <v>74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13</v>
      </c>
      <c r="K139">
        <v>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1000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f t="shared" si="8"/>
        <v>3.6400000000000006</v>
      </c>
      <c r="AU139">
        <f t="shared" si="6"/>
        <v>2.1666666666666665</v>
      </c>
      <c r="AV139">
        <f t="shared" si="7"/>
        <v>792.3</v>
      </c>
      <c r="AW139">
        <v>79</v>
      </c>
      <c r="AX139">
        <v>900</v>
      </c>
      <c r="AY139">
        <v>1030</v>
      </c>
      <c r="AZ139">
        <v>15</v>
      </c>
      <c r="BC139" t="s">
        <v>416</v>
      </c>
    </row>
    <row r="140" spans="3:55" x14ac:dyDescent="0.45">
      <c r="C140">
        <v>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13</v>
      </c>
      <c r="K140">
        <v>13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60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f t="shared" si="8"/>
        <v>3.6400000000000006</v>
      </c>
      <c r="AU140">
        <f t="shared" si="6"/>
        <v>2.1666666666666665</v>
      </c>
      <c r="AV140">
        <f t="shared" si="7"/>
        <v>792.3</v>
      </c>
      <c r="AW140">
        <v>47.5</v>
      </c>
      <c r="AY140">
        <v>1075</v>
      </c>
      <c r="BC140" t="s">
        <v>416</v>
      </c>
    </row>
    <row r="141" spans="3:55" x14ac:dyDescent="0.45">
      <c r="C141">
        <v>74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13</v>
      </c>
      <c r="K141">
        <v>13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52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f t="shared" si="8"/>
        <v>3.6400000000000006</v>
      </c>
      <c r="AU141">
        <f t="shared" si="6"/>
        <v>2.1666666666666665</v>
      </c>
      <c r="AV141">
        <f t="shared" si="7"/>
        <v>792.3</v>
      </c>
      <c r="AW141">
        <v>52</v>
      </c>
      <c r="AX141">
        <v>1270</v>
      </c>
      <c r="AY141">
        <v>1280</v>
      </c>
      <c r="AZ141">
        <v>3</v>
      </c>
      <c r="BC141" t="s">
        <v>416</v>
      </c>
    </row>
    <row r="142" spans="3:55" x14ac:dyDescent="0.45">
      <c r="C142">
        <v>74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13</v>
      </c>
      <c r="K142">
        <v>13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1000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f t="shared" si="8"/>
        <v>3.6400000000000006</v>
      </c>
      <c r="AU142">
        <f t="shared" si="6"/>
        <v>2.1666666666666665</v>
      </c>
      <c r="AV142">
        <f t="shared" si="7"/>
        <v>792.3</v>
      </c>
      <c r="AW142">
        <v>60</v>
      </c>
      <c r="AX142">
        <v>640</v>
      </c>
      <c r="AY142">
        <v>860</v>
      </c>
      <c r="AZ142">
        <v>15</v>
      </c>
      <c r="BC142" t="s">
        <v>416</v>
      </c>
    </row>
    <row r="143" spans="3:55" x14ac:dyDescent="0.45">
      <c r="C143">
        <v>67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14</v>
      </c>
      <c r="K143">
        <v>19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f t="shared" si="8"/>
        <v>5.32</v>
      </c>
      <c r="AU143">
        <f t="shared" si="6"/>
        <v>2.3333333333333335</v>
      </c>
      <c r="AV143">
        <f t="shared" si="7"/>
        <v>785.4</v>
      </c>
      <c r="AW143">
        <v>14</v>
      </c>
      <c r="BC143" t="s">
        <v>395</v>
      </c>
    </row>
    <row r="144" spans="3:55" x14ac:dyDescent="0.45">
      <c r="C144">
        <v>70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7</v>
      </c>
      <c r="K144">
        <v>23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1000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f t="shared" si="8"/>
        <v>6.44</v>
      </c>
      <c r="AU144">
        <f t="shared" si="6"/>
        <v>1.1666666666666667</v>
      </c>
      <c r="AV144">
        <f t="shared" si="7"/>
        <v>833.7</v>
      </c>
      <c r="AW144">
        <v>36</v>
      </c>
      <c r="BA144">
        <v>237</v>
      </c>
      <c r="BC144" t="s">
        <v>417</v>
      </c>
    </row>
    <row r="145" spans="3:55" x14ac:dyDescent="0.45">
      <c r="C145">
        <v>65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</v>
      </c>
      <c r="K145">
        <v>28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f t="shared" si="8"/>
        <v>7.8400000000000007</v>
      </c>
      <c r="AU145">
        <f t="shared" si="6"/>
        <v>1.1666666666666667</v>
      </c>
      <c r="AV145">
        <f t="shared" si="7"/>
        <v>833.7</v>
      </c>
      <c r="AW145">
        <v>29</v>
      </c>
      <c r="BA145">
        <v>194</v>
      </c>
      <c r="BC145" t="s">
        <v>417</v>
      </c>
    </row>
    <row r="146" spans="3:55" x14ac:dyDescent="0.45">
      <c r="C146">
        <v>60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7</v>
      </c>
      <c r="K146">
        <v>33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f t="shared" si="8"/>
        <v>9.24</v>
      </c>
      <c r="AU146">
        <f t="shared" si="6"/>
        <v>1.1666666666666667</v>
      </c>
      <c r="AV146">
        <f t="shared" si="7"/>
        <v>833.7</v>
      </c>
      <c r="AW146">
        <v>29</v>
      </c>
      <c r="BA146">
        <v>181</v>
      </c>
      <c r="BC146" t="s">
        <v>417</v>
      </c>
    </row>
    <row r="147" spans="3:55" x14ac:dyDescent="0.45">
      <c r="C147">
        <v>51.8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7.1</v>
      </c>
      <c r="K147">
        <v>41.1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89</v>
      </c>
      <c r="Y147">
        <v>0</v>
      </c>
      <c r="Z147">
        <v>0</v>
      </c>
      <c r="AA147">
        <v>1</v>
      </c>
      <c r="AB147">
        <v>0</v>
      </c>
      <c r="AC147">
        <v>1000</v>
      </c>
      <c r="AD147">
        <v>2</v>
      </c>
      <c r="AE147">
        <v>1</v>
      </c>
      <c r="AF147">
        <v>0</v>
      </c>
      <c r="AG147">
        <v>0</v>
      </c>
      <c r="AH147">
        <v>1000</v>
      </c>
      <c r="AI147">
        <v>2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f t="shared" si="8"/>
        <v>11.508000000000001</v>
      </c>
      <c r="AU147">
        <f t="shared" si="6"/>
        <v>1.1833333333333333</v>
      </c>
      <c r="AV147">
        <f t="shared" si="7"/>
        <v>833.01</v>
      </c>
      <c r="AW147">
        <v>65</v>
      </c>
      <c r="AX147">
        <v>490</v>
      </c>
      <c r="AY147">
        <v>490</v>
      </c>
      <c r="AZ147">
        <v>16</v>
      </c>
      <c r="BA147">
        <v>490</v>
      </c>
      <c r="BC147" t="s">
        <v>418</v>
      </c>
    </row>
    <row r="148" spans="3:55" x14ac:dyDescent="0.45">
      <c r="C148">
        <v>65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  <c r="K148">
        <v>23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20</v>
      </c>
      <c r="Y148">
        <v>0</v>
      </c>
      <c r="Z148">
        <v>1</v>
      </c>
      <c r="AA148">
        <v>0</v>
      </c>
      <c r="AB148">
        <v>0</v>
      </c>
      <c r="AC148">
        <v>1000</v>
      </c>
      <c r="AD148">
        <v>12</v>
      </c>
      <c r="AE148">
        <v>0</v>
      </c>
      <c r="AF148">
        <v>0</v>
      </c>
      <c r="AG148">
        <v>0</v>
      </c>
      <c r="AH148">
        <v>800</v>
      </c>
      <c r="AI148">
        <v>0.16666666666666666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f t="shared" si="8"/>
        <v>12.24</v>
      </c>
      <c r="AU148">
        <f t="shared" si="6"/>
        <v>0</v>
      </c>
      <c r="AV148">
        <f t="shared" si="7"/>
        <v>851.2</v>
      </c>
      <c r="AW148">
        <v>79</v>
      </c>
      <c r="AX148">
        <v>782</v>
      </c>
      <c r="BC148" t="s">
        <v>419</v>
      </c>
    </row>
    <row r="149" spans="3:55" x14ac:dyDescent="0.45">
      <c r="C149">
        <v>65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23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20</v>
      </c>
      <c r="Y149">
        <v>0</v>
      </c>
      <c r="Z149">
        <v>1</v>
      </c>
      <c r="AA149">
        <v>0</v>
      </c>
      <c r="AB149">
        <v>0</v>
      </c>
      <c r="AC149">
        <v>1000</v>
      </c>
      <c r="AD149">
        <v>12</v>
      </c>
      <c r="AE149">
        <v>0</v>
      </c>
      <c r="AF149">
        <v>0</v>
      </c>
      <c r="AG149">
        <v>0</v>
      </c>
      <c r="AH149">
        <v>800</v>
      </c>
      <c r="AI149">
        <v>0.16666666666666666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f t="shared" si="8"/>
        <v>12.24</v>
      </c>
      <c r="AU149">
        <f t="shared" si="6"/>
        <v>0</v>
      </c>
      <c r="AV149">
        <f t="shared" si="7"/>
        <v>851.2</v>
      </c>
      <c r="AW149">
        <v>104</v>
      </c>
      <c r="AX149">
        <v>980</v>
      </c>
      <c r="BC149" t="s">
        <v>419</v>
      </c>
    </row>
    <row r="150" spans="3:55" x14ac:dyDescent="0.45">
      <c r="C150">
        <v>61.5</v>
      </c>
      <c r="D150">
        <v>0</v>
      </c>
      <c r="E150">
        <v>0</v>
      </c>
      <c r="F150">
        <v>0</v>
      </c>
      <c r="G150">
        <v>0</v>
      </c>
      <c r="H150">
        <v>1.5</v>
      </c>
      <c r="I150">
        <v>0</v>
      </c>
      <c r="J150">
        <v>0</v>
      </c>
      <c r="K150">
        <v>27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20</v>
      </c>
      <c r="Y150">
        <v>0</v>
      </c>
      <c r="Z150">
        <v>1</v>
      </c>
      <c r="AA150">
        <v>0</v>
      </c>
      <c r="AB150">
        <v>0</v>
      </c>
      <c r="AC150">
        <v>1000</v>
      </c>
      <c r="AD150">
        <v>12</v>
      </c>
      <c r="AE150">
        <v>0</v>
      </c>
      <c r="AF150">
        <v>0</v>
      </c>
      <c r="AG150">
        <v>0</v>
      </c>
      <c r="AH150">
        <v>800</v>
      </c>
      <c r="AI150">
        <v>0.16666666666666666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f t="shared" si="8"/>
        <v>11.91</v>
      </c>
      <c r="AU150">
        <f t="shared" si="6"/>
        <v>0</v>
      </c>
      <c r="AV150">
        <f t="shared" si="7"/>
        <v>858.9</v>
      </c>
      <c r="AW150">
        <v>78</v>
      </c>
      <c r="AX150">
        <v>735</v>
      </c>
      <c r="BC150" t="s">
        <v>419</v>
      </c>
    </row>
    <row r="151" spans="3:55" x14ac:dyDescent="0.45">
      <c r="C151">
        <v>61.5</v>
      </c>
      <c r="D151">
        <v>0</v>
      </c>
      <c r="E151">
        <v>0</v>
      </c>
      <c r="F151">
        <v>0</v>
      </c>
      <c r="G151">
        <v>0</v>
      </c>
      <c r="H151">
        <v>1.5</v>
      </c>
      <c r="I151">
        <v>0</v>
      </c>
      <c r="J151">
        <v>0</v>
      </c>
      <c r="K151">
        <v>27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20</v>
      </c>
      <c r="Y151">
        <v>0</v>
      </c>
      <c r="Z151">
        <v>1</v>
      </c>
      <c r="AA151">
        <v>0</v>
      </c>
      <c r="AB151">
        <v>0</v>
      </c>
      <c r="AC151">
        <v>1000</v>
      </c>
      <c r="AD151">
        <v>12</v>
      </c>
      <c r="AE151">
        <v>0</v>
      </c>
      <c r="AF151">
        <v>0</v>
      </c>
      <c r="AG151">
        <v>0</v>
      </c>
      <c r="AH151">
        <v>800</v>
      </c>
      <c r="AI151">
        <v>0.16666666666666666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f t="shared" si="8"/>
        <v>11.91</v>
      </c>
      <c r="AU151">
        <f t="shared" si="6"/>
        <v>0</v>
      </c>
      <c r="AV151">
        <f t="shared" si="7"/>
        <v>858.9</v>
      </c>
      <c r="AW151">
        <v>101</v>
      </c>
      <c r="AX151">
        <v>903</v>
      </c>
      <c r="BC151" t="s">
        <v>419</v>
      </c>
    </row>
    <row r="152" spans="3:55" x14ac:dyDescent="0.45">
      <c r="C152">
        <v>57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0</v>
      </c>
      <c r="J152">
        <v>13</v>
      </c>
      <c r="K152">
        <v>28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f t="shared" si="8"/>
        <v>13.64</v>
      </c>
      <c r="AU152">
        <f t="shared" si="6"/>
        <v>2.1666666666666665</v>
      </c>
      <c r="AV152">
        <f t="shared" si="7"/>
        <v>761.5</v>
      </c>
      <c r="AW152">
        <v>54</v>
      </c>
      <c r="BC152" t="s">
        <v>420</v>
      </c>
    </row>
    <row r="153" spans="3:55" x14ac:dyDescent="0.45">
      <c r="C153">
        <v>57.66</v>
      </c>
      <c r="D153">
        <v>0</v>
      </c>
      <c r="E153">
        <v>0</v>
      </c>
      <c r="F153">
        <v>0</v>
      </c>
      <c r="G153">
        <v>0</v>
      </c>
      <c r="H153">
        <v>0.53</v>
      </c>
      <c r="I153">
        <v>0</v>
      </c>
      <c r="J153">
        <v>13.2</v>
      </c>
      <c r="K153">
        <v>28.5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0.11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f t="shared" si="8"/>
        <v>9.5169999999999995</v>
      </c>
      <c r="AU153">
        <f t="shared" si="6"/>
        <v>2.2109999999999999</v>
      </c>
      <c r="AV153">
        <f t="shared" si="7"/>
        <v>796.2879999999999</v>
      </c>
      <c r="AW153">
        <v>58</v>
      </c>
      <c r="AX153">
        <v>780</v>
      </c>
      <c r="AZ153">
        <v>13</v>
      </c>
      <c r="BC153" t="s">
        <v>421</v>
      </c>
    </row>
    <row r="154" spans="3:55" x14ac:dyDescent="0.45">
      <c r="C154">
        <v>58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20</v>
      </c>
      <c r="Y154">
        <v>0</v>
      </c>
      <c r="Z154">
        <v>1</v>
      </c>
      <c r="AA154">
        <v>0</v>
      </c>
      <c r="AB154">
        <v>0</v>
      </c>
      <c r="AC154">
        <v>1000</v>
      </c>
      <c r="AD154">
        <v>12</v>
      </c>
      <c r="AE154">
        <v>0</v>
      </c>
      <c r="AF154">
        <v>0</v>
      </c>
      <c r="AG154">
        <v>0</v>
      </c>
      <c r="AH154">
        <v>800</v>
      </c>
      <c r="AI154">
        <v>0.16666666666666666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f t="shared" si="8"/>
        <v>3.74</v>
      </c>
      <c r="AU154">
        <f t="shared" si="6"/>
        <v>0</v>
      </c>
      <c r="AV154">
        <f t="shared" si="7"/>
        <v>866.6</v>
      </c>
      <c r="AW154">
        <v>77</v>
      </c>
      <c r="AX154">
        <v>672</v>
      </c>
      <c r="BC154" t="s">
        <v>419</v>
      </c>
    </row>
    <row r="155" spans="3:55" x14ac:dyDescent="0.45">
      <c r="C155">
        <v>58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20</v>
      </c>
      <c r="Y155">
        <v>0</v>
      </c>
      <c r="Z155">
        <v>1</v>
      </c>
      <c r="AA155">
        <v>0</v>
      </c>
      <c r="AB155">
        <v>0</v>
      </c>
      <c r="AC155">
        <v>1000</v>
      </c>
      <c r="AD155">
        <v>12</v>
      </c>
      <c r="AE155">
        <v>0</v>
      </c>
      <c r="AF155">
        <v>0</v>
      </c>
      <c r="AG155">
        <v>0</v>
      </c>
      <c r="AH155">
        <v>800</v>
      </c>
      <c r="AI155">
        <v>0.16666666666666666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f t="shared" si="8"/>
        <v>3.74</v>
      </c>
      <c r="AU155">
        <f t="shared" si="6"/>
        <v>0</v>
      </c>
      <c r="AV155">
        <f t="shared" si="7"/>
        <v>866.6</v>
      </c>
      <c r="AW155">
        <v>89</v>
      </c>
      <c r="AX155">
        <v>796</v>
      </c>
      <c r="BC155" t="s">
        <v>419</v>
      </c>
    </row>
    <row r="156" spans="3:55" x14ac:dyDescent="0.45">
      <c r="C156">
        <v>63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6</v>
      </c>
      <c r="K156">
        <v>29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70</v>
      </c>
      <c r="Y156">
        <v>0</v>
      </c>
      <c r="Z156">
        <v>1</v>
      </c>
      <c r="AA156">
        <v>0</v>
      </c>
      <c r="AB156">
        <v>0</v>
      </c>
      <c r="AC156">
        <v>1000</v>
      </c>
      <c r="AD156">
        <v>24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f t="shared" si="8"/>
        <v>10.120000000000001</v>
      </c>
      <c r="AU156">
        <f t="shared" si="6"/>
        <v>1</v>
      </c>
      <c r="AV156">
        <f t="shared" si="7"/>
        <v>821.6</v>
      </c>
      <c r="AW156">
        <v>29</v>
      </c>
      <c r="BC156" t="s">
        <v>422</v>
      </c>
    </row>
    <row r="157" spans="3:55" x14ac:dyDescent="0.45">
      <c r="C157">
        <v>58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6</v>
      </c>
      <c r="K157">
        <v>31</v>
      </c>
      <c r="L157">
        <v>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f t="shared" si="8"/>
        <v>13.680000000000001</v>
      </c>
      <c r="AU157">
        <f t="shared" si="6"/>
        <v>1</v>
      </c>
      <c r="AV157">
        <f t="shared" si="7"/>
        <v>793.1</v>
      </c>
      <c r="AW157">
        <v>44</v>
      </c>
      <c r="BC157" t="s">
        <v>401</v>
      </c>
    </row>
    <row r="158" spans="3:55" x14ac:dyDescent="0.45">
      <c r="C158">
        <v>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6</v>
      </c>
      <c r="K158">
        <v>31</v>
      </c>
      <c r="L158">
        <v>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75</v>
      </c>
      <c r="Y158">
        <v>0</v>
      </c>
      <c r="Z158">
        <v>1</v>
      </c>
      <c r="AA158">
        <v>0</v>
      </c>
      <c r="AB158">
        <v>0</v>
      </c>
      <c r="AC158">
        <v>600</v>
      </c>
      <c r="AD158">
        <v>0.25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f t="shared" si="8"/>
        <v>13.680000000000001</v>
      </c>
      <c r="AU158">
        <f t="shared" si="6"/>
        <v>1</v>
      </c>
      <c r="AV158">
        <f t="shared" si="7"/>
        <v>793.1</v>
      </c>
      <c r="AW158">
        <v>48</v>
      </c>
      <c r="BC158" t="s">
        <v>401</v>
      </c>
    </row>
    <row r="159" spans="3:55" x14ac:dyDescent="0.45">
      <c r="C159">
        <v>63.3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7</v>
      </c>
      <c r="K159">
        <v>29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</v>
      </c>
      <c r="U159">
        <v>0</v>
      </c>
      <c r="V159">
        <v>1</v>
      </c>
      <c r="W159">
        <v>0</v>
      </c>
      <c r="X159">
        <v>70</v>
      </c>
      <c r="Y159">
        <v>0</v>
      </c>
      <c r="Z159">
        <v>0</v>
      </c>
      <c r="AA159">
        <v>1</v>
      </c>
      <c r="AB159">
        <v>0</v>
      </c>
      <c r="AC159">
        <v>1000</v>
      </c>
      <c r="AD159">
        <v>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f t="shared" si="8"/>
        <v>8.120000000000001</v>
      </c>
      <c r="AU159">
        <f t="shared" si="6"/>
        <v>1.2366666666666668</v>
      </c>
      <c r="AV159">
        <f t="shared" si="7"/>
        <v>919.80000000000007</v>
      </c>
      <c r="AW159">
        <v>65</v>
      </c>
      <c r="AX159">
        <v>1000</v>
      </c>
      <c r="BC159" t="s">
        <v>423</v>
      </c>
    </row>
    <row r="160" spans="3:55" x14ac:dyDescent="0.45">
      <c r="C160">
        <v>61.9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9.1999999999999993</v>
      </c>
      <c r="K160">
        <v>23.2</v>
      </c>
      <c r="L160">
        <v>0</v>
      </c>
      <c r="M160">
        <v>5.7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1150</v>
      </c>
      <c r="AD160">
        <v>24</v>
      </c>
      <c r="AE160">
        <v>1</v>
      </c>
      <c r="AF160">
        <v>0</v>
      </c>
      <c r="AG160">
        <v>0</v>
      </c>
      <c r="AH160">
        <v>1000</v>
      </c>
      <c r="AI160">
        <v>0.16666666666666666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f t="shared" si="8"/>
        <v>6.4960000000000004</v>
      </c>
      <c r="AU160">
        <f t="shared" si="6"/>
        <v>3.4333333333333336</v>
      </c>
      <c r="AV160">
        <f t="shared" si="7"/>
        <v>842.46</v>
      </c>
      <c r="AW160">
        <v>48.7</v>
      </c>
      <c r="BC160" t="s">
        <v>405</v>
      </c>
    </row>
    <row r="161" spans="3:55" x14ac:dyDescent="0.45">
      <c r="C161">
        <v>68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10</v>
      </c>
      <c r="K161">
        <v>10.199999999999999</v>
      </c>
      <c r="L161">
        <v>5.3</v>
      </c>
      <c r="M161">
        <v>6.5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f t="shared" si="8"/>
        <v>8.1559999999999988</v>
      </c>
      <c r="AU161">
        <f t="shared" si="6"/>
        <v>3.833333333333333</v>
      </c>
      <c r="AV161">
        <f t="shared" si="7"/>
        <v>789.94999999999993</v>
      </c>
      <c r="AW161">
        <v>48</v>
      </c>
      <c r="AX161">
        <v>478</v>
      </c>
      <c r="AY161">
        <v>715</v>
      </c>
      <c r="AZ161">
        <v>7.6</v>
      </c>
      <c r="BC161" t="s">
        <v>399</v>
      </c>
    </row>
    <row r="162" spans="3:55" x14ac:dyDescent="0.45">
      <c r="C162">
        <v>69.599999999999994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9.5</v>
      </c>
      <c r="K162">
        <v>9.6999999999999993</v>
      </c>
      <c r="L162">
        <v>5</v>
      </c>
      <c r="M162">
        <v>6.2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f t="shared" si="8"/>
        <v>7.7160000000000002</v>
      </c>
      <c r="AU162">
        <f t="shared" si="6"/>
        <v>3.6500000000000004</v>
      </c>
      <c r="AV162">
        <f t="shared" si="7"/>
        <v>794.99</v>
      </c>
      <c r="AW162">
        <v>54</v>
      </c>
      <c r="AX162">
        <v>235</v>
      </c>
      <c r="AY162">
        <v>715</v>
      </c>
      <c r="AZ162">
        <v>12.5</v>
      </c>
      <c r="BC162" t="s">
        <v>399</v>
      </c>
    </row>
    <row r="163" spans="3:55" x14ac:dyDescent="0.45">
      <c r="C163">
        <v>68.099999999999994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10</v>
      </c>
      <c r="K163">
        <v>10.199999999999999</v>
      </c>
      <c r="L163">
        <v>5.2</v>
      </c>
      <c r="M163">
        <v>6.5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f t="shared" si="8"/>
        <v>8.0560000000000009</v>
      </c>
      <c r="AU163">
        <f t="shared" si="6"/>
        <v>3.833333333333333</v>
      </c>
      <c r="AV163">
        <f t="shared" si="7"/>
        <v>790.9</v>
      </c>
      <c r="AW163">
        <v>48</v>
      </c>
      <c r="AX163">
        <v>478</v>
      </c>
      <c r="AY163">
        <v>715</v>
      </c>
      <c r="AZ163">
        <v>7.6</v>
      </c>
      <c r="BC163" t="s">
        <v>398</v>
      </c>
    </row>
    <row r="164" spans="3:55" x14ac:dyDescent="0.45">
      <c r="C164">
        <v>68.099999999999994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10</v>
      </c>
      <c r="K164">
        <v>10.199999999999999</v>
      </c>
      <c r="L164">
        <v>5.2</v>
      </c>
      <c r="M164">
        <v>6.5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950</v>
      </c>
      <c r="AD164">
        <v>2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f t="shared" si="8"/>
        <v>8.0560000000000009</v>
      </c>
      <c r="AU164">
        <f t="shared" si="6"/>
        <v>3.833333333333333</v>
      </c>
      <c r="AV164">
        <f t="shared" si="7"/>
        <v>790.9</v>
      </c>
      <c r="AW164">
        <v>43</v>
      </c>
      <c r="AX164">
        <v>408</v>
      </c>
      <c r="AY164">
        <v>577</v>
      </c>
      <c r="AZ164">
        <v>6.7</v>
      </c>
      <c r="BC164" t="s">
        <v>398</v>
      </c>
    </row>
    <row r="165" spans="3:55" x14ac:dyDescent="0.45">
      <c r="C165">
        <v>69.599999999999994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9.5</v>
      </c>
      <c r="K165">
        <v>9.6999999999999993</v>
      </c>
      <c r="L165">
        <v>5</v>
      </c>
      <c r="M165">
        <v>6.2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f t="shared" si="8"/>
        <v>7.7160000000000002</v>
      </c>
      <c r="AU165">
        <f t="shared" si="6"/>
        <v>3.6500000000000004</v>
      </c>
      <c r="AV165">
        <f t="shared" si="7"/>
        <v>794.99</v>
      </c>
      <c r="AW165">
        <v>54</v>
      </c>
      <c r="BC165" t="s">
        <v>373</v>
      </c>
    </row>
    <row r="166" spans="3:55" x14ac:dyDescent="0.45">
      <c r="C166">
        <v>65.599999999999994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9.3000000000000007</v>
      </c>
      <c r="K166">
        <v>14.2</v>
      </c>
      <c r="L166">
        <v>4.9000000000000004</v>
      </c>
      <c r="M166">
        <v>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f t="shared" si="8"/>
        <v>8.8760000000000012</v>
      </c>
      <c r="AU166">
        <f t="shared" si="6"/>
        <v>3.55</v>
      </c>
      <c r="AV166">
        <f t="shared" si="7"/>
        <v>796.48000000000013</v>
      </c>
      <c r="AW166">
        <v>56</v>
      </c>
      <c r="AX166">
        <v>566</v>
      </c>
      <c r="AY166">
        <v>701</v>
      </c>
      <c r="AZ166">
        <v>13.6</v>
      </c>
      <c r="BC166" t="s">
        <v>399</v>
      </c>
    </row>
    <row r="167" spans="3:55" x14ac:dyDescent="0.45">
      <c r="C167">
        <v>65.599999999999994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9.3000000000000007</v>
      </c>
      <c r="K167">
        <v>14.2</v>
      </c>
      <c r="L167">
        <v>4.9000000000000004</v>
      </c>
      <c r="M167">
        <v>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f t="shared" si="8"/>
        <v>8.8760000000000012</v>
      </c>
      <c r="AU167">
        <f t="shared" si="6"/>
        <v>3.55</v>
      </c>
      <c r="AV167">
        <f t="shared" si="7"/>
        <v>796.48000000000013</v>
      </c>
      <c r="AW167">
        <v>56</v>
      </c>
      <c r="BC167" t="s">
        <v>373</v>
      </c>
    </row>
    <row r="168" spans="3:55" x14ac:dyDescent="0.45">
      <c r="C168">
        <v>61.7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9.1</v>
      </c>
      <c r="K168">
        <v>18.5</v>
      </c>
      <c r="L168">
        <v>4.8</v>
      </c>
      <c r="M168">
        <v>5.9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f t="shared" si="8"/>
        <v>9.98</v>
      </c>
      <c r="AU168">
        <f t="shared" si="6"/>
        <v>3.4833333333333334</v>
      </c>
      <c r="AV168">
        <f t="shared" si="7"/>
        <v>798.39</v>
      </c>
      <c r="AW168">
        <v>72</v>
      </c>
      <c r="AX168">
        <v>499</v>
      </c>
      <c r="AY168">
        <v>519</v>
      </c>
      <c r="AZ168">
        <v>6.4</v>
      </c>
      <c r="BC168" t="s">
        <v>399</v>
      </c>
    </row>
    <row r="169" spans="3:55" x14ac:dyDescent="0.45">
      <c r="C169">
        <v>61.7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9.1</v>
      </c>
      <c r="K169">
        <v>18.5</v>
      </c>
      <c r="L169">
        <v>4.8</v>
      </c>
      <c r="M169">
        <v>5.9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f t="shared" si="8"/>
        <v>9.98</v>
      </c>
      <c r="AU169">
        <f t="shared" si="6"/>
        <v>3.4833333333333334</v>
      </c>
      <c r="AV169">
        <f t="shared" si="7"/>
        <v>798.39</v>
      </c>
      <c r="AW169">
        <v>73</v>
      </c>
      <c r="BC169" t="s">
        <v>373</v>
      </c>
    </row>
    <row r="170" spans="3:55" x14ac:dyDescent="0.45">
      <c r="C170">
        <v>57.7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6.8</v>
      </c>
      <c r="K170">
        <v>32.5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1000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f t="shared" si="8"/>
        <v>9.1000000000000014</v>
      </c>
      <c r="AU170">
        <f t="shared" si="6"/>
        <v>1.1333333333333333</v>
      </c>
      <c r="AV170">
        <f t="shared" si="7"/>
        <v>835.08</v>
      </c>
      <c r="AW170">
        <v>66.900000000000006</v>
      </c>
      <c r="AY170">
        <v>829</v>
      </c>
      <c r="AZ170">
        <v>15.4</v>
      </c>
      <c r="BC170" t="s">
        <v>424</v>
      </c>
    </row>
    <row r="171" spans="3:55" x14ac:dyDescent="0.45">
      <c r="C171">
        <v>57.7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6.8</v>
      </c>
      <c r="K171">
        <v>32.5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50</v>
      </c>
      <c r="Y171">
        <v>0</v>
      </c>
      <c r="Z171">
        <v>1</v>
      </c>
      <c r="AA171">
        <v>1</v>
      </c>
      <c r="AB171">
        <v>0</v>
      </c>
      <c r="AC171">
        <v>1000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f t="shared" si="8"/>
        <v>9.1000000000000014</v>
      </c>
      <c r="AU171">
        <f t="shared" si="6"/>
        <v>1.1333333333333333</v>
      </c>
      <c r="AV171">
        <f t="shared" si="7"/>
        <v>835.08</v>
      </c>
      <c r="AW171">
        <v>60.7</v>
      </c>
      <c r="AY171">
        <v>942</v>
      </c>
      <c r="AZ171">
        <v>13.8</v>
      </c>
      <c r="BC171" t="s">
        <v>424</v>
      </c>
    </row>
    <row r="172" spans="3:55" x14ac:dyDescent="0.45">
      <c r="C172">
        <v>57.7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6.8</v>
      </c>
      <c r="K172">
        <v>32.5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90</v>
      </c>
      <c r="Y172">
        <v>0</v>
      </c>
      <c r="Z172">
        <v>1</v>
      </c>
      <c r="AA172">
        <v>1</v>
      </c>
      <c r="AB172">
        <v>0</v>
      </c>
      <c r="AC172">
        <v>1000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f t="shared" si="8"/>
        <v>9.1000000000000014</v>
      </c>
      <c r="AU172">
        <f t="shared" si="6"/>
        <v>1.1333333333333333</v>
      </c>
      <c r="AV172">
        <f t="shared" si="7"/>
        <v>835.08</v>
      </c>
      <c r="AW172">
        <v>55.3</v>
      </c>
      <c r="AY172">
        <v>1093</v>
      </c>
      <c r="AZ172">
        <v>12.6</v>
      </c>
      <c r="BC172" t="s">
        <v>424</v>
      </c>
    </row>
    <row r="173" spans="3:55" x14ac:dyDescent="0.45">
      <c r="C173">
        <v>64.3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5.7</v>
      </c>
      <c r="K173">
        <v>14.6</v>
      </c>
      <c r="L173">
        <v>0</v>
      </c>
      <c r="M173">
        <v>9.9</v>
      </c>
      <c r="N173">
        <v>0</v>
      </c>
      <c r="O173">
        <v>5.5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f t="shared" si="8"/>
        <v>5.298</v>
      </c>
      <c r="AU173">
        <f t="shared" si="6"/>
        <v>4.25</v>
      </c>
      <c r="AV173">
        <f t="shared" si="7"/>
        <v>884.25</v>
      </c>
      <c r="AW173">
        <v>52.2</v>
      </c>
      <c r="BC173" t="s">
        <v>405</v>
      </c>
    </row>
    <row r="174" spans="3:55" x14ac:dyDescent="0.45">
      <c r="C174">
        <v>69.900000000000006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5.0999999999999996</v>
      </c>
      <c r="K174">
        <v>20.5</v>
      </c>
      <c r="L174">
        <v>0</v>
      </c>
      <c r="M174">
        <v>0</v>
      </c>
      <c r="N174">
        <v>0</v>
      </c>
      <c r="O174">
        <v>4.5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f t="shared" si="8"/>
        <v>6.73</v>
      </c>
      <c r="AU174">
        <f t="shared" si="6"/>
        <v>0.85</v>
      </c>
      <c r="AV174">
        <f t="shared" si="7"/>
        <v>846.81</v>
      </c>
      <c r="AW174">
        <v>50</v>
      </c>
      <c r="BC174" t="s">
        <v>373</v>
      </c>
    </row>
    <row r="175" spans="3:55" x14ac:dyDescent="0.45">
      <c r="C175">
        <v>68.7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5.0999999999999996</v>
      </c>
      <c r="K175">
        <v>24.2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f t="shared" si="8"/>
        <v>7.2160000000000011</v>
      </c>
      <c r="AU175">
        <f t="shared" si="6"/>
        <v>0.85</v>
      </c>
      <c r="AV175">
        <f t="shared" si="7"/>
        <v>846.81</v>
      </c>
      <c r="AW175">
        <v>48</v>
      </c>
      <c r="BC175" t="s">
        <v>425</v>
      </c>
    </row>
    <row r="176" spans="3:55" x14ac:dyDescent="0.45">
      <c r="C176">
        <v>70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</v>
      </c>
      <c r="K176">
        <v>25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90</v>
      </c>
      <c r="Y176">
        <v>0</v>
      </c>
      <c r="Z176">
        <v>1</v>
      </c>
      <c r="AA176">
        <v>0</v>
      </c>
      <c r="AB176">
        <v>0</v>
      </c>
      <c r="AC176">
        <v>650</v>
      </c>
      <c r="AD176">
        <v>0.16666666666666666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f t="shared" si="8"/>
        <v>7.4400000000000013</v>
      </c>
      <c r="AU176">
        <f t="shared" si="6"/>
        <v>0.5</v>
      </c>
      <c r="AV176">
        <f t="shared" si="7"/>
        <v>861.3</v>
      </c>
      <c r="AW176">
        <v>75.2</v>
      </c>
      <c r="AY176">
        <v>864</v>
      </c>
      <c r="AZ176">
        <v>1.25</v>
      </c>
      <c r="BC176" t="s">
        <v>414</v>
      </c>
    </row>
    <row r="177" spans="3:55" x14ac:dyDescent="0.45">
      <c r="C177">
        <v>65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</v>
      </c>
      <c r="K177">
        <v>30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90</v>
      </c>
      <c r="Y177">
        <v>0</v>
      </c>
      <c r="Z177">
        <v>1</v>
      </c>
      <c r="AA177">
        <v>0</v>
      </c>
      <c r="AB177">
        <v>0</v>
      </c>
      <c r="AC177">
        <v>650</v>
      </c>
      <c r="AD177">
        <v>0.16666666666666666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f t="shared" si="8"/>
        <v>8.84</v>
      </c>
      <c r="AU177">
        <f t="shared" si="6"/>
        <v>0.5</v>
      </c>
      <c r="AV177">
        <f t="shared" si="7"/>
        <v>861.3</v>
      </c>
      <c r="AW177">
        <v>57.1</v>
      </c>
      <c r="AY177">
        <v>663</v>
      </c>
      <c r="AZ177">
        <v>17.5</v>
      </c>
      <c r="BC177" t="s">
        <v>414</v>
      </c>
    </row>
    <row r="178" spans="3:55" x14ac:dyDescent="0.45">
      <c r="C178">
        <v>60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</v>
      </c>
      <c r="K178">
        <v>35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90</v>
      </c>
      <c r="Y178">
        <v>0</v>
      </c>
      <c r="Z178">
        <v>1</v>
      </c>
      <c r="AA178">
        <v>0</v>
      </c>
      <c r="AB178">
        <v>0</v>
      </c>
      <c r="AC178">
        <v>650</v>
      </c>
      <c r="AD178">
        <v>0.16666666666666666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f t="shared" si="8"/>
        <v>10.24</v>
      </c>
      <c r="AU178">
        <f t="shared" si="6"/>
        <v>0.5</v>
      </c>
      <c r="AV178">
        <f t="shared" si="7"/>
        <v>861.3</v>
      </c>
      <c r="AW178">
        <v>52</v>
      </c>
      <c r="AY178">
        <v>431</v>
      </c>
      <c r="AZ178">
        <v>18.8</v>
      </c>
      <c r="BC178" t="s">
        <v>414</v>
      </c>
    </row>
    <row r="179" spans="3:55" x14ac:dyDescent="0.45">
      <c r="C179">
        <v>52.099999999999994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7.2</v>
      </c>
      <c r="K179">
        <v>35</v>
      </c>
      <c r="L179">
        <v>0</v>
      </c>
      <c r="M179">
        <v>0</v>
      </c>
      <c r="N179">
        <v>0</v>
      </c>
      <c r="O179">
        <v>5.7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f t="shared" si="8"/>
        <v>11.054</v>
      </c>
      <c r="AU179">
        <f t="shared" si="6"/>
        <v>1.2</v>
      </c>
      <c r="AV179">
        <f t="shared" si="7"/>
        <v>832.31999999999994</v>
      </c>
      <c r="AW179">
        <v>57</v>
      </c>
      <c r="BC179" t="s">
        <v>410</v>
      </c>
    </row>
    <row r="180" spans="3:55" x14ac:dyDescent="0.45">
      <c r="C180">
        <v>53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7</v>
      </c>
      <c r="K180">
        <v>35</v>
      </c>
      <c r="L180">
        <v>0</v>
      </c>
      <c r="M180">
        <v>0</v>
      </c>
      <c r="N180">
        <v>0</v>
      </c>
      <c r="O180">
        <v>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f t="shared" si="8"/>
        <v>10.9</v>
      </c>
      <c r="AU180">
        <f t="shared" si="6"/>
        <v>1.1666666666666667</v>
      </c>
      <c r="AV180">
        <f t="shared" si="7"/>
        <v>833.7</v>
      </c>
      <c r="AW180">
        <v>55</v>
      </c>
      <c r="BC180" t="s">
        <v>426</v>
      </c>
    </row>
    <row r="181" spans="3:55" x14ac:dyDescent="0.45">
      <c r="C181">
        <v>51.44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7.3</v>
      </c>
      <c r="K181">
        <v>35.5</v>
      </c>
      <c r="L181">
        <v>0</v>
      </c>
      <c r="M181">
        <v>0</v>
      </c>
      <c r="N181">
        <v>0</v>
      </c>
      <c r="O181">
        <v>5.7</v>
      </c>
      <c r="P181">
        <v>0</v>
      </c>
      <c r="Q181">
        <v>0</v>
      </c>
      <c r="R181">
        <v>0</v>
      </c>
      <c r="S181">
        <v>0</v>
      </c>
      <c r="T181">
        <v>0.06</v>
      </c>
      <c r="U181">
        <v>0</v>
      </c>
      <c r="V181">
        <v>1</v>
      </c>
      <c r="W181">
        <v>1100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1400</v>
      </c>
      <c r="AD181">
        <v>2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f t="shared" si="8"/>
        <v>11.194000000000001</v>
      </c>
      <c r="AU181">
        <f t="shared" si="6"/>
        <v>1.2226666666666666</v>
      </c>
      <c r="AV181">
        <f t="shared" si="7"/>
        <v>839.01</v>
      </c>
      <c r="AW181">
        <v>63</v>
      </c>
      <c r="AX181">
        <v>447</v>
      </c>
      <c r="AY181">
        <v>545</v>
      </c>
      <c r="AZ181">
        <v>21</v>
      </c>
      <c r="BA181">
        <v>164</v>
      </c>
      <c r="BC181" t="s">
        <v>427</v>
      </c>
    </row>
    <row r="182" spans="3:55" x14ac:dyDescent="0.45">
      <c r="C182">
        <v>49.44</v>
      </c>
      <c r="D182">
        <v>0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7.3</v>
      </c>
      <c r="K182">
        <v>35.5</v>
      </c>
      <c r="L182">
        <v>0</v>
      </c>
      <c r="M182">
        <v>0</v>
      </c>
      <c r="N182">
        <v>0</v>
      </c>
      <c r="O182">
        <v>5.7</v>
      </c>
      <c r="P182">
        <v>0</v>
      </c>
      <c r="Q182">
        <v>0</v>
      </c>
      <c r="R182">
        <v>0</v>
      </c>
      <c r="S182">
        <v>0</v>
      </c>
      <c r="T182">
        <v>0.06</v>
      </c>
      <c r="U182">
        <v>0</v>
      </c>
      <c r="V182">
        <v>1</v>
      </c>
      <c r="W182">
        <v>1100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1400</v>
      </c>
      <c r="AD182">
        <v>2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f t="shared" si="8"/>
        <v>16.994</v>
      </c>
      <c r="AU182">
        <f t="shared" si="6"/>
        <v>1.2226666666666666</v>
      </c>
      <c r="AV182">
        <f t="shared" si="7"/>
        <v>808.21</v>
      </c>
      <c r="AW182">
        <v>107</v>
      </c>
      <c r="AX182">
        <v>817</v>
      </c>
      <c r="AY182">
        <v>1130</v>
      </c>
      <c r="AZ182">
        <v>28</v>
      </c>
      <c r="BA182">
        <v>321</v>
      </c>
      <c r="BC182" t="s">
        <v>427</v>
      </c>
    </row>
    <row r="183" spans="3:55" x14ac:dyDescent="0.45">
      <c r="C183">
        <v>49.15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0</v>
      </c>
      <c r="J183">
        <v>7.3</v>
      </c>
      <c r="K183">
        <v>35.5</v>
      </c>
      <c r="L183">
        <v>0</v>
      </c>
      <c r="M183">
        <v>0</v>
      </c>
      <c r="N183">
        <v>0</v>
      </c>
      <c r="O183">
        <v>5.7</v>
      </c>
      <c r="P183">
        <v>0</v>
      </c>
      <c r="Q183">
        <v>0</v>
      </c>
      <c r="R183">
        <v>0</v>
      </c>
      <c r="S183">
        <v>0</v>
      </c>
      <c r="T183">
        <v>0.35</v>
      </c>
      <c r="U183">
        <v>0</v>
      </c>
      <c r="V183">
        <v>1</v>
      </c>
      <c r="W183">
        <v>1100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1400</v>
      </c>
      <c r="AD183">
        <v>2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f t="shared" si="8"/>
        <v>16.994</v>
      </c>
      <c r="AU183">
        <f t="shared" si="6"/>
        <v>1.2516666666666665</v>
      </c>
      <c r="AV183">
        <f t="shared" si="7"/>
        <v>843.88</v>
      </c>
      <c r="AW183">
        <v>80</v>
      </c>
      <c r="AX183">
        <v>1017</v>
      </c>
      <c r="AY183">
        <v>1217</v>
      </c>
      <c r="AZ183">
        <v>21</v>
      </c>
      <c r="BA183">
        <v>335</v>
      </c>
      <c r="BC183" t="s">
        <v>427</v>
      </c>
    </row>
    <row r="184" spans="3:55" x14ac:dyDescent="0.45">
      <c r="C184">
        <v>48.84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7.3</v>
      </c>
      <c r="K184">
        <v>35.5</v>
      </c>
      <c r="L184">
        <v>0</v>
      </c>
      <c r="M184">
        <v>0</v>
      </c>
      <c r="N184">
        <v>0</v>
      </c>
      <c r="O184">
        <v>5.7</v>
      </c>
      <c r="P184">
        <v>0</v>
      </c>
      <c r="Q184">
        <v>0</v>
      </c>
      <c r="R184">
        <v>0</v>
      </c>
      <c r="S184">
        <v>0</v>
      </c>
      <c r="T184">
        <v>0.66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1400</v>
      </c>
      <c r="AD184">
        <v>2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f t="shared" si="8"/>
        <v>16.994</v>
      </c>
      <c r="AU184">
        <f t="shared" si="6"/>
        <v>1.2826666666666666</v>
      </c>
      <c r="AV184">
        <f t="shared" si="7"/>
        <v>882.01</v>
      </c>
      <c r="AW184">
        <v>109</v>
      </c>
      <c r="BA184">
        <v>371</v>
      </c>
      <c r="BC184" t="s">
        <v>427</v>
      </c>
    </row>
    <row r="185" spans="3:55" x14ac:dyDescent="0.45">
      <c r="C185">
        <v>48.9</v>
      </c>
      <c r="D185">
        <v>0</v>
      </c>
      <c r="E185">
        <v>0</v>
      </c>
      <c r="F185">
        <v>0</v>
      </c>
      <c r="G185">
        <v>0</v>
      </c>
      <c r="H185">
        <v>2</v>
      </c>
      <c r="I185">
        <v>0</v>
      </c>
      <c r="J185">
        <v>7.3</v>
      </c>
      <c r="K185">
        <v>35.5</v>
      </c>
      <c r="L185">
        <v>0</v>
      </c>
      <c r="M185">
        <v>0</v>
      </c>
      <c r="N185">
        <v>0</v>
      </c>
      <c r="O185">
        <v>5.7</v>
      </c>
      <c r="P185">
        <v>0</v>
      </c>
      <c r="Q185">
        <v>0.25</v>
      </c>
      <c r="R185">
        <v>0</v>
      </c>
      <c r="S185">
        <v>0</v>
      </c>
      <c r="T185">
        <v>0.35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1400</v>
      </c>
      <c r="AD185">
        <v>2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f t="shared" si="8"/>
        <v>16.994</v>
      </c>
      <c r="AU185">
        <f t="shared" si="6"/>
        <v>1.2516666666666665</v>
      </c>
      <c r="AV185">
        <f t="shared" si="7"/>
        <v>849.70500000000004</v>
      </c>
      <c r="AW185">
        <v>87</v>
      </c>
      <c r="AX185">
        <v>1085</v>
      </c>
      <c r="AY185">
        <v>1373</v>
      </c>
      <c r="AZ185">
        <v>24</v>
      </c>
      <c r="BA185">
        <v>337</v>
      </c>
      <c r="BC185" t="s">
        <v>427</v>
      </c>
    </row>
    <row r="186" spans="3:55" x14ac:dyDescent="0.45">
      <c r="C186">
        <v>48.59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7.3</v>
      </c>
      <c r="K186">
        <v>35.5</v>
      </c>
      <c r="L186">
        <v>0</v>
      </c>
      <c r="M186">
        <v>0</v>
      </c>
      <c r="N186">
        <v>0</v>
      </c>
      <c r="O186">
        <v>5.7</v>
      </c>
      <c r="P186">
        <v>0</v>
      </c>
      <c r="Q186">
        <v>0.25</v>
      </c>
      <c r="R186">
        <v>0</v>
      </c>
      <c r="S186">
        <v>0</v>
      </c>
      <c r="T186">
        <v>0.66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1400</v>
      </c>
      <c r="AD186">
        <v>2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f t="shared" si="8"/>
        <v>16.994</v>
      </c>
      <c r="AU186">
        <f t="shared" si="6"/>
        <v>1.2826666666666666</v>
      </c>
      <c r="AV186">
        <f t="shared" si="7"/>
        <v>887.83500000000004</v>
      </c>
      <c r="AW186">
        <v>94</v>
      </c>
      <c r="BA186">
        <v>390</v>
      </c>
      <c r="BC186" t="s">
        <v>427</v>
      </c>
    </row>
    <row r="187" spans="3:55" x14ac:dyDescent="0.45">
      <c r="C187">
        <v>49.19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7.3</v>
      </c>
      <c r="K187">
        <v>35.5</v>
      </c>
      <c r="L187">
        <v>0</v>
      </c>
      <c r="M187">
        <v>0</v>
      </c>
      <c r="N187">
        <v>0</v>
      </c>
      <c r="O187">
        <v>5.7</v>
      </c>
      <c r="P187">
        <v>0</v>
      </c>
      <c r="Q187">
        <v>0.25</v>
      </c>
      <c r="R187">
        <v>0</v>
      </c>
      <c r="S187">
        <v>0</v>
      </c>
      <c r="T187">
        <v>0.06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1400</v>
      </c>
      <c r="AD187">
        <v>2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f t="shared" si="8"/>
        <v>16.994</v>
      </c>
      <c r="AU187">
        <f t="shared" si="6"/>
        <v>1.2226666666666666</v>
      </c>
      <c r="AV187">
        <f t="shared" si="7"/>
        <v>814.03500000000008</v>
      </c>
      <c r="AW187">
        <v>85</v>
      </c>
      <c r="BA187">
        <v>328</v>
      </c>
      <c r="BC187" t="s">
        <v>427</v>
      </c>
    </row>
    <row r="188" spans="3:55" x14ac:dyDescent="0.45">
      <c r="C188">
        <v>54.55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8.92</v>
      </c>
      <c r="K188">
        <v>19.649999999999999</v>
      </c>
      <c r="L188">
        <v>6.52</v>
      </c>
      <c r="M188">
        <v>0</v>
      </c>
      <c r="N188">
        <v>0</v>
      </c>
      <c r="O188">
        <v>10.36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1200</v>
      </c>
      <c r="AD188">
        <v>30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f t="shared" si="8"/>
        <v>14.301199999999998</v>
      </c>
      <c r="AU188">
        <f t="shared" si="6"/>
        <v>1.4866666666666666</v>
      </c>
      <c r="AV188">
        <f t="shared" si="7"/>
        <v>758.51199999999994</v>
      </c>
      <c r="AW188">
        <v>86.53</v>
      </c>
      <c r="BC188" t="s">
        <v>415</v>
      </c>
    </row>
    <row r="189" spans="3:55" x14ac:dyDescent="0.45">
      <c r="C189">
        <v>51.15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7.3</v>
      </c>
      <c r="K189">
        <v>35.5</v>
      </c>
      <c r="L189">
        <v>0</v>
      </c>
      <c r="M189">
        <v>0</v>
      </c>
      <c r="N189">
        <v>0</v>
      </c>
      <c r="O189">
        <v>5.7</v>
      </c>
      <c r="P189">
        <v>0</v>
      </c>
      <c r="Q189">
        <v>0</v>
      </c>
      <c r="R189">
        <v>0</v>
      </c>
      <c r="S189">
        <v>0</v>
      </c>
      <c r="T189">
        <v>0.35</v>
      </c>
      <c r="U189">
        <v>0</v>
      </c>
      <c r="V189">
        <v>1</v>
      </c>
      <c r="W189">
        <v>1100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1400</v>
      </c>
      <c r="AD189">
        <v>2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f t="shared" si="8"/>
        <v>11.194000000000001</v>
      </c>
      <c r="AU189">
        <f t="shared" si="6"/>
        <v>1.2516666666666665</v>
      </c>
      <c r="AV189">
        <f t="shared" si="7"/>
        <v>874.68</v>
      </c>
      <c r="AW189">
        <v>79</v>
      </c>
      <c r="AX189">
        <v>587</v>
      </c>
      <c r="AY189">
        <v>719</v>
      </c>
      <c r="AZ189">
        <v>27</v>
      </c>
      <c r="BA189">
        <v>236</v>
      </c>
      <c r="BC189" t="s">
        <v>427</v>
      </c>
    </row>
    <row r="190" spans="3:55" x14ac:dyDescent="0.45">
      <c r="C190">
        <v>50.84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7.3</v>
      </c>
      <c r="K190">
        <v>35.5</v>
      </c>
      <c r="L190">
        <v>0</v>
      </c>
      <c r="M190">
        <v>0</v>
      </c>
      <c r="N190">
        <v>0</v>
      </c>
      <c r="O190">
        <v>5.7</v>
      </c>
      <c r="P190">
        <v>0</v>
      </c>
      <c r="Q190">
        <v>0</v>
      </c>
      <c r="R190">
        <v>0</v>
      </c>
      <c r="S190">
        <v>0</v>
      </c>
      <c r="T190">
        <v>0.66</v>
      </c>
      <c r="U190">
        <v>0</v>
      </c>
      <c r="V190">
        <v>1</v>
      </c>
      <c r="W190">
        <v>1100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1400</v>
      </c>
      <c r="AD190">
        <v>2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f t="shared" si="8"/>
        <v>11.194000000000001</v>
      </c>
      <c r="AU190">
        <f t="shared" si="6"/>
        <v>1.2826666666666666</v>
      </c>
      <c r="AV190">
        <f t="shared" si="7"/>
        <v>912.81</v>
      </c>
      <c r="AW190">
        <v>81</v>
      </c>
      <c r="AX190">
        <v>860</v>
      </c>
      <c r="AY190">
        <v>903</v>
      </c>
      <c r="AZ190">
        <v>16</v>
      </c>
      <c r="BA190">
        <v>270</v>
      </c>
      <c r="BC190" t="s">
        <v>427</v>
      </c>
    </row>
    <row r="191" spans="3:55" x14ac:dyDescent="0.45">
      <c r="C191">
        <v>52.55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7.2</v>
      </c>
      <c r="K191">
        <v>35</v>
      </c>
      <c r="L191">
        <v>0</v>
      </c>
      <c r="M191">
        <v>0</v>
      </c>
      <c r="N191">
        <v>0</v>
      </c>
      <c r="O191">
        <v>4.9000000000000004</v>
      </c>
      <c r="P191">
        <v>0</v>
      </c>
      <c r="Q191">
        <v>0</v>
      </c>
      <c r="R191">
        <v>0</v>
      </c>
      <c r="S191">
        <v>0</v>
      </c>
      <c r="T191">
        <v>0.35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750</v>
      </c>
      <c r="AD191">
        <v>8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f t="shared" si="8"/>
        <v>10.878</v>
      </c>
      <c r="AU191">
        <f t="shared" si="6"/>
        <v>1.2349999999999999</v>
      </c>
      <c r="AV191">
        <f t="shared" si="7"/>
        <v>875.36999999999989</v>
      </c>
      <c r="AW191">
        <v>41.5</v>
      </c>
      <c r="AX191">
        <v>857</v>
      </c>
      <c r="AY191">
        <v>876</v>
      </c>
      <c r="AZ191">
        <v>14.2</v>
      </c>
      <c r="BC191" t="s">
        <v>428</v>
      </c>
    </row>
    <row r="192" spans="3:55" x14ac:dyDescent="0.45">
      <c r="C192">
        <v>52.55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7.2</v>
      </c>
      <c r="K192">
        <v>35</v>
      </c>
      <c r="L192">
        <v>0</v>
      </c>
      <c r="M192">
        <v>0</v>
      </c>
      <c r="N192">
        <v>0</v>
      </c>
      <c r="O192">
        <v>4.9000000000000004</v>
      </c>
      <c r="P192">
        <v>0</v>
      </c>
      <c r="Q192">
        <v>0</v>
      </c>
      <c r="R192">
        <v>0</v>
      </c>
      <c r="S192">
        <v>0</v>
      </c>
      <c r="T192">
        <v>0.35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750</v>
      </c>
      <c r="AD192">
        <v>8</v>
      </c>
      <c r="AE192">
        <v>1</v>
      </c>
      <c r="AF192">
        <v>0</v>
      </c>
      <c r="AG192">
        <v>0</v>
      </c>
      <c r="AH192">
        <v>300</v>
      </c>
      <c r="AI192">
        <v>8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f t="shared" si="8"/>
        <v>10.878</v>
      </c>
      <c r="AU192">
        <f t="shared" si="6"/>
        <v>1.2349999999999999</v>
      </c>
      <c r="AV192">
        <f t="shared" si="7"/>
        <v>875.36999999999989</v>
      </c>
      <c r="AW192">
        <v>45.8</v>
      </c>
      <c r="AX192">
        <v>923</v>
      </c>
      <c r="AY192">
        <v>969</v>
      </c>
      <c r="AZ192">
        <v>15.6</v>
      </c>
      <c r="BC192" t="s">
        <v>429</v>
      </c>
    </row>
    <row r="193" spans="3:55" x14ac:dyDescent="0.45">
      <c r="C193">
        <v>52.55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7.2</v>
      </c>
      <c r="K193">
        <v>35</v>
      </c>
      <c r="L193">
        <v>0</v>
      </c>
      <c r="M193">
        <v>0</v>
      </c>
      <c r="N193">
        <v>0</v>
      </c>
      <c r="O193">
        <v>4.9000000000000004</v>
      </c>
      <c r="P193">
        <v>0</v>
      </c>
      <c r="Q193">
        <v>0</v>
      </c>
      <c r="R193">
        <v>0</v>
      </c>
      <c r="S193">
        <v>0</v>
      </c>
      <c r="T193">
        <v>0.35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750</v>
      </c>
      <c r="AD193">
        <v>8</v>
      </c>
      <c r="AE193">
        <v>1</v>
      </c>
      <c r="AF193">
        <v>0</v>
      </c>
      <c r="AG193">
        <v>0</v>
      </c>
      <c r="AH193">
        <v>350</v>
      </c>
      <c r="AI193">
        <v>16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f t="shared" si="8"/>
        <v>10.878</v>
      </c>
      <c r="AU193">
        <f t="shared" si="6"/>
        <v>1.2349999999999999</v>
      </c>
      <c r="AV193">
        <f t="shared" si="7"/>
        <v>875.36999999999989</v>
      </c>
      <c r="AW193">
        <v>43.5</v>
      </c>
      <c r="AX193">
        <v>966</v>
      </c>
      <c r="AY193">
        <v>1015</v>
      </c>
      <c r="AZ193">
        <v>13.7</v>
      </c>
      <c r="BC193" t="s">
        <v>429</v>
      </c>
    </row>
    <row r="194" spans="3:55" x14ac:dyDescent="0.45">
      <c r="C194">
        <v>52.55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7.2</v>
      </c>
      <c r="K194">
        <v>35</v>
      </c>
      <c r="L194">
        <v>0</v>
      </c>
      <c r="M194">
        <v>0</v>
      </c>
      <c r="N194">
        <v>0</v>
      </c>
      <c r="O194">
        <v>4.9000000000000004</v>
      </c>
      <c r="P194">
        <v>0</v>
      </c>
      <c r="Q194">
        <v>0</v>
      </c>
      <c r="R194">
        <v>0</v>
      </c>
      <c r="S194">
        <v>0</v>
      </c>
      <c r="T194">
        <v>0.35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750</v>
      </c>
      <c r="AD194">
        <v>8</v>
      </c>
      <c r="AE194">
        <v>1</v>
      </c>
      <c r="AF194">
        <v>0</v>
      </c>
      <c r="AG194">
        <v>0</v>
      </c>
      <c r="AH194">
        <v>400</v>
      </c>
      <c r="AI194">
        <v>8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f t="shared" si="8"/>
        <v>10.878</v>
      </c>
      <c r="AU194">
        <f t="shared" ref="AU194:AU240" si="9">D194+J194/6+M194/3+(T194+S194)/10</f>
        <v>1.2349999999999999</v>
      </c>
      <c r="AV194">
        <f t="shared" ref="AV194:AV240" si="10">882+2.1*D194-9.5*L194+4.2*M194-6.9*J194-11.8*E194-12.1*F194-15.4*H194+23.3*Q194+123*T194</f>
        <v>875.36999999999989</v>
      </c>
      <c r="AW194">
        <v>42.8</v>
      </c>
      <c r="AX194">
        <v>939</v>
      </c>
      <c r="AY194">
        <v>983</v>
      </c>
      <c r="AZ194">
        <v>5.3</v>
      </c>
      <c r="BC194" t="s">
        <v>429</v>
      </c>
    </row>
    <row r="195" spans="3:55" x14ac:dyDescent="0.45">
      <c r="C195">
        <v>52.55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7.2</v>
      </c>
      <c r="K195">
        <v>35</v>
      </c>
      <c r="L195">
        <v>0</v>
      </c>
      <c r="M195">
        <v>0</v>
      </c>
      <c r="N195">
        <v>0</v>
      </c>
      <c r="O195">
        <v>4.9000000000000004</v>
      </c>
      <c r="P195">
        <v>0</v>
      </c>
      <c r="Q195">
        <v>0</v>
      </c>
      <c r="R195">
        <v>0</v>
      </c>
      <c r="S195">
        <v>0</v>
      </c>
      <c r="T195">
        <v>0.35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750</v>
      </c>
      <c r="AD195">
        <v>8</v>
      </c>
      <c r="AE195">
        <v>1</v>
      </c>
      <c r="AF195">
        <v>0</v>
      </c>
      <c r="AG195">
        <v>0</v>
      </c>
      <c r="AH195">
        <v>450</v>
      </c>
      <c r="AI195">
        <v>32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f t="shared" ref="AT195:AT240" si="11">L195+0.67*E195+0.44*P195+0.28*K195+0.22*O195+2.9*H195+1.6*F195+1.7*G195-D195</f>
        <v>10.878</v>
      </c>
      <c r="AU195">
        <f t="shared" si="9"/>
        <v>1.2349999999999999</v>
      </c>
      <c r="AV195">
        <f t="shared" si="10"/>
        <v>875.36999999999989</v>
      </c>
      <c r="AW195">
        <v>44.7</v>
      </c>
      <c r="AX195">
        <v>864</v>
      </c>
      <c r="AY195">
        <v>908</v>
      </c>
      <c r="AZ195">
        <v>3.4</v>
      </c>
      <c r="BC195" t="s">
        <v>429</v>
      </c>
    </row>
    <row r="196" spans="3:55" x14ac:dyDescent="0.45">
      <c r="C196">
        <v>52.55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7.2</v>
      </c>
      <c r="K196">
        <v>35</v>
      </c>
      <c r="L196">
        <v>0</v>
      </c>
      <c r="M196">
        <v>0</v>
      </c>
      <c r="N196">
        <v>0</v>
      </c>
      <c r="O196">
        <v>4.9000000000000004</v>
      </c>
      <c r="P196">
        <v>0</v>
      </c>
      <c r="Q196">
        <v>0</v>
      </c>
      <c r="R196">
        <v>0</v>
      </c>
      <c r="S196">
        <v>0</v>
      </c>
      <c r="T196">
        <v>0.35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750</v>
      </c>
      <c r="AD196">
        <v>8</v>
      </c>
      <c r="AE196">
        <v>1</v>
      </c>
      <c r="AF196">
        <v>0</v>
      </c>
      <c r="AG196">
        <v>0</v>
      </c>
      <c r="AH196">
        <v>500</v>
      </c>
      <c r="AI196">
        <v>8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f t="shared" si="11"/>
        <v>10.878</v>
      </c>
      <c r="AU196">
        <f t="shared" si="9"/>
        <v>1.2349999999999999</v>
      </c>
      <c r="AV196">
        <f t="shared" si="10"/>
        <v>875.36999999999989</v>
      </c>
      <c r="AW196">
        <v>44.2</v>
      </c>
      <c r="AX196">
        <v>902</v>
      </c>
      <c r="AY196">
        <v>911</v>
      </c>
      <c r="AZ196">
        <v>4.5</v>
      </c>
      <c r="BC196" t="s">
        <v>429</v>
      </c>
    </row>
    <row r="197" spans="3:55" x14ac:dyDescent="0.45">
      <c r="C197">
        <v>52.55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7.2</v>
      </c>
      <c r="K197">
        <v>35</v>
      </c>
      <c r="L197">
        <v>0</v>
      </c>
      <c r="M197">
        <v>0</v>
      </c>
      <c r="N197">
        <v>0</v>
      </c>
      <c r="O197">
        <v>4.9000000000000004</v>
      </c>
      <c r="P197">
        <v>0</v>
      </c>
      <c r="Q197">
        <v>0</v>
      </c>
      <c r="R197">
        <v>0</v>
      </c>
      <c r="S197">
        <v>0</v>
      </c>
      <c r="T197">
        <v>0.35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750</v>
      </c>
      <c r="AD197">
        <v>8</v>
      </c>
      <c r="AE197">
        <v>1</v>
      </c>
      <c r="AF197">
        <v>0</v>
      </c>
      <c r="AG197">
        <v>0</v>
      </c>
      <c r="AH197">
        <v>550</v>
      </c>
      <c r="AI197">
        <v>4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f t="shared" si="11"/>
        <v>10.878</v>
      </c>
      <c r="AU197">
        <f t="shared" si="9"/>
        <v>1.2349999999999999</v>
      </c>
      <c r="AV197">
        <f t="shared" si="10"/>
        <v>875.36999999999989</v>
      </c>
      <c r="AW197">
        <v>43.3</v>
      </c>
      <c r="AX197">
        <v>905</v>
      </c>
      <c r="AY197">
        <v>911</v>
      </c>
      <c r="AZ197">
        <v>2.2000000000000002</v>
      </c>
      <c r="BC197" t="s">
        <v>429</v>
      </c>
    </row>
    <row r="198" spans="3:55" x14ac:dyDescent="0.45">
      <c r="C198">
        <v>50.9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7.3</v>
      </c>
      <c r="K198">
        <v>35.5</v>
      </c>
      <c r="L198">
        <v>0</v>
      </c>
      <c r="M198">
        <v>0</v>
      </c>
      <c r="N198">
        <v>0</v>
      </c>
      <c r="O198">
        <v>5.7</v>
      </c>
      <c r="P198">
        <v>0</v>
      </c>
      <c r="Q198">
        <v>0.25</v>
      </c>
      <c r="R198">
        <v>0</v>
      </c>
      <c r="S198">
        <v>0</v>
      </c>
      <c r="T198">
        <v>0.35</v>
      </c>
      <c r="U198">
        <v>0</v>
      </c>
      <c r="V198">
        <v>1</v>
      </c>
      <c r="W198">
        <v>1100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1400</v>
      </c>
      <c r="AD198">
        <v>2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f t="shared" si="11"/>
        <v>11.194000000000001</v>
      </c>
      <c r="AU198">
        <f t="shared" si="9"/>
        <v>1.2516666666666665</v>
      </c>
      <c r="AV198">
        <f t="shared" si="10"/>
        <v>880.505</v>
      </c>
      <c r="AW198">
        <v>82</v>
      </c>
      <c r="BA198">
        <v>263</v>
      </c>
      <c r="BC198" t="s">
        <v>427</v>
      </c>
    </row>
    <row r="199" spans="3:55" x14ac:dyDescent="0.45">
      <c r="C199">
        <v>51.19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7.3</v>
      </c>
      <c r="K199">
        <v>35.5</v>
      </c>
      <c r="L199">
        <v>0</v>
      </c>
      <c r="M199">
        <v>0</v>
      </c>
      <c r="N199">
        <v>0</v>
      </c>
      <c r="O199">
        <v>5.7</v>
      </c>
      <c r="P199">
        <v>0</v>
      </c>
      <c r="Q199">
        <v>0.25</v>
      </c>
      <c r="R199">
        <v>0</v>
      </c>
      <c r="S199">
        <v>0</v>
      </c>
      <c r="T199">
        <v>0.06</v>
      </c>
      <c r="U199">
        <v>0</v>
      </c>
      <c r="V199">
        <v>1</v>
      </c>
      <c r="W199">
        <v>1100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1400</v>
      </c>
      <c r="AD199">
        <v>2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f t="shared" si="11"/>
        <v>11.194000000000001</v>
      </c>
      <c r="AU199">
        <f t="shared" si="9"/>
        <v>1.2226666666666666</v>
      </c>
      <c r="AV199">
        <f t="shared" si="10"/>
        <v>844.83500000000004</v>
      </c>
      <c r="AW199">
        <v>65</v>
      </c>
      <c r="AX199">
        <v>629</v>
      </c>
      <c r="AY199">
        <v>716</v>
      </c>
      <c r="AZ199">
        <v>13</v>
      </c>
      <c r="BA199">
        <v>219</v>
      </c>
      <c r="BC199" t="s">
        <v>427</v>
      </c>
    </row>
    <row r="200" spans="3:55" x14ac:dyDescent="0.45">
      <c r="C200">
        <v>50.59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7.3</v>
      </c>
      <c r="K200">
        <v>35.5</v>
      </c>
      <c r="L200">
        <v>0</v>
      </c>
      <c r="M200">
        <v>0</v>
      </c>
      <c r="N200">
        <v>0</v>
      </c>
      <c r="O200">
        <v>5.7</v>
      </c>
      <c r="P200">
        <v>0</v>
      </c>
      <c r="Q200">
        <v>0.25</v>
      </c>
      <c r="R200">
        <v>0</v>
      </c>
      <c r="S200">
        <v>0</v>
      </c>
      <c r="T200">
        <v>0.66</v>
      </c>
      <c r="U200">
        <v>0</v>
      </c>
      <c r="V200">
        <v>1</v>
      </c>
      <c r="W200">
        <v>1100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1400</v>
      </c>
      <c r="AD200">
        <v>2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f t="shared" si="11"/>
        <v>11.194000000000001</v>
      </c>
      <c r="AU200">
        <f t="shared" si="9"/>
        <v>1.2826666666666666</v>
      </c>
      <c r="AV200">
        <f t="shared" si="10"/>
        <v>918.63499999999999</v>
      </c>
      <c r="AW200">
        <v>87</v>
      </c>
      <c r="AX200">
        <v>885</v>
      </c>
      <c r="AY200">
        <v>1099</v>
      </c>
      <c r="AZ200">
        <v>22</v>
      </c>
      <c r="BA200">
        <v>294</v>
      </c>
      <c r="BC200" t="s">
        <v>427</v>
      </c>
    </row>
    <row r="201" spans="3:55" x14ac:dyDescent="0.45">
      <c r="C201">
        <v>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f t="shared" si="11"/>
        <v>0</v>
      </c>
      <c r="AU201">
        <f t="shared" si="9"/>
        <v>3.3333333333333335</v>
      </c>
      <c r="AV201">
        <f t="shared" si="10"/>
        <v>924</v>
      </c>
      <c r="AW201">
        <v>106</v>
      </c>
      <c r="AY201">
        <v>1180</v>
      </c>
      <c r="BC201" t="s">
        <v>426</v>
      </c>
    </row>
    <row r="202" spans="3:55" x14ac:dyDescent="0.45">
      <c r="C202">
        <v>85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f t="shared" si="11"/>
        <v>0</v>
      </c>
      <c r="AU202">
        <f t="shared" si="9"/>
        <v>5</v>
      </c>
      <c r="AV202">
        <f t="shared" si="10"/>
        <v>945</v>
      </c>
      <c r="AW202">
        <v>128</v>
      </c>
      <c r="AY202">
        <v>1325</v>
      </c>
      <c r="BC202" t="s">
        <v>426</v>
      </c>
    </row>
    <row r="203" spans="3:55" x14ac:dyDescent="0.45">
      <c r="C203">
        <v>80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f t="shared" si="11"/>
        <v>0</v>
      </c>
      <c r="AU203">
        <f t="shared" si="9"/>
        <v>6.666666666666667</v>
      </c>
      <c r="AV203">
        <f t="shared" si="10"/>
        <v>966</v>
      </c>
      <c r="AW203">
        <v>146</v>
      </c>
      <c r="AY203">
        <v>1525</v>
      </c>
      <c r="BC203" t="s">
        <v>426</v>
      </c>
    </row>
    <row r="204" spans="3:55" x14ac:dyDescent="0.45">
      <c r="C204">
        <v>95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f t="shared" si="11"/>
        <v>0</v>
      </c>
      <c r="AU204">
        <f t="shared" si="9"/>
        <v>1.6666666666666667</v>
      </c>
      <c r="AV204">
        <f t="shared" si="10"/>
        <v>903</v>
      </c>
      <c r="AW204">
        <v>98</v>
      </c>
      <c r="AY204">
        <v>990</v>
      </c>
      <c r="BC204" t="s">
        <v>426</v>
      </c>
    </row>
    <row r="205" spans="3:55" x14ac:dyDescent="0.45">
      <c r="C205">
        <v>76.900000000000006</v>
      </c>
      <c r="D205">
        <v>0</v>
      </c>
      <c r="E205">
        <v>0.42</v>
      </c>
      <c r="F205">
        <v>0.03</v>
      </c>
      <c r="G205">
        <v>0</v>
      </c>
      <c r="H205">
        <v>0.05</v>
      </c>
      <c r="I205">
        <v>0.06</v>
      </c>
      <c r="J205">
        <v>0</v>
      </c>
      <c r="K205">
        <v>4.92</v>
      </c>
      <c r="L205">
        <v>5.25</v>
      </c>
      <c r="M205">
        <v>12.2</v>
      </c>
      <c r="N205">
        <v>0</v>
      </c>
      <c r="O205">
        <v>0</v>
      </c>
      <c r="P205">
        <v>0</v>
      </c>
      <c r="Q205">
        <v>0.04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1100</v>
      </c>
      <c r="AD205">
        <v>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f t="shared" si="11"/>
        <v>7.1019999999999994</v>
      </c>
      <c r="AU205">
        <f t="shared" si="9"/>
        <v>4.0666666666666664</v>
      </c>
      <c r="AV205">
        <f t="shared" si="10"/>
        <v>878.20799999999997</v>
      </c>
      <c r="AW205">
        <v>92.8</v>
      </c>
      <c r="BA205">
        <v>397</v>
      </c>
      <c r="BC205" t="s">
        <v>372</v>
      </c>
    </row>
    <row r="206" spans="3:55" x14ac:dyDescent="0.45">
      <c r="C206">
        <v>65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11.4</v>
      </c>
      <c r="K206">
        <v>11.6</v>
      </c>
      <c r="L206">
        <v>0</v>
      </c>
      <c r="M206">
        <v>12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1200</v>
      </c>
      <c r="AD206">
        <v>24</v>
      </c>
      <c r="AE206">
        <v>1</v>
      </c>
      <c r="AF206">
        <v>0</v>
      </c>
      <c r="AG206">
        <v>0</v>
      </c>
      <c r="AH206">
        <v>900</v>
      </c>
      <c r="AI206">
        <v>0.16666666666666666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f t="shared" si="11"/>
        <v>3.2480000000000002</v>
      </c>
      <c r="AU206">
        <f t="shared" si="9"/>
        <v>5.9</v>
      </c>
      <c r="AV206">
        <f t="shared" si="10"/>
        <v>853.74</v>
      </c>
      <c r="AW206">
        <v>42.1</v>
      </c>
      <c r="BC206" t="s">
        <v>401</v>
      </c>
    </row>
    <row r="207" spans="3:55" x14ac:dyDescent="0.45">
      <c r="C207">
        <v>65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9.8000000000000007</v>
      </c>
      <c r="K207">
        <v>10.7</v>
      </c>
      <c r="L207">
        <v>0</v>
      </c>
      <c r="M207">
        <v>14.5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1000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1200</v>
      </c>
      <c r="AD207">
        <v>24</v>
      </c>
      <c r="AE207">
        <v>1</v>
      </c>
      <c r="AF207">
        <v>0</v>
      </c>
      <c r="AG207">
        <v>0</v>
      </c>
      <c r="AH207">
        <v>900</v>
      </c>
      <c r="AI207">
        <v>0.16666666666666666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f t="shared" si="11"/>
        <v>2.996</v>
      </c>
      <c r="AU207">
        <f t="shared" si="9"/>
        <v>6.4666666666666668</v>
      </c>
      <c r="AV207">
        <f t="shared" si="10"/>
        <v>875.28</v>
      </c>
      <c r="AW207">
        <v>61.4</v>
      </c>
      <c r="BC207" t="s">
        <v>401</v>
      </c>
    </row>
    <row r="208" spans="3:55" x14ac:dyDescent="0.45">
      <c r="C208">
        <v>67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11.4</v>
      </c>
      <c r="K208">
        <v>9.8000000000000007</v>
      </c>
      <c r="L208">
        <v>0</v>
      </c>
      <c r="M208">
        <v>11.8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1200</v>
      </c>
      <c r="AD208">
        <v>24</v>
      </c>
      <c r="AE208">
        <v>1</v>
      </c>
      <c r="AF208">
        <v>0</v>
      </c>
      <c r="AG208">
        <v>0</v>
      </c>
      <c r="AH208">
        <v>900</v>
      </c>
      <c r="AI208">
        <v>0.16666666666666666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f t="shared" si="11"/>
        <v>2.7440000000000007</v>
      </c>
      <c r="AU208">
        <f t="shared" si="9"/>
        <v>5.8333333333333339</v>
      </c>
      <c r="AV208">
        <f t="shared" si="10"/>
        <v>852.9</v>
      </c>
      <c r="AW208">
        <v>57.2</v>
      </c>
      <c r="BC208" t="s">
        <v>401</v>
      </c>
    </row>
    <row r="209" spans="3:55" x14ac:dyDescent="0.45">
      <c r="C209">
        <v>65.599999999999994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11.6</v>
      </c>
      <c r="K209">
        <v>5.7</v>
      </c>
      <c r="L209">
        <v>5.3</v>
      </c>
      <c r="M209">
        <v>11.8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f t="shared" si="11"/>
        <v>6.8959999999999999</v>
      </c>
      <c r="AU209">
        <f t="shared" si="9"/>
        <v>5.8666666666666671</v>
      </c>
      <c r="AV209">
        <f t="shared" si="10"/>
        <v>801.17000000000007</v>
      </c>
      <c r="AW209">
        <v>68.8</v>
      </c>
      <c r="BC209" t="s">
        <v>405</v>
      </c>
    </row>
    <row r="210" spans="3:55" x14ac:dyDescent="0.45">
      <c r="C210">
        <v>67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12.2</v>
      </c>
      <c r="K210">
        <v>5.9</v>
      </c>
      <c r="L210">
        <v>1.7</v>
      </c>
      <c r="M210">
        <v>12.4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1200</v>
      </c>
      <c r="AD210">
        <v>24</v>
      </c>
      <c r="AE210">
        <v>1</v>
      </c>
      <c r="AF210">
        <v>0</v>
      </c>
      <c r="AG210">
        <v>0</v>
      </c>
      <c r="AH210">
        <v>900</v>
      </c>
      <c r="AI210">
        <v>0.16666666666666666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f t="shared" si="11"/>
        <v>3.3520000000000003</v>
      </c>
      <c r="AU210">
        <f t="shared" si="9"/>
        <v>6.166666666666667</v>
      </c>
      <c r="AV210">
        <f t="shared" si="10"/>
        <v>833.75000000000011</v>
      </c>
      <c r="AW210">
        <v>79.8</v>
      </c>
      <c r="BC210" t="s">
        <v>401</v>
      </c>
    </row>
    <row r="211" spans="3:55" x14ac:dyDescent="0.45">
      <c r="C211">
        <v>65.599999999999994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11.6</v>
      </c>
      <c r="K211">
        <v>5.7</v>
      </c>
      <c r="L211">
        <v>5.3</v>
      </c>
      <c r="M211">
        <v>11.8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1200</v>
      </c>
      <c r="AD211">
        <v>24</v>
      </c>
      <c r="AE211">
        <v>1</v>
      </c>
      <c r="AF211">
        <v>0</v>
      </c>
      <c r="AG211">
        <v>0</v>
      </c>
      <c r="AH211">
        <v>900</v>
      </c>
      <c r="AI211">
        <v>0.16666666666666666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f t="shared" si="11"/>
        <v>6.8959999999999999</v>
      </c>
      <c r="AU211">
        <f t="shared" si="9"/>
        <v>5.8666666666666671</v>
      </c>
      <c r="AV211">
        <f t="shared" si="10"/>
        <v>801.17000000000007</v>
      </c>
      <c r="AW211">
        <v>69.3</v>
      </c>
      <c r="BC211" t="s">
        <v>401</v>
      </c>
    </row>
    <row r="212" spans="3:55" x14ac:dyDescent="0.45">
      <c r="C212">
        <v>70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f t="shared" si="11"/>
        <v>6.6</v>
      </c>
      <c r="AU212">
        <f t="shared" si="9"/>
        <v>0</v>
      </c>
      <c r="AV212">
        <f t="shared" si="10"/>
        <v>882</v>
      </c>
      <c r="AW212">
        <v>50</v>
      </c>
      <c r="BC212" t="s">
        <v>430</v>
      </c>
    </row>
    <row r="213" spans="3:55" x14ac:dyDescent="0.45">
      <c r="C213">
        <v>51.81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48.19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f t="shared" si="11"/>
        <v>10.601799999999999</v>
      </c>
      <c r="AU213">
        <f t="shared" si="9"/>
        <v>0</v>
      </c>
      <c r="AV213">
        <f t="shared" si="10"/>
        <v>882</v>
      </c>
      <c r="AW213">
        <v>75.77</v>
      </c>
      <c r="AX213">
        <v>883</v>
      </c>
      <c r="AY213">
        <v>944</v>
      </c>
      <c r="AZ213">
        <v>11.72</v>
      </c>
      <c r="BC213" t="s">
        <v>430</v>
      </c>
    </row>
    <row r="214" spans="3:55" x14ac:dyDescent="0.45">
      <c r="C214">
        <v>48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f t="shared" si="11"/>
        <v>11.44</v>
      </c>
      <c r="AU214">
        <f t="shared" si="9"/>
        <v>0</v>
      </c>
      <c r="AV214">
        <f t="shared" si="10"/>
        <v>882</v>
      </c>
      <c r="AW214">
        <v>32</v>
      </c>
      <c r="BC214" t="s">
        <v>430</v>
      </c>
    </row>
    <row r="215" spans="3:55" x14ac:dyDescent="0.45">
      <c r="C215">
        <v>30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80</v>
      </c>
      <c r="Y215">
        <v>0</v>
      </c>
      <c r="Z215">
        <v>1</v>
      </c>
      <c r="AA215">
        <v>0</v>
      </c>
      <c r="AB215">
        <v>0</v>
      </c>
      <c r="AC215">
        <v>900</v>
      </c>
      <c r="AD215">
        <v>6</v>
      </c>
      <c r="AE215">
        <v>1</v>
      </c>
      <c r="AF215">
        <v>0</v>
      </c>
      <c r="AG215">
        <v>0</v>
      </c>
      <c r="AH215">
        <v>950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f t="shared" si="11"/>
        <v>15.4</v>
      </c>
      <c r="AU215">
        <f t="shared" si="9"/>
        <v>0</v>
      </c>
      <c r="AV215">
        <f t="shared" si="10"/>
        <v>882</v>
      </c>
      <c r="AW215">
        <v>67</v>
      </c>
      <c r="AY215">
        <v>600</v>
      </c>
      <c r="BA215">
        <v>227</v>
      </c>
      <c r="BC215" t="s">
        <v>431</v>
      </c>
    </row>
    <row r="216" spans="3:55" x14ac:dyDescent="0.45">
      <c r="C216">
        <v>50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25</v>
      </c>
      <c r="L216">
        <v>0</v>
      </c>
      <c r="M216">
        <v>0</v>
      </c>
      <c r="N216">
        <v>0</v>
      </c>
      <c r="O216">
        <v>25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80</v>
      </c>
      <c r="Y216">
        <v>0</v>
      </c>
      <c r="Z216">
        <v>1</v>
      </c>
      <c r="AA216">
        <v>0</v>
      </c>
      <c r="AB216">
        <v>0</v>
      </c>
      <c r="AC216">
        <v>950</v>
      </c>
      <c r="AD216">
        <v>20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f t="shared" si="11"/>
        <v>12.5</v>
      </c>
      <c r="AU216">
        <f t="shared" si="9"/>
        <v>0</v>
      </c>
      <c r="AV216">
        <f t="shared" si="10"/>
        <v>882</v>
      </c>
      <c r="AW216">
        <v>55</v>
      </c>
      <c r="AY216">
        <v>530</v>
      </c>
      <c r="BA216">
        <v>145</v>
      </c>
      <c r="BC216" t="s">
        <v>406</v>
      </c>
    </row>
    <row r="217" spans="3:55" x14ac:dyDescent="0.45">
      <c r="C217">
        <v>82.698999999999998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1.49</v>
      </c>
      <c r="K217">
        <v>0</v>
      </c>
      <c r="L217">
        <v>0</v>
      </c>
      <c r="M217">
        <v>0</v>
      </c>
      <c r="N217">
        <v>0</v>
      </c>
      <c r="O217">
        <v>15.1</v>
      </c>
      <c r="P217">
        <v>0</v>
      </c>
      <c r="Q217">
        <v>0</v>
      </c>
      <c r="R217">
        <v>0</v>
      </c>
      <c r="S217">
        <v>3.1E-2</v>
      </c>
      <c r="T217">
        <v>0.68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f t="shared" si="11"/>
        <v>3.3220000000000001</v>
      </c>
      <c r="AU217">
        <f t="shared" si="9"/>
        <v>0.31943333333333335</v>
      </c>
      <c r="AV217">
        <f t="shared" si="10"/>
        <v>955.35900000000004</v>
      </c>
      <c r="AW217">
        <v>92.18</v>
      </c>
      <c r="AX217">
        <v>869</v>
      </c>
      <c r="AY217">
        <v>890</v>
      </c>
      <c r="AZ217">
        <v>16.11</v>
      </c>
      <c r="BC217" t="s">
        <v>432</v>
      </c>
    </row>
    <row r="218" spans="3:55" x14ac:dyDescent="0.45">
      <c r="C218">
        <v>78.881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5.51</v>
      </c>
      <c r="K218">
        <v>0</v>
      </c>
      <c r="L218">
        <v>0</v>
      </c>
      <c r="M218">
        <v>0</v>
      </c>
      <c r="N218">
        <v>0</v>
      </c>
      <c r="O218">
        <v>14.9</v>
      </c>
      <c r="P218">
        <v>0</v>
      </c>
      <c r="Q218">
        <v>0</v>
      </c>
      <c r="R218">
        <v>0</v>
      </c>
      <c r="S218">
        <v>2.9000000000000001E-2</v>
      </c>
      <c r="T218">
        <v>0.68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f t="shared" si="11"/>
        <v>3.278</v>
      </c>
      <c r="AU218">
        <f t="shared" si="9"/>
        <v>0.9892333333333333</v>
      </c>
      <c r="AV218">
        <f t="shared" si="10"/>
        <v>927.62099999999998</v>
      </c>
      <c r="AW218">
        <v>71.62</v>
      </c>
      <c r="AX218">
        <v>925</v>
      </c>
      <c r="AY218">
        <v>960</v>
      </c>
      <c r="AZ218">
        <v>18.920000000000002</v>
      </c>
      <c r="BC218" t="s">
        <v>432</v>
      </c>
    </row>
    <row r="219" spans="3:55" x14ac:dyDescent="0.45">
      <c r="C219">
        <v>73.515999999999991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10.6</v>
      </c>
      <c r="K219">
        <v>0</v>
      </c>
      <c r="L219">
        <v>0</v>
      </c>
      <c r="M219">
        <v>0</v>
      </c>
      <c r="N219">
        <v>0</v>
      </c>
      <c r="O219">
        <v>15</v>
      </c>
      <c r="P219">
        <v>0</v>
      </c>
      <c r="Q219">
        <v>0</v>
      </c>
      <c r="R219">
        <v>0</v>
      </c>
      <c r="S219">
        <v>2.4E-2</v>
      </c>
      <c r="T219">
        <v>0.86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f t="shared" si="11"/>
        <v>3.3</v>
      </c>
      <c r="AU219">
        <f t="shared" si="9"/>
        <v>1.8550666666666666</v>
      </c>
      <c r="AV219">
        <f t="shared" si="10"/>
        <v>914.64</v>
      </c>
      <c r="AW219">
        <v>42.93</v>
      </c>
      <c r="AX219">
        <v>768</v>
      </c>
      <c r="AY219">
        <v>805</v>
      </c>
      <c r="AZ219">
        <v>15.12</v>
      </c>
      <c r="BC219" t="s">
        <v>432</v>
      </c>
    </row>
    <row r="220" spans="3:55" x14ac:dyDescent="0.45">
      <c r="C220">
        <v>65.745100000000008</v>
      </c>
      <c r="D220">
        <v>0</v>
      </c>
      <c r="E220">
        <v>0</v>
      </c>
      <c r="F220">
        <v>4.04</v>
      </c>
      <c r="G220">
        <v>0</v>
      </c>
      <c r="H220">
        <v>0</v>
      </c>
      <c r="I220">
        <v>0</v>
      </c>
      <c r="J220">
        <v>30.08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2.7900000000000001E-2</v>
      </c>
      <c r="T220">
        <v>0.107</v>
      </c>
      <c r="U220">
        <v>0</v>
      </c>
      <c r="V220">
        <v>1</v>
      </c>
      <c r="W220">
        <v>1000</v>
      </c>
      <c r="X220">
        <v>70</v>
      </c>
      <c r="Y220">
        <v>0</v>
      </c>
      <c r="Z220">
        <v>1</v>
      </c>
      <c r="AA220">
        <v>0</v>
      </c>
      <c r="AB220">
        <v>0</v>
      </c>
      <c r="AC220">
        <v>850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f t="shared" si="11"/>
        <v>6.4640000000000004</v>
      </c>
      <c r="AU220">
        <f t="shared" si="9"/>
        <v>5.0268233333333328</v>
      </c>
      <c r="AV220">
        <f t="shared" si="10"/>
        <v>638.72499999999991</v>
      </c>
      <c r="AW220">
        <v>67</v>
      </c>
      <c r="AX220">
        <v>525</v>
      </c>
      <c r="AY220">
        <v>755</v>
      </c>
      <c r="AZ220">
        <v>2.5</v>
      </c>
      <c r="BC220" t="s">
        <v>433</v>
      </c>
    </row>
    <row r="221" spans="3:55" x14ac:dyDescent="0.45">
      <c r="C221">
        <v>64.550899999999999</v>
      </c>
      <c r="D221">
        <v>0</v>
      </c>
      <c r="E221">
        <v>0</v>
      </c>
      <c r="F221">
        <v>5.1100000000000003</v>
      </c>
      <c r="G221">
        <v>0</v>
      </c>
      <c r="H221">
        <v>0</v>
      </c>
      <c r="I221">
        <v>0</v>
      </c>
      <c r="J221">
        <v>30.25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8.0999999999999996E-3</v>
      </c>
      <c r="T221">
        <v>8.1000000000000003E-2</v>
      </c>
      <c r="U221">
        <v>0</v>
      </c>
      <c r="V221">
        <v>1</v>
      </c>
      <c r="W221">
        <v>1000</v>
      </c>
      <c r="X221">
        <v>70</v>
      </c>
      <c r="Y221">
        <v>0</v>
      </c>
      <c r="Z221">
        <v>1</v>
      </c>
      <c r="AA221">
        <v>0</v>
      </c>
      <c r="AB221">
        <v>0</v>
      </c>
      <c r="AC221">
        <v>850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f t="shared" si="11"/>
        <v>8.1760000000000002</v>
      </c>
      <c r="AU221">
        <f t="shared" si="9"/>
        <v>5.0505766666666672</v>
      </c>
      <c r="AV221">
        <f t="shared" si="10"/>
        <v>621.40699999999993</v>
      </c>
      <c r="AW221">
        <v>76</v>
      </c>
      <c r="AX221">
        <v>855</v>
      </c>
      <c r="AY221">
        <v>965</v>
      </c>
      <c r="AZ221">
        <v>4.5</v>
      </c>
      <c r="BC221" t="s">
        <v>433</v>
      </c>
    </row>
    <row r="222" spans="3:55" x14ac:dyDescent="0.45">
      <c r="C222">
        <v>65.745100000000008</v>
      </c>
      <c r="D222">
        <v>0</v>
      </c>
      <c r="E222">
        <v>0</v>
      </c>
      <c r="F222">
        <v>4.04</v>
      </c>
      <c r="G222">
        <v>0</v>
      </c>
      <c r="H222">
        <v>0</v>
      </c>
      <c r="I222">
        <v>0</v>
      </c>
      <c r="J222">
        <v>30.08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2.7900000000000001E-2</v>
      </c>
      <c r="T222">
        <v>0.107</v>
      </c>
      <c r="U222">
        <v>0</v>
      </c>
      <c r="V222">
        <v>1</v>
      </c>
      <c r="W222">
        <v>1000</v>
      </c>
      <c r="X222">
        <v>70</v>
      </c>
      <c r="Y222">
        <v>0</v>
      </c>
      <c r="Z222">
        <v>1</v>
      </c>
      <c r="AA222">
        <v>0</v>
      </c>
      <c r="AB222">
        <v>0</v>
      </c>
      <c r="AC222">
        <v>850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f t="shared" si="11"/>
        <v>6.4640000000000004</v>
      </c>
      <c r="AU222">
        <f t="shared" si="9"/>
        <v>5.0268233333333328</v>
      </c>
      <c r="AV222">
        <f t="shared" si="10"/>
        <v>638.72499999999991</v>
      </c>
      <c r="AW222">
        <v>69.400000000000006</v>
      </c>
      <c r="AX222">
        <v>505</v>
      </c>
      <c r="AY222">
        <v>690</v>
      </c>
      <c r="AZ222">
        <v>11</v>
      </c>
      <c r="BC222" t="s">
        <v>433</v>
      </c>
    </row>
    <row r="223" spans="3:55" x14ac:dyDescent="0.45">
      <c r="C223">
        <v>64.550899999999999</v>
      </c>
      <c r="D223">
        <v>0</v>
      </c>
      <c r="E223">
        <v>0</v>
      </c>
      <c r="F223">
        <v>5.1100000000000003</v>
      </c>
      <c r="G223">
        <v>0</v>
      </c>
      <c r="H223">
        <v>0</v>
      </c>
      <c r="I223">
        <v>0</v>
      </c>
      <c r="J223">
        <v>30.25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8.0999999999999996E-3</v>
      </c>
      <c r="T223">
        <v>8.1000000000000003E-2</v>
      </c>
      <c r="U223">
        <v>0</v>
      </c>
      <c r="V223">
        <v>1</v>
      </c>
      <c r="W223">
        <v>1000</v>
      </c>
      <c r="X223">
        <v>70</v>
      </c>
      <c r="Y223">
        <v>0</v>
      </c>
      <c r="Z223">
        <v>1</v>
      </c>
      <c r="AA223">
        <v>0</v>
      </c>
      <c r="AB223">
        <v>0</v>
      </c>
      <c r="AC223">
        <v>850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f t="shared" si="11"/>
        <v>8.1760000000000002</v>
      </c>
      <c r="AU223">
        <f t="shared" si="9"/>
        <v>5.0505766666666672</v>
      </c>
      <c r="AV223">
        <f t="shared" si="10"/>
        <v>621.40699999999993</v>
      </c>
      <c r="AW223">
        <v>66.599999999999994</v>
      </c>
      <c r="AX223">
        <v>820</v>
      </c>
      <c r="AY223">
        <v>880</v>
      </c>
      <c r="AZ223">
        <v>6</v>
      </c>
      <c r="BC223" t="s">
        <v>433</v>
      </c>
    </row>
    <row r="224" spans="3:55" x14ac:dyDescent="0.45">
      <c r="C224">
        <v>63.886500000000005</v>
      </c>
      <c r="D224">
        <v>0</v>
      </c>
      <c r="E224">
        <v>0</v>
      </c>
      <c r="F224">
        <v>1.03</v>
      </c>
      <c r="G224">
        <v>0</v>
      </c>
      <c r="H224">
        <v>0</v>
      </c>
      <c r="I224">
        <v>0</v>
      </c>
      <c r="J224">
        <v>29.95</v>
      </c>
      <c r="K224">
        <v>0</v>
      </c>
      <c r="L224">
        <v>5.07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7.4999999999999997E-3</v>
      </c>
      <c r="T224">
        <v>5.6000000000000001E-2</v>
      </c>
      <c r="U224">
        <v>0</v>
      </c>
      <c r="V224">
        <v>1</v>
      </c>
      <c r="W224">
        <v>1000</v>
      </c>
      <c r="X224">
        <v>70</v>
      </c>
      <c r="Y224">
        <v>0</v>
      </c>
      <c r="Z224">
        <v>1</v>
      </c>
      <c r="AA224">
        <v>0</v>
      </c>
      <c r="AB224">
        <v>0</v>
      </c>
      <c r="AC224">
        <v>850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f t="shared" si="11"/>
        <v>6.718</v>
      </c>
      <c r="AU224">
        <f t="shared" si="9"/>
        <v>4.9980166666666666</v>
      </c>
      <c r="AV224">
        <f t="shared" si="10"/>
        <v>621.60500000000013</v>
      </c>
      <c r="AW224">
        <v>67.5</v>
      </c>
      <c r="AX224">
        <v>548</v>
      </c>
      <c r="AY224">
        <v>550</v>
      </c>
      <c r="AZ224">
        <v>11.5</v>
      </c>
      <c r="BC224" t="s">
        <v>433</v>
      </c>
    </row>
    <row r="225" spans="3:55" x14ac:dyDescent="0.45">
      <c r="C225">
        <v>63.886500000000005</v>
      </c>
      <c r="D225">
        <v>0</v>
      </c>
      <c r="E225">
        <v>0</v>
      </c>
      <c r="F225">
        <v>1.03</v>
      </c>
      <c r="G225">
        <v>0</v>
      </c>
      <c r="H225">
        <v>0</v>
      </c>
      <c r="I225">
        <v>0</v>
      </c>
      <c r="J225">
        <v>29.95</v>
      </c>
      <c r="K225">
        <v>0</v>
      </c>
      <c r="L225">
        <v>5.07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7.4999999999999997E-3</v>
      </c>
      <c r="T225">
        <v>5.6000000000000001E-2</v>
      </c>
      <c r="U225">
        <v>0</v>
      </c>
      <c r="V225">
        <v>1</v>
      </c>
      <c r="W225">
        <v>1000</v>
      </c>
      <c r="X225">
        <v>70</v>
      </c>
      <c r="Y225">
        <v>0</v>
      </c>
      <c r="Z225">
        <v>1</v>
      </c>
      <c r="AA225">
        <v>0</v>
      </c>
      <c r="AB225">
        <v>0</v>
      </c>
      <c r="AC225">
        <v>850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f t="shared" si="11"/>
        <v>6.718</v>
      </c>
      <c r="AU225">
        <f t="shared" si="9"/>
        <v>4.9980166666666666</v>
      </c>
      <c r="AV225">
        <f t="shared" si="10"/>
        <v>621.60500000000013</v>
      </c>
      <c r="AW225">
        <v>69.099999999999994</v>
      </c>
      <c r="AX225">
        <v>510</v>
      </c>
      <c r="AY225">
        <v>512</v>
      </c>
      <c r="AZ225">
        <v>41.5</v>
      </c>
      <c r="BC225" t="s">
        <v>433</v>
      </c>
    </row>
    <row r="226" spans="3:55" x14ac:dyDescent="0.45">
      <c r="C226">
        <v>64.113200000000006</v>
      </c>
      <c r="D226">
        <v>0</v>
      </c>
      <c r="E226">
        <v>0</v>
      </c>
      <c r="F226">
        <v>2.04</v>
      </c>
      <c r="G226">
        <v>0</v>
      </c>
      <c r="H226">
        <v>0</v>
      </c>
      <c r="I226">
        <v>0</v>
      </c>
      <c r="J226">
        <v>29.7</v>
      </c>
      <c r="K226">
        <v>0</v>
      </c>
      <c r="L226">
        <v>4.08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3.8E-3</v>
      </c>
      <c r="T226">
        <v>6.3E-2</v>
      </c>
      <c r="U226">
        <v>0</v>
      </c>
      <c r="V226">
        <v>1</v>
      </c>
      <c r="W226">
        <v>1000</v>
      </c>
      <c r="X226">
        <v>70</v>
      </c>
      <c r="Y226">
        <v>0</v>
      </c>
      <c r="Z226">
        <v>1</v>
      </c>
      <c r="AA226">
        <v>0</v>
      </c>
      <c r="AB226">
        <v>0</v>
      </c>
      <c r="AC226">
        <v>850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f t="shared" si="11"/>
        <v>7.3440000000000003</v>
      </c>
      <c r="AU226">
        <f t="shared" si="9"/>
        <v>4.9566800000000004</v>
      </c>
      <c r="AV226">
        <f t="shared" si="10"/>
        <v>621.375</v>
      </c>
      <c r="AW226">
        <v>74</v>
      </c>
      <c r="AX226">
        <v>610</v>
      </c>
      <c r="AY226">
        <v>635</v>
      </c>
      <c r="AZ226">
        <v>10.5</v>
      </c>
      <c r="BC226" t="s">
        <v>433</v>
      </c>
    </row>
    <row r="227" spans="3:55" x14ac:dyDescent="0.45">
      <c r="C227">
        <v>64.113200000000006</v>
      </c>
      <c r="D227">
        <v>0</v>
      </c>
      <c r="E227">
        <v>0</v>
      </c>
      <c r="F227">
        <v>2.04</v>
      </c>
      <c r="G227">
        <v>0</v>
      </c>
      <c r="H227">
        <v>0</v>
      </c>
      <c r="I227">
        <v>0</v>
      </c>
      <c r="J227">
        <v>29.7</v>
      </c>
      <c r="K227">
        <v>0</v>
      </c>
      <c r="L227">
        <v>4.08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3.8E-3</v>
      </c>
      <c r="T227">
        <v>6.3E-2</v>
      </c>
      <c r="U227">
        <v>0</v>
      </c>
      <c r="V227">
        <v>1</v>
      </c>
      <c r="W227">
        <v>1000</v>
      </c>
      <c r="X227">
        <v>70</v>
      </c>
      <c r="Y227">
        <v>0</v>
      </c>
      <c r="Z227">
        <v>1</v>
      </c>
      <c r="AA227">
        <v>0</v>
      </c>
      <c r="AB227">
        <v>0</v>
      </c>
      <c r="AC227">
        <v>850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f t="shared" si="11"/>
        <v>7.3440000000000003</v>
      </c>
      <c r="AU227">
        <f t="shared" si="9"/>
        <v>4.9566800000000004</v>
      </c>
      <c r="AV227">
        <f t="shared" si="10"/>
        <v>621.375</v>
      </c>
      <c r="AW227">
        <v>64.2</v>
      </c>
      <c r="AX227">
        <v>590</v>
      </c>
      <c r="AY227">
        <v>580</v>
      </c>
      <c r="AZ227">
        <v>34</v>
      </c>
      <c r="BC227" t="s">
        <v>433</v>
      </c>
    </row>
    <row r="228" spans="3:55" x14ac:dyDescent="0.45">
      <c r="C228">
        <v>63.973999999999997</v>
      </c>
      <c r="D228">
        <v>0</v>
      </c>
      <c r="E228">
        <v>0</v>
      </c>
      <c r="F228">
        <v>3.06</v>
      </c>
      <c r="G228">
        <v>0</v>
      </c>
      <c r="H228">
        <v>0</v>
      </c>
      <c r="I228">
        <v>0</v>
      </c>
      <c r="J228">
        <v>29.85</v>
      </c>
      <c r="K228">
        <v>0</v>
      </c>
      <c r="L228">
        <v>3.05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6.0000000000000001E-3</v>
      </c>
      <c r="T228">
        <v>0.06</v>
      </c>
      <c r="U228">
        <v>0</v>
      </c>
      <c r="V228">
        <v>1</v>
      </c>
      <c r="W228">
        <v>1000</v>
      </c>
      <c r="X228">
        <v>70</v>
      </c>
      <c r="Y228">
        <v>0</v>
      </c>
      <c r="Z228">
        <v>1</v>
      </c>
      <c r="AA228">
        <v>0</v>
      </c>
      <c r="AB228">
        <v>0</v>
      </c>
      <c r="AC228">
        <v>850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f t="shared" si="11"/>
        <v>7.9460000000000006</v>
      </c>
      <c r="AU228">
        <f t="shared" si="9"/>
        <v>4.9816000000000003</v>
      </c>
      <c r="AV228">
        <f t="shared" si="10"/>
        <v>617.41399999999999</v>
      </c>
      <c r="AW228">
        <v>87</v>
      </c>
      <c r="AX228">
        <v>760</v>
      </c>
      <c r="AY228">
        <v>752</v>
      </c>
      <c r="AZ228">
        <v>8</v>
      </c>
      <c r="BC228" t="s">
        <v>433</v>
      </c>
    </row>
    <row r="229" spans="3:55" x14ac:dyDescent="0.45">
      <c r="C229">
        <v>63.973999999999997</v>
      </c>
      <c r="D229">
        <v>0</v>
      </c>
      <c r="E229">
        <v>0</v>
      </c>
      <c r="F229">
        <v>3.06</v>
      </c>
      <c r="G229">
        <v>0</v>
      </c>
      <c r="H229">
        <v>0</v>
      </c>
      <c r="I229">
        <v>0</v>
      </c>
      <c r="J229">
        <v>29.85</v>
      </c>
      <c r="K229">
        <v>0</v>
      </c>
      <c r="L229">
        <v>3.05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6.0000000000000001E-3</v>
      </c>
      <c r="T229">
        <v>0.06</v>
      </c>
      <c r="U229">
        <v>0</v>
      </c>
      <c r="V229">
        <v>1</v>
      </c>
      <c r="W229">
        <v>1000</v>
      </c>
      <c r="X229">
        <v>70</v>
      </c>
      <c r="Y229">
        <v>0</v>
      </c>
      <c r="Z229">
        <v>1</v>
      </c>
      <c r="AA229">
        <v>0</v>
      </c>
      <c r="AB229">
        <v>0</v>
      </c>
      <c r="AC229">
        <v>850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f t="shared" si="11"/>
        <v>7.9460000000000006</v>
      </c>
      <c r="AU229">
        <f t="shared" si="9"/>
        <v>4.9816000000000003</v>
      </c>
      <c r="AV229">
        <f t="shared" si="10"/>
        <v>617.41399999999999</v>
      </c>
      <c r="AW229">
        <v>68.5</v>
      </c>
      <c r="AX229">
        <v>646</v>
      </c>
      <c r="AY229">
        <v>645</v>
      </c>
      <c r="AZ229">
        <v>27.6</v>
      </c>
      <c r="BC229" t="s">
        <v>433</v>
      </c>
    </row>
    <row r="230" spans="3:55" x14ac:dyDescent="0.45">
      <c r="C230">
        <v>75.75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13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0</v>
      </c>
      <c r="Q230">
        <v>1.25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f t="shared" si="11"/>
        <v>10</v>
      </c>
      <c r="AU230">
        <f t="shared" si="9"/>
        <v>2.1666666666666665</v>
      </c>
      <c r="AV230">
        <f t="shared" si="10"/>
        <v>726.42499999999995</v>
      </c>
      <c r="AW230">
        <v>32.622999999999998</v>
      </c>
      <c r="BC230" t="s">
        <v>378</v>
      </c>
    </row>
    <row r="231" spans="3:55" x14ac:dyDescent="0.45">
      <c r="C231">
        <v>76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18</v>
      </c>
      <c r="K231">
        <v>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875</v>
      </c>
      <c r="AD231">
        <v>0.33333333333333331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f t="shared" si="11"/>
        <v>1.6800000000000002</v>
      </c>
      <c r="AU231">
        <f t="shared" si="9"/>
        <v>3</v>
      </c>
      <c r="AV231">
        <f t="shared" si="10"/>
        <v>757.8</v>
      </c>
      <c r="AW231">
        <v>85.2</v>
      </c>
      <c r="AX231">
        <v>659</v>
      </c>
      <c r="AY231">
        <v>807</v>
      </c>
      <c r="AZ231">
        <v>8</v>
      </c>
      <c r="BC231" t="s">
        <v>434</v>
      </c>
    </row>
    <row r="232" spans="3:55" x14ac:dyDescent="0.45">
      <c r="C232">
        <v>76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18</v>
      </c>
      <c r="K232">
        <v>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875</v>
      </c>
      <c r="AD232">
        <v>0.5</v>
      </c>
      <c r="AE232">
        <v>1</v>
      </c>
      <c r="AF232">
        <v>0</v>
      </c>
      <c r="AG232">
        <v>0</v>
      </c>
      <c r="AH232">
        <v>500</v>
      </c>
      <c r="AI232">
        <v>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f t="shared" si="11"/>
        <v>1.6800000000000002</v>
      </c>
      <c r="AU232">
        <f t="shared" si="9"/>
        <v>3</v>
      </c>
      <c r="AV232">
        <f t="shared" si="10"/>
        <v>757.8</v>
      </c>
      <c r="AW232">
        <v>86.8</v>
      </c>
      <c r="AX232">
        <v>733</v>
      </c>
      <c r="AY232">
        <v>876</v>
      </c>
      <c r="AZ232">
        <v>8</v>
      </c>
      <c r="BC232" t="s">
        <v>434</v>
      </c>
    </row>
    <row r="233" spans="3:55" x14ac:dyDescent="0.45">
      <c r="C233">
        <v>62.5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16.100000000000001</v>
      </c>
      <c r="K233">
        <v>15.3</v>
      </c>
      <c r="L233">
        <v>0</v>
      </c>
      <c r="M233">
        <v>6.1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1000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1200</v>
      </c>
      <c r="AD233">
        <v>24</v>
      </c>
      <c r="AE233">
        <v>1</v>
      </c>
      <c r="AF233">
        <v>0</v>
      </c>
      <c r="AG233">
        <v>0</v>
      </c>
      <c r="AH233">
        <v>900</v>
      </c>
      <c r="AI233">
        <v>0.16666666666666666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f t="shared" si="11"/>
        <v>4.2840000000000007</v>
      </c>
      <c r="AU233">
        <f t="shared" si="9"/>
        <v>4.7166666666666668</v>
      </c>
      <c r="AV233">
        <f t="shared" si="10"/>
        <v>796.53</v>
      </c>
      <c r="AW233">
        <v>72.2</v>
      </c>
      <c r="BC233" t="s">
        <v>401</v>
      </c>
    </row>
    <row r="234" spans="3:55" x14ac:dyDescent="0.45">
      <c r="C234">
        <v>62.5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16.100000000000001</v>
      </c>
      <c r="K234">
        <v>15.3</v>
      </c>
      <c r="L234">
        <v>0</v>
      </c>
      <c r="M234">
        <v>6.1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f t="shared" si="11"/>
        <v>4.2840000000000007</v>
      </c>
      <c r="AU234">
        <f t="shared" si="9"/>
        <v>4.7166666666666668</v>
      </c>
      <c r="AV234">
        <f t="shared" si="10"/>
        <v>796.53</v>
      </c>
      <c r="AW234">
        <v>72</v>
      </c>
      <c r="BC234" t="s">
        <v>401</v>
      </c>
    </row>
    <row r="235" spans="3:55" x14ac:dyDescent="0.45">
      <c r="C235">
        <v>61.900000000000006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18.7</v>
      </c>
      <c r="K235">
        <v>9.6</v>
      </c>
      <c r="L235">
        <v>0</v>
      </c>
      <c r="M235">
        <v>9.8000000000000007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1000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1200</v>
      </c>
      <c r="AD235">
        <v>24</v>
      </c>
      <c r="AE235">
        <v>1</v>
      </c>
      <c r="AF235">
        <v>0</v>
      </c>
      <c r="AG235">
        <v>0</v>
      </c>
      <c r="AH235">
        <v>900</v>
      </c>
      <c r="AI235">
        <v>0.16666666666666666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f t="shared" si="11"/>
        <v>2.6880000000000002</v>
      </c>
      <c r="AU235">
        <f t="shared" si="9"/>
        <v>6.3833333333333337</v>
      </c>
      <c r="AV235">
        <f t="shared" si="10"/>
        <v>794.13</v>
      </c>
      <c r="AW235">
        <v>77.400000000000006</v>
      </c>
      <c r="BC235" t="s">
        <v>401</v>
      </c>
    </row>
    <row r="236" spans="3:55" x14ac:dyDescent="0.45">
      <c r="C236">
        <v>61.900000000000006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18.7</v>
      </c>
      <c r="K236">
        <v>9.6</v>
      </c>
      <c r="L236">
        <v>0</v>
      </c>
      <c r="M236">
        <v>9.8000000000000007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f t="shared" si="11"/>
        <v>2.6880000000000002</v>
      </c>
      <c r="AU236">
        <f t="shared" si="9"/>
        <v>6.3833333333333337</v>
      </c>
      <c r="AV236">
        <f t="shared" si="10"/>
        <v>794.13</v>
      </c>
      <c r="AW236">
        <v>77.2</v>
      </c>
      <c r="BC236" t="s">
        <v>405</v>
      </c>
    </row>
    <row r="237" spans="3:55" x14ac:dyDescent="0.45">
      <c r="C237">
        <v>67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12.1</v>
      </c>
      <c r="K237">
        <v>6.3</v>
      </c>
      <c r="L237">
        <v>2.9</v>
      </c>
      <c r="M237">
        <v>11.7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1200</v>
      </c>
      <c r="AD237">
        <v>24</v>
      </c>
      <c r="AE237">
        <v>1</v>
      </c>
      <c r="AF237">
        <v>0</v>
      </c>
      <c r="AG237">
        <v>0</v>
      </c>
      <c r="AH237">
        <v>900</v>
      </c>
      <c r="AI237">
        <v>0.16666666666666666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f t="shared" si="11"/>
        <v>4.6639999999999997</v>
      </c>
      <c r="AU237">
        <f t="shared" si="9"/>
        <v>5.9166666666666661</v>
      </c>
      <c r="AV237">
        <f t="shared" si="10"/>
        <v>820.1</v>
      </c>
      <c r="AW237">
        <v>52.6</v>
      </c>
      <c r="BC237" t="s">
        <v>401</v>
      </c>
    </row>
    <row r="238" spans="3:55" x14ac:dyDescent="0.45">
      <c r="C238">
        <v>66.8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11.8</v>
      </c>
      <c r="K238">
        <v>5.8</v>
      </c>
      <c r="L238">
        <v>3.9</v>
      </c>
      <c r="M238">
        <v>11.7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1200</v>
      </c>
      <c r="AD238">
        <v>24</v>
      </c>
      <c r="AE238">
        <v>1</v>
      </c>
      <c r="AF238">
        <v>0</v>
      </c>
      <c r="AG238">
        <v>0</v>
      </c>
      <c r="AH238">
        <v>900</v>
      </c>
      <c r="AI238">
        <v>0.16666666666666666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f t="shared" si="11"/>
        <v>5.524</v>
      </c>
      <c r="AU238">
        <f t="shared" si="9"/>
        <v>5.8666666666666671</v>
      </c>
      <c r="AV238">
        <f t="shared" si="10"/>
        <v>812.67000000000007</v>
      </c>
      <c r="AW238">
        <v>66.5</v>
      </c>
      <c r="BC238" t="s">
        <v>401</v>
      </c>
    </row>
    <row r="239" spans="3:55" x14ac:dyDescent="0.45">
      <c r="C239">
        <v>68.692000000000007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15.4</v>
      </c>
      <c r="K239">
        <v>0</v>
      </c>
      <c r="L239">
        <v>0</v>
      </c>
      <c r="M239">
        <v>0</v>
      </c>
      <c r="N239">
        <v>0</v>
      </c>
      <c r="O239">
        <v>15.1</v>
      </c>
      <c r="P239">
        <v>0</v>
      </c>
      <c r="Q239">
        <v>0</v>
      </c>
      <c r="R239">
        <v>0</v>
      </c>
      <c r="S239">
        <v>2.8000000000000001E-2</v>
      </c>
      <c r="T239">
        <v>0.78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f t="shared" si="11"/>
        <v>3.3220000000000001</v>
      </c>
      <c r="AU239">
        <f t="shared" si="9"/>
        <v>2.6474666666666669</v>
      </c>
      <c r="AV239">
        <f t="shared" si="10"/>
        <v>871.68000000000006</v>
      </c>
      <c r="AW239">
        <v>72.19</v>
      </c>
      <c r="AX239">
        <v>663</v>
      </c>
      <c r="AY239">
        <v>699</v>
      </c>
      <c r="AZ239">
        <v>24.82</v>
      </c>
      <c r="BC239" t="s">
        <v>432</v>
      </c>
    </row>
    <row r="240" spans="3:55" x14ac:dyDescent="0.45">
      <c r="C240">
        <v>80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10</v>
      </c>
      <c r="K240">
        <v>5</v>
      </c>
      <c r="L240">
        <v>0</v>
      </c>
      <c r="M240">
        <v>0</v>
      </c>
      <c r="N240">
        <v>0</v>
      </c>
      <c r="O240">
        <v>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f t="shared" si="11"/>
        <v>2.5</v>
      </c>
      <c r="AU240">
        <f t="shared" si="9"/>
        <v>1.6666666666666667</v>
      </c>
      <c r="AV240">
        <f t="shared" si="10"/>
        <v>813</v>
      </c>
      <c r="AW240">
        <v>51.97</v>
      </c>
      <c r="BC240" t="s">
        <v>435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9ADA-4AE9-4152-9C36-D6685F6F42AD}">
  <dimension ref="A1:BC284"/>
  <sheetViews>
    <sheetView zoomScaleNormal="100" workbookViewId="0">
      <pane ySplit="1" topLeftCell="A2" activePane="bottomLeft" state="frozen"/>
      <selection activeCell="AU1" sqref="AU1"/>
      <selection pane="bottomLeft"/>
    </sheetView>
  </sheetViews>
  <sheetFormatPr defaultRowHeight="14" x14ac:dyDescent="0.45"/>
  <cols>
    <col min="1" max="1" width="4.46875" bestFit="1" customWidth="1"/>
    <col min="2" max="2" width="9.234375" bestFit="1" customWidth="1"/>
    <col min="3" max="5" width="8.46875" bestFit="1" customWidth="1"/>
    <col min="6" max="6" width="5.46875" bestFit="1" customWidth="1"/>
    <col min="7" max="7" width="4.234375" bestFit="1" customWidth="1"/>
    <col min="8" max="8" width="8.46875" bestFit="1" customWidth="1"/>
    <col min="9" max="9" width="3.703125" bestFit="1" customWidth="1"/>
    <col min="10" max="15" width="8.46875" bestFit="1" customWidth="1"/>
    <col min="16" max="16" width="3.3515625" bestFit="1" customWidth="1"/>
    <col min="17" max="17" width="7.46875" bestFit="1" customWidth="1"/>
    <col min="18" max="18" width="2.703125" bestFit="1" customWidth="1"/>
    <col min="19" max="19" width="3.05859375" bestFit="1" customWidth="1"/>
    <col min="20" max="20" width="5.46875" bestFit="1" customWidth="1"/>
    <col min="21" max="21" width="4.46875" bestFit="1" customWidth="1"/>
    <col min="22" max="22" width="10.87890625" bestFit="1" customWidth="1"/>
    <col min="23" max="23" width="9.703125" bestFit="1" customWidth="1"/>
    <col min="24" max="24" width="9.5859375" bestFit="1" customWidth="1"/>
    <col min="25" max="25" width="16.3515625" bestFit="1" customWidth="1"/>
    <col min="26" max="26" width="15.87890625" bestFit="1" customWidth="1"/>
    <col min="27" max="27" width="16.5859375" bestFit="1" customWidth="1"/>
    <col min="28" max="28" width="17.87890625" bestFit="1" customWidth="1"/>
    <col min="29" max="29" width="10.46875" bestFit="1" customWidth="1"/>
    <col min="30" max="30" width="9.46875" bestFit="1" customWidth="1"/>
    <col min="31" max="31" width="11.87890625" bestFit="1" customWidth="1"/>
    <col min="32" max="32" width="7.703125" bestFit="1" customWidth="1"/>
    <col min="33" max="33" width="12.05859375" bestFit="1" customWidth="1"/>
    <col min="34" max="34" width="10.234375" bestFit="1" customWidth="1"/>
    <col min="35" max="35" width="9.46875" bestFit="1" customWidth="1"/>
    <col min="36" max="36" width="11.87890625" bestFit="1" customWidth="1"/>
    <col min="37" max="37" width="7.703125" bestFit="1" customWidth="1"/>
    <col min="38" max="38" width="12.05859375" bestFit="1" customWidth="1"/>
    <col min="39" max="39" width="10.234375" bestFit="1" customWidth="1"/>
    <col min="40" max="40" width="11.87890625" bestFit="1" customWidth="1"/>
    <col min="41" max="41" width="10.5859375" bestFit="1" customWidth="1"/>
    <col min="42" max="42" width="17.87890625" bestFit="1" customWidth="1"/>
    <col min="43" max="43" width="25.234375" bestFit="1" customWidth="1"/>
    <col min="44" max="44" width="13.46875" bestFit="1" customWidth="1"/>
    <col min="45" max="45" width="17.703125" bestFit="1" customWidth="1"/>
    <col min="46" max="46" width="10.46875" bestFit="1" customWidth="1"/>
    <col min="47" max="47" width="12.703125" bestFit="1" customWidth="1"/>
    <col min="48" max="48" width="16.234375" bestFit="1" customWidth="1"/>
    <col min="49" max="50" width="6.46875" bestFit="1" customWidth="1"/>
    <col min="51" max="51" width="7.46875" bestFit="1" customWidth="1"/>
    <col min="52" max="52" width="3.05859375" bestFit="1" customWidth="1"/>
    <col min="53" max="53" width="6.46875" bestFit="1" customWidth="1"/>
    <col min="54" max="54" width="7.46875" customWidth="1"/>
  </cols>
  <sheetData>
    <row r="1" spans="1:55" x14ac:dyDescent="0.45">
      <c r="A1" s="1" t="s">
        <v>0</v>
      </c>
      <c r="B1" s="1" t="s">
        <v>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7" t="s">
        <v>640</v>
      </c>
      <c r="W1" s="3" t="s">
        <v>20</v>
      </c>
      <c r="X1" s="3" t="s">
        <v>21</v>
      </c>
      <c r="Y1" s="3" t="s">
        <v>639</v>
      </c>
      <c r="Z1" s="3" t="s">
        <v>22</v>
      </c>
      <c r="AA1" s="3" t="s">
        <v>23</v>
      </c>
      <c r="AB1" s="3" t="s">
        <v>24</v>
      </c>
      <c r="AC1" s="6" t="s">
        <v>25</v>
      </c>
      <c r="AD1" s="6" t="s">
        <v>26</v>
      </c>
      <c r="AE1" s="6" t="s">
        <v>29</v>
      </c>
      <c r="AF1" s="6" t="s">
        <v>30</v>
      </c>
      <c r="AG1" s="6" t="s">
        <v>31</v>
      </c>
      <c r="AH1" s="6" t="s">
        <v>27</v>
      </c>
      <c r="AI1" s="6" t="s">
        <v>28</v>
      </c>
      <c r="AJ1" s="6" t="s">
        <v>32</v>
      </c>
      <c r="AK1" s="6" t="s">
        <v>33</v>
      </c>
      <c r="AL1" s="6" t="s">
        <v>34</v>
      </c>
      <c r="AM1" s="4" t="s">
        <v>641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39</v>
      </c>
      <c r="AS1" s="4" t="s">
        <v>635</v>
      </c>
      <c r="AT1" s="4" t="s">
        <v>357</v>
      </c>
      <c r="AU1" s="4" t="s">
        <v>634</v>
      </c>
      <c r="AV1" s="4" t="s">
        <v>638</v>
      </c>
      <c r="AW1" s="5" t="s">
        <v>41</v>
      </c>
      <c r="AX1" s="5" t="s">
        <v>42</v>
      </c>
      <c r="AY1" s="5" t="s">
        <v>44</v>
      </c>
      <c r="AZ1" s="5" t="s">
        <v>46</v>
      </c>
      <c r="BA1" s="5" t="s">
        <v>217</v>
      </c>
      <c r="BB1" t="s">
        <v>219</v>
      </c>
      <c r="BC1" t="s">
        <v>48</v>
      </c>
    </row>
    <row r="2" spans="1:55" x14ac:dyDescent="0.45">
      <c r="A2">
        <v>1</v>
      </c>
      <c r="C2">
        <v>65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10</v>
      </c>
      <c r="K2">
        <v>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 t="shared" ref="AC2:AC24" si="0">(AV2)+0</f>
        <v>782.2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f>L2+0.67*E2+0.44*P2+0.28*K2+0.22*O2+2.9*H2+1.6*F2+1.7*G2-D2</f>
        <v>12.24</v>
      </c>
      <c r="AU2">
        <f t="shared" ref="AU2:AU65" si="1">D2+J2/6+M2/3+(T2+S2)/10</f>
        <v>1.6666666666666667</v>
      </c>
      <c r="AV2">
        <f t="shared" ref="AV2:AV65" si="2">882+2.1*D2-9.5*L2+4.2*M2-6.9*J2-11.8*E2-12.1*F2-15.4*H2+23.3*Q2+123*T2</f>
        <v>782.2</v>
      </c>
      <c r="AW2">
        <v>79</v>
      </c>
      <c r="AX2">
        <v>782</v>
      </c>
      <c r="BA2">
        <v>252</v>
      </c>
      <c r="BB2" t="s">
        <v>436</v>
      </c>
      <c r="BC2" t="s">
        <v>531</v>
      </c>
    </row>
    <row r="3" spans="1:55" x14ac:dyDescent="0.45">
      <c r="A3">
        <v>2</v>
      </c>
      <c r="C3">
        <v>61.5</v>
      </c>
      <c r="D3">
        <v>0</v>
      </c>
      <c r="E3">
        <v>0</v>
      </c>
      <c r="F3">
        <v>0</v>
      </c>
      <c r="G3">
        <v>0</v>
      </c>
      <c r="H3">
        <v>1.5</v>
      </c>
      <c r="I3">
        <v>0</v>
      </c>
      <c r="J3">
        <v>10</v>
      </c>
      <c r="K3">
        <v>27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si="0"/>
        <v>789.9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f t="shared" ref="AT3:AT66" si="3">L3+0.67*E3+0.44*P3+0.28*K3+0.22*O3+2.9*H3+1.6*F3+1.7*G3-D3</f>
        <v>11.91</v>
      </c>
      <c r="AU3">
        <f t="shared" si="1"/>
        <v>1.6666666666666667</v>
      </c>
      <c r="AV3">
        <f t="shared" si="2"/>
        <v>789.9</v>
      </c>
      <c r="AW3">
        <v>78</v>
      </c>
      <c r="AX3">
        <v>735</v>
      </c>
      <c r="BA3">
        <v>229</v>
      </c>
      <c r="BB3" t="s">
        <v>436</v>
      </c>
      <c r="BC3" t="s">
        <v>531</v>
      </c>
    </row>
    <row r="4" spans="1:55" x14ac:dyDescent="0.45">
      <c r="A4">
        <v>3</v>
      </c>
      <c r="C4">
        <v>58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10</v>
      </c>
      <c r="K4">
        <v>31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797.6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f t="shared" si="3"/>
        <v>11.580000000000002</v>
      </c>
      <c r="AU4">
        <f t="shared" si="1"/>
        <v>1.6666666666666667</v>
      </c>
      <c r="AV4">
        <f t="shared" si="2"/>
        <v>797.6</v>
      </c>
      <c r="AW4">
        <v>77</v>
      </c>
      <c r="AX4">
        <v>672</v>
      </c>
      <c r="BA4">
        <v>218</v>
      </c>
      <c r="BB4" t="s">
        <v>436</v>
      </c>
      <c r="BC4" t="s">
        <v>531</v>
      </c>
    </row>
    <row r="5" spans="1:55" x14ac:dyDescent="0.45">
      <c r="A5">
        <v>4</v>
      </c>
      <c r="C5">
        <v>78.5</v>
      </c>
      <c r="D5">
        <v>0</v>
      </c>
      <c r="E5">
        <v>0</v>
      </c>
      <c r="F5">
        <v>0</v>
      </c>
      <c r="G5">
        <v>0</v>
      </c>
      <c r="H5">
        <v>3.5</v>
      </c>
      <c r="I5">
        <v>0</v>
      </c>
      <c r="J5">
        <v>7</v>
      </c>
      <c r="K5">
        <v>11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779.80000000000007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1</v>
      </c>
      <c r="AS5">
        <v>0</v>
      </c>
      <c r="AT5">
        <f t="shared" si="3"/>
        <v>13.23</v>
      </c>
      <c r="AU5">
        <f t="shared" si="1"/>
        <v>1.1666666666666667</v>
      </c>
      <c r="AV5">
        <f t="shared" si="2"/>
        <v>779.80000000000007</v>
      </c>
      <c r="AW5">
        <v>90</v>
      </c>
      <c r="AX5">
        <v>1011</v>
      </c>
      <c r="BA5">
        <v>358</v>
      </c>
      <c r="BB5" t="s">
        <v>437</v>
      </c>
      <c r="BC5" t="s">
        <v>532</v>
      </c>
    </row>
    <row r="6" spans="1:55" x14ac:dyDescent="0.45">
      <c r="A6">
        <v>5</v>
      </c>
      <c r="C6">
        <v>72.5</v>
      </c>
      <c r="D6">
        <v>0</v>
      </c>
      <c r="E6">
        <v>0</v>
      </c>
      <c r="F6">
        <v>0</v>
      </c>
      <c r="G6">
        <v>0</v>
      </c>
      <c r="H6">
        <v>2.5</v>
      </c>
      <c r="I6">
        <v>0</v>
      </c>
      <c r="J6">
        <v>0</v>
      </c>
      <c r="K6">
        <v>19</v>
      </c>
      <c r="L6">
        <v>0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868.7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1</v>
      </c>
      <c r="AS6">
        <v>0</v>
      </c>
      <c r="AT6">
        <f t="shared" si="3"/>
        <v>12.57</v>
      </c>
      <c r="AU6">
        <f t="shared" si="1"/>
        <v>2</v>
      </c>
      <c r="AV6">
        <f t="shared" si="2"/>
        <v>868.7</v>
      </c>
      <c r="AW6">
        <v>71</v>
      </c>
      <c r="AX6">
        <v>765</v>
      </c>
      <c r="BA6">
        <v>260</v>
      </c>
      <c r="BB6" t="s">
        <v>437</v>
      </c>
      <c r="BC6" t="s">
        <v>532</v>
      </c>
    </row>
    <row r="7" spans="1:55" x14ac:dyDescent="0.45">
      <c r="A7">
        <v>6</v>
      </c>
      <c r="C7">
        <v>68.5</v>
      </c>
      <c r="D7">
        <v>0</v>
      </c>
      <c r="E7">
        <v>0</v>
      </c>
      <c r="F7">
        <v>0</v>
      </c>
      <c r="G7">
        <v>0</v>
      </c>
      <c r="H7">
        <v>2.5</v>
      </c>
      <c r="I7">
        <v>0</v>
      </c>
      <c r="J7">
        <v>10</v>
      </c>
      <c r="K7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774.5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f t="shared" si="3"/>
        <v>12.57</v>
      </c>
      <c r="AU7">
        <f t="shared" si="1"/>
        <v>1.6666666666666667</v>
      </c>
      <c r="AV7">
        <f t="shared" si="2"/>
        <v>774.5</v>
      </c>
      <c r="AW7">
        <v>69</v>
      </c>
      <c r="AX7">
        <v>1027</v>
      </c>
      <c r="BA7">
        <v>267</v>
      </c>
      <c r="BB7" t="s">
        <v>437</v>
      </c>
      <c r="BC7" t="s">
        <v>532</v>
      </c>
    </row>
    <row r="8" spans="1:55" x14ac:dyDescent="0.45">
      <c r="A8">
        <v>7</v>
      </c>
      <c r="C8">
        <v>68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31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866.6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1</v>
      </c>
      <c r="AS8">
        <v>0</v>
      </c>
      <c r="AT8">
        <f t="shared" si="3"/>
        <v>11.580000000000002</v>
      </c>
      <c r="AU8">
        <f t="shared" si="1"/>
        <v>0</v>
      </c>
      <c r="AV8">
        <f t="shared" si="2"/>
        <v>866.6</v>
      </c>
      <c r="AW8">
        <v>81</v>
      </c>
      <c r="AX8">
        <v>477</v>
      </c>
      <c r="BA8">
        <v>230</v>
      </c>
      <c r="BB8" t="s">
        <v>438</v>
      </c>
      <c r="BC8" t="s">
        <v>533</v>
      </c>
    </row>
    <row r="9" spans="1:55" x14ac:dyDescent="0.45">
      <c r="A9">
        <v>8</v>
      </c>
      <c r="C9">
        <v>71.5</v>
      </c>
      <c r="D9">
        <v>0</v>
      </c>
      <c r="E9">
        <v>0</v>
      </c>
      <c r="F9">
        <v>0</v>
      </c>
      <c r="G9">
        <v>0</v>
      </c>
      <c r="H9">
        <v>1.5</v>
      </c>
      <c r="I9">
        <v>0</v>
      </c>
      <c r="J9">
        <v>0</v>
      </c>
      <c r="K9">
        <v>27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858.9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f t="shared" si="3"/>
        <v>11.91</v>
      </c>
      <c r="AU9">
        <f t="shared" si="1"/>
        <v>0</v>
      </c>
      <c r="AV9">
        <f t="shared" si="2"/>
        <v>858.9</v>
      </c>
      <c r="AW9">
        <v>94</v>
      </c>
      <c r="AX9">
        <v>496</v>
      </c>
      <c r="BA9">
        <v>277</v>
      </c>
      <c r="BB9" t="s">
        <v>438</v>
      </c>
      <c r="BC9" t="s">
        <v>533</v>
      </c>
    </row>
    <row r="10" spans="1:55" x14ac:dyDescent="0.45">
      <c r="A10">
        <v>9</v>
      </c>
      <c r="C10">
        <v>75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0"/>
        <v>851.2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f t="shared" si="3"/>
        <v>12.24</v>
      </c>
      <c r="AU10">
        <f t="shared" si="1"/>
        <v>0</v>
      </c>
      <c r="AV10">
        <f t="shared" si="2"/>
        <v>851.2</v>
      </c>
      <c r="AW10">
        <v>95</v>
      </c>
      <c r="AX10">
        <v>604</v>
      </c>
      <c r="BA10">
        <v>314</v>
      </c>
      <c r="BB10" t="s">
        <v>438</v>
      </c>
      <c r="BC10" t="s">
        <v>533</v>
      </c>
    </row>
    <row r="11" spans="1:55" x14ac:dyDescent="0.45">
      <c r="A11">
        <v>10</v>
      </c>
      <c r="C11">
        <v>78.5</v>
      </c>
      <c r="D11">
        <v>0</v>
      </c>
      <c r="E11">
        <v>0</v>
      </c>
      <c r="F11">
        <v>0</v>
      </c>
      <c r="G11">
        <v>0</v>
      </c>
      <c r="H11">
        <v>2.5</v>
      </c>
      <c r="I11">
        <v>0</v>
      </c>
      <c r="J11">
        <v>0</v>
      </c>
      <c r="K11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843.5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f t="shared" si="3"/>
        <v>12.57</v>
      </c>
      <c r="AU11">
        <f t="shared" si="1"/>
        <v>0</v>
      </c>
      <c r="AV11">
        <f t="shared" si="2"/>
        <v>843.5</v>
      </c>
      <c r="AW11">
        <v>90</v>
      </c>
      <c r="AX11">
        <v>672</v>
      </c>
      <c r="BA11">
        <v>334</v>
      </c>
      <c r="BB11" t="s">
        <v>438</v>
      </c>
      <c r="BC11" t="s">
        <v>533</v>
      </c>
    </row>
    <row r="12" spans="1:55" x14ac:dyDescent="0.45">
      <c r="A12">
        <v>11</v>
      </c>
      <c r="C12">
        <v>82</v>
      </c>
      <c r="D12">
        <v>0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835.8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0</v>
      </c>
      <c r="AT12">
        <f t="shared" si="3"/>
        <v>12.899999999999999</v>
      </c>
      <c r="AU12">
        <f t="shared" si="1"/>
        <v>0</v>
      </c>
      <c r="AV12">
        <f t="shared" si="2"/>
        <v>835.8</v>
      </c>
      <c r="AW12">
        <v>94</v>
      </c>
      <c r="AX12">
        <v>695</v>
      </c>
      <c r="BA12">
        <v>362</v>
      </c>
      <c r="BB12" t="s">
        <v>438</v>
      </c>
      <c r="BC12" t="s">
        <v>533</v>
      </c>
    </row>
    <row r="13" spans="1:55" x14ac:dyDescent="0.45">
      <c r="A13">
        <v>12</v>
      </c>
      <c r="C13">
        <v>85.5</v>
      </c>
      <c r="D13">
        <v>0</v>
      </c>
      <c r="E13">
        <v>0</v>
      </c>
      <c r="F13">
        <v>0</v>
      </c>
      <c r="G13">
        <v>0</v>
      </c>
      <c r="H13">
        <v>3.5</v>
      </c>
      <c r="I13">
        <v>0</v>
      </c>
      <c r="J13">
        <v>0</v>
      </c>
      <c r="K13">
        <v>11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828.1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f t="shared" si="3"/>
        <v>13.23</v>
      </c>
      <c r="AU13">
        <f t="shared" si="1"/>
        <v>0</v>
      </c>
      <c r="AV13">
        <f t="shared" si="2"/>
        <v>828.1</v>
      </c>
      <c r="AW13">
        <v>97</v>
      </c>
      <c r="AX13">
        <v>715</v>
      </c>
      <c r="BA13">
        <v>382</v>
      </c>
      <c r="BB13" t="s">
        <v>438</v>
      </c>
      <c r="BC13" t="s">
        <v>533</v>
      </c>
    </row>
    <row r="14" spans="1:55" x14ac:dyDescent="0.45">
      <c r="A14">
        <v>13</v>
      </c>
      <c r="C14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0"/>
        <v>882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f t="shared" si="3"/>
        <v>8.4</v>
      </c>
      <c r="AU14">
        <f t="shared" si="1"/>
        <v>0</v>
      </c>
      <c r="AV14">
        <f t="shared" si="2"/>
        <v>882</v>
      </c>
      <c r="AW14">
        <v>79</v>
      </c>
      <c r="AX14">
        <v>348</v>
      </c>
      <c r="AY14">
        <v>601</v>
      </c>
      <c r="BA14">
        <v>202</v>
      </c>
      <c r="BB14" t="s">
        <v>439</v>
      </c>
      <c r="BC14" t="s">
        <v>534</v>
      </c>
    </row>
    <row r="15" spans="1:55" x14ac:dyDescent="0.45">
      <c r="A15">
        <v>14</v>
      </c>
      <c r="C15">
        <v>69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30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866.6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0</v>
      </c>
      <c r="AT15">
        <f t="shared" si="3"/>
        <v>11.3</v>
      </c>
      <c r="AU15">
        <f t="shared" si="1"/>
        <v>0</v>
      </c>
      <c r="AV15">
        <f t="shared" si="2"/>
        <v>866.6</v>
      </c>
      <c r="AW15">
        <v>79</v>
      </c>
      <c r="AX15">
        <v>606</v>
      </c>
      <c r="AY15">
        <v>633</v>
      </c>
      <c r="BA15">
        <v>284</v>
      </c>
      <c r="BB15" t="s">
        <v>439</v>
      </c>
      <c r="BC15" t="s">
        <v>534</v>
      </c>
    </row>
    <row r="16" spans="1:55" x14ac:dyDescent="0.45">
      <c r="A16">
        <v>15</v>
      </c>
      <c r="C16">
        <v>67</v>
      </c>
      <c r="D16">
        <v>0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  <c r="K16">
        <v>30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f t="shared" si="0"/>
        <v>835.8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f t="shared" si="3"/>
        <v>17.100000000000001</v>
      </c>
      <c r="AU16">
        <f t="shared" si="1"/>
        <v>0</v>
      </c>
      <c r="AV16">
        <f t="shared" si="2"/>
        <v>835.8</v>
      </c>
      <c r="AW16">
        <v>78</v>
      </c>
      <c r="AX16">
        <v>625</v>
      </c>
      <c r="AY16">
        <v>656</v>
      </c>
      <c r="BA16">
        <v>255</v>
      </c>
      <c r="BB16" t="s">
        <v>439</v>
      </c>
      <c r="BC16" t="s">
        <v>534</v>
      </c>
    </row>
    <row r="17" spans="1:55" x14ac:dyDescent="0.45">
      <c r="A17">
        <v>16</v>
      </c>
      <c r="C17">
        <v>65</v>
      </c>
      <c r="D17">
        <v>0</v>
      </c>
      <c r="E17">
        <v>0</v>
      </c>
      <c r="F17">
        <v>0</v>
      </c>
      <c r="G17">
        <v>0</v>
      </c>
      <c r="H17">
        <v>5</v>
      </c>
      <c r="I17">
        <v>0</v>
      </c>
      <c r="J17">
        <v>0</v>
      </c>
      <c r="K17">
        <v>30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f t="shared" si="0"/>
        <v>805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0</v>
      </c>
      <c r="AT17">
        <f t="shared" si="3"/>
        <v>22.9</v>
      </c>
      <c r="AU17">
        <f t="shared" si="1"/>
        <v>0</v>
      </c>
      <c r="AV17">
        <f t="shared" si="2"/>
        <v>805</v>
      </c>
      <c r="AW17">
        <v>79</v>
      </c>
      <c r="AX17">
        <v>629</v>
      </c>
      <c r="AY17">
        <v>689</v>
      </c>
      <c r="BA17">
        <v>246</v>
      </c>
      <c r="BB17" t="s">
        <v>439</v>
      </c>
      <c r="BC17" t="s">
        <v>534</v>
      </c>
    </row>
    <row r="18" spans="1:55" x14ac:dyDescent="0.45">
      <c r="A18">
        <v>17</v>
      </c>
      <c r="C18">
        <v>83</v>
      </c>
      <c r="D18">
        <v>0</v>
      </c>
      <c r="E18">
        <v>0</v>
      </c>
      <c r="F18">
        <v>0</v>
      </c>
      <c r="G18">
        <v>0</v>
      </c>
      <c r="H18">
        <v>5</v>
      </c>
      <c r="I18">
        <v>0</v>
      </c>
      <c r="J18">
        <v>0</v>
      </c>
      <c r="K18">
        <v>12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f t="shared" si="0"/>
        <v>805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f t="shared" si="3"/>
        <v>17.86</v>
      </c>
      <c r="AU18">
        <f t="shared" si="1"/>
        <v>0</v>
      </c>
      <c r="AV18">
        <f t="shared" si="2"/>
        <v>805</v>
      </c>
      <c r="AW18">
        <v>90</v>
      </c>
      <c r="AX18">
        <v>740</v>
      </c>
      <c r="BA18">
        <v>293</v>
      </c>
      <c r="BB18" t="s">
        <v>440</v>
      </c>
      <c r="BC18" t="s">
        <v>535</v>
      </c>
    </row>
    <row r="19" spans="1:55" x14ac:dyDescent="0.45">
      <c r="A19">
        <v>18</v>
      </c>
      <c r="C19">
        <v>89</v>
      </c>
      <c r="D19">
        <v>0</v>
      </c>
      <c r="E19">
        <v>0</v>
      </c>
      <c r="F19">
        <v>0</v>
      </c>
      <c r="G19">
        <v>0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f t="shared" si="0"/>
        <v>820.4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0</v>
      </c>
      <c r="AT19">
        <f t="shared" si="3"/>
        <v>13.14</v>
      </c>
      <c r="AU19">
        <f t="shared" si="1"/>
        <v>0</v>
      </c>
      <c r="AV19">
        <f t="shared" si="2"/>
        <v>820.4</v>
      </c>
      <c r="AW19">
        <v>110</v>
      </c>
      <c r="AX19">
        <v>1250</v>
      </c>
      <c r="BA19">
        <v>430</v>
      </c>
      <c r="BB19" t="s">
        <v>440</v>
      </c>
      <c r="BC19" t="s">
        <v>535</v>
      </c>
    </row>
    <row r="20" spans="1:55" x14ac:dyDescent="0.45">
      <c r="A20">
        <v>19</v>
      </c>
      <c r="C20">
        <v>86</v>
      </c>
      <c r="D20">
        <v>0</v>
      </c>
      <c r="E20">
        <v>0</v>
      </c>
      <c r="F20">
        <v>0</v>
      </c>
      <c r="G20">
        <v>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f t="shared" si="0"/>
        <v>820.4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0</v>
      </c>
      <c r="AT20">
        <f t="shared" si="3"/>
        <v>13.8</v>
      </c>
      <c r="AU20">
        <f t="shared" si="1"/>
        <v>0</v>
      </c>
      <c r="AV20">
        <f t="shared" si="2"/>
        <v>820.4</v>
      </c>
      <c r="AW20">
        <v>121</v>
      </c>
      <c r="AX20">
        <v>1360</v>
      </c>
      <c r="BA20">
        <v>410</v>
      </c>
      <c r="BB20" t="s">
        <v>440</v>
      </c>
      <c r="BC20" t="s">
        <v>535</v>
      </c>
    </row>
    <row r="21" spans="1:55" x14ac:dyDescent="0.45">
      <c r="A21">
        <v>20</v>
      </c>
      <c r="C21">
        <v>81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</v>
      </c>
      <c r="M21">
        <v>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f t="shared" si="0"/>
        <v>783.7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f t="shared" si="3"/>
        <v>13</v>
      </c>
      <c r="AU21">
        <f t="shared" si="1"/>
        <v>2</v>
      </c>
      <c r="AV21">
        <f t="shared" si="2"/>
        <v>783.7</v>
      </c>
      <c r="AW21">
        <v>66</v>
      </c>
      <c r="AX21">
        <v>650</v>
      </c>
      <c r="BA21">
        <v>314</v>
      </c>
      <c r="BB21" t="s">
        <v>441</v>
      </c>
      <c r="BC21" t="s">
        <v>536</v>
      </c>
    </row>
    <row r="22" spans="1:55" x14ac:dyDescent="0.45">
      <c r="A22">
        <v>21</v>
      </c>
      <c r="C22">
        <v>91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f t="shared" si="0"/>
        <v>796.5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f t="shared" si="3"/>
        <v>9</v>
      </c>
      <c r="AU22">
        <f t="shared" si="1"/>
        <v>0</v>
      </c>
      <c r="AV22">
        <f t="shared" si="2"/>
        <v>796.5</v>
      </c>
      <c r="AW22">
        <v>91</v>
      </c>
      <c r="AX22">
        <v>537</v>
      </c>
      <c r="AY22">
        <v>852</v>
      </c>
      <c r="BA22">
        <v>350</v>
      </c>
      <c r="BB22" t="s">
        <v>442</v>
      </c>
      <c r="BC22" t="s">
        <v>537</v>
      </c>
    </row>
    <row r="23" spans="1:55" x14ac:dyDescent="0.45">
      <c r="A23">
        <v>22</v>
      </c>
      <c r="C23">
        <v>89.5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9</v>
      </c>
      <c r="M23">
        <v>1.5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f t="shared" si="0"/>
        <v>802.8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f t="shared" si="3"/>
        <v>9</v>
      </c>
      <c r="AU23">
        <f t="shared" si="1"/>
        <v>0.5</v>
      </c>
      <c r="AV23">
        <f t="shared" si="2"/>
        <v>802.8</v>
      </c>
      <c r="AW23">
        <v>89</v>
      </c>
      <c r="AX23">
        <v>511</v>
      </c>
      <c r="AY23">
        <v>847</v>
      </c>
      <c r="BA23">
        <v>312</v>
      </c>
      <c r="BB23" t="s">
        <v>442</v>
      </c>
      <c r="BC23" t="s">
        <v>537</v>
      </c>
    </row>
    <row r="24" spans="1:55" x14ac:dyDescent="0.45">
      <c r="A24">
        <v>23</v>
      </c>
      <c r="C24">
        <v>85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9</v>
      </c>
      <c r="M24">
        <v>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f t="shared" si="0"/>
        <v>821.7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f t="shared" si="3"/>
        <v>9</v>
      </c>
      <c r="AU24">
        <f t="shared" si="1"/>
        <v>2</v>
      </c>
      <c r="AV24">
        <f t="shared" si="2"/>
        <v>821.7</v>
      </c>
      <c r="AW24">
        <v>78</v>
      </c>
      <c r="AX24">
        <v>441</v>
      </c>
      <c r="AY24">
        <v>803</v>
      </c>
      <c r="BA24">
        <v>271</v>
      </c>
      <c r="BB24" t="s">
        <v>442</v>
      </c>
      <c r="BC24" t="s">
        <v>537</v>
      </c>
    </row>
    <row r="25" spans="1:55" x14ac:dyDescent="0.45">
      <c r="A25">
        <v>24</v>
      </c>
      <c r="C25">
        <v>51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25</v>
      </c>
      <c r="K25">
        <v>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f t="shared" si="3"/>
        <v>6.7200000000000006</v>
      </c>
      <c r="AU25">
        <f t="shared" si="1"/>
        <v>4.166666666666667</v>
      </c>
      <c r="AV25">
        <f t="shared" si="2"/>
        <v>709.5</v>
      </c>
      <c r="AW25">
        <v>62</v>
      </c>
      <c r="AX25">
        <v>810</v>
      </c>
      <c r="BA25">
        <v>241.3</v>
      </c>
      <c r="BB25" t="s">
        <v>443</v>
      </c>
      <c r="BC25" t="s">
        <v>538</v>
      </c>
    </row>
    <row r="26" spans="1:55" x14ac:dyDescent="0.45">
      <c r="A26">
        <v>25</v>
      </c>
      <c r="C26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32</v>
      </c>
      <c r="K26">
        <v>30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f t="shared" si="3"/>
        <v>8.4</v>
      </c>
      <c r="AU26">
        <f t="shared" si="1"/>
        <v>5.333333333333333</v>
      </c>
      <c r="AV26">
        <f t="shared" si="2"/>
        <v>661.2</v>
      </c>
      <c r="AW26">
        <v>65</v>
      </c>
      <c r="AX26">
        <v>782</v>
      </c>
      <c r="BA26">
        <v>244.4</v>
      </c>
      <c r="BB26" t="s">
        <v>443</v>
      </c>
      <c r="BC26" t="s">
        <v>538</v>
      </c>
    </row>
    <row r="27" spans="1:55" x14ac:dyDescent="0.45">
      <c r="A27">
        <v>26</v>
      </c>
      <c r="C27">
        <v>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35</v>
      </c>
      <c r="K27">
        <v>28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f t="shared" si="3"/>
        <v>7.8400000000000007</v>
      </c>
      <c r="AU27">
        <f t="shared" si="1"/>
        <v>5.833333333333333</v>
      </c>
      <c r="AV27">
        <f t="shared" si="2"/>
        <v>640.5</v>
      </c>
      <c r="AW27">
        <v>64</v>
      </c>
      <c r="AX27">
        <v>729</v>
      </c>
      <c r="BA27">
        <v>244</v>
      </c>
      <c r="BB27" t="s">
        <v>443</v>
      </c>
      <c r="BC27" t="s">
        <v>538</v>
      </c>
    </row>
    <row r="28" spans="1:55" x14ac:dyDescent="0.45">
      <c r="A28">
        <v>27</v>
      </c>
      <c r="C28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41</v>
      </c>
      <c r="K28">
        <v>25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f t="shared" si="3"/>
        <v>7.0000000000000009</v>
      </c>
      <c r="AU28">
        <f t="shared" si="1"/>
        <v>6.833333333333333</v>
      </c>
      <c r="AV28">
        <f t="shared" si="2"/>
        <v>599.09999999999991</v>
      </c>
      <c r="AW28">
        <v>63</v>
      </c>
      <c r="AX28">
        <v>682</v>
      </c>
      <c r="BA28">
        <v>235.6</v>
      </c>
      <c r="BB28" t="s">
        <v>443</v>
      </c>
      <c r="BC28" t="s">
        <v>538</v>
      </c>
    </row>
    <row r="29" spans="1:55" x14ac:dyDescent="0.45">
      <c r="A29">
        <v>28</v>
      </c>
      <c r="C29">
        <v>74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13</v>
      </c>
      <c r="K29">
        <v>13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ref="AC29:AC40" si="4">(AV29)+0</f>
        <v>792.3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f t="shared" si="3"/>
        <v>3.6400000000000006</v>
      </c>
      <c r="AU29">
        <f t="shared" si="1"/>
        <v>2.1666666666666665</v>
      </c>
      <c r="AV29">
        <f t="shared" si="2"/>
        <v>792.3</v>
      </c>
      <c r="AW29">
        <v>66</v>
      </c>
      <c r="AX29">
        <v>501</v>
      </c>
      <c r="BA29">
        <v>220</v>
      </c>
      <c r="BB29" t="s">
        <v>342</v>
      </c>
      <c r="BC29" t="s">
        <v>539</v>
      </c>
    </row>
    <row r="30" spans="1:55" x14ac:dyDescent="0.45">
      <c r="A30">
        <v>29</v>
      </c>
      <c r="C30">
        <v>58.5</v>
      </c>
      <c r="D30">
        <v>0</v>
      </c>
      <c r="E30">
        <v>0</v>
      </c>
      <c r="F30">
        <v>0</v>
      </c>
      <c r="G30">
        <v>0</v>
      </c>
      <c r="H30">
        <v>0.5</v>
      </c>
      <c r="I30">
        <v>0</v>
      </c>
      <c r="J30">
        <v>13</v>
      </c>
      <c r="K30">
        <v>28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4"/>
        <v>784.59999999999991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  <c r="AT30">
        <f t="shared" si="3"/>
        <v>9.2900000000000009</v>
      </c>
      <c r="AU30">
        <f t="shared" si="1"/>
        <v>2.1666666666666665</v>
      </c>
      <c r="AV30">
        <f t="shared" si="2"/>
        <v>784.59999999999991</v>
      </c>
      <c r="AW30">
        <v>58</v>
      </c>
      <c r="AX30">
        <v>780</v>
      </c>
      <c r="BB30" t="s">
        <v>444</v>
      </c>
      <c r="BC30" t="s">
        <v>540</v>
      </c>
    </row>
    <row r="31" spans="1:55" x14ac:dyDescent="0.45">
      <c r="A31">
        <v>30</v>
      </c>
      <c r="C31">
        <v>70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10</v>
      </c>
      <c r="K31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f t="shared" si="4"/>
        <v>797.6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0</v>
      </c>
      <c r="AT31">
        <f t="shared" si="3"/>
        <v>8.2200000000000006</v>
      </c>
      <c r="AU31">
        <f t="shared" si="1"/>
        <v>1.6666666666666667</v>
      </c>
      <c r="AV31">
        <f t="shared" si="2"/>
        <v>797.6</v>
      </c>
      <c r="AW31">
        <v>59</v>
      </c>
      <c r="AX31">
        <v>553</v>
      </c>
      <c r="AY31">
        <v>723</v>
      </c>
      <c r="BB31" t="s">
        <v>445</v>
      </c>
      <c r="BC31" t="s">
        <v>541</v>
      </c>
    </row>
    <row r="32" spans="1:55" x14ac:dyDescent="0.45">
      <c r="A32">
        <v>31</v>
      </c>
      <c r="C32">
        <v>60.5</v>
      </c>
      <c r="D32">
        <v>0</v>
      </c>
      <c r="E32">
        <v>0</v>
      </c>
      <c r="F32">
        <v>0</v>
      </c>
      <c r="G32">
        <v>0</v>
      </c>
      <c r="H32">
        <v>1.5</v>
      </c>
      <c r="I32">
        <v>0</v>
      </c>
      <c r="J32">
        <v>6</v>
      </c>
      <c r="K32">
        <v>32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4"/>
        <v>817.5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f t="shared" si="3"/>
        <v>13.31</v>
      </c>
      <c r="AU32">
        <f t="shared" si="1"/>
        <v>1</v>
      </c>
      <c r="AV32">
        <f t="shared" si="2"/>
        <v>817.5</v>
      </c>
      <c r="AW32">
        <v>62</v>
      </c>
      <c r="AX32">
        <v>1038</v>
      </c>
      <c r="AY32">
        <v>1083</v>
      </c>
      <c r="BA32">
        <v>218</v>
      </c>
      <c r="BB32" t="s">
        <v>446</v>
      </c>
      <c r="BC32" t="s">
        <v>542</v>
      </c>
    </row>
    <row r="33" spans="1:55" x14ac:dyDescent="0.45">
      <c r="A33">
        <v>32</v>
      </c>
      <c r="C33">
        <v>66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32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4"/>
        <v>890.4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f t="shared" si="3"/>
        <v>8.9600000000000009</v>
      </c>
      <c r="AU33">
        <f t="shared" si="1"/>
        <v>0.66666666666666663</v>
      </c>
      <c r="AV33">
        <f t="shared" si="2"/>
        <v>890.4</v>
      </c>
      <c r="AW33">
        <v>60</v>
      </c>
      <c r="AX33">
        <v>665</v>
      </c>
      <c r="BA33">
        <v>260</v>
      </c>
      <c r="BB33" t="s">
        <v>259</v>
      </c>
      <c r="BC33" t="s">
        <v>543</v>
      </c>
    </row>
    <row r="34" spans="1:55" x14ac:dyDescent="0.45">
      <c r="A34">
        <v>33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22</v>
      </c>
      <c r="K34">
        <v>8</v>
      </c>
      <c r="L34">
        <v>0</v>
      </c>
      <c r="M34">
        <v>0</v>
      </c>
      <c r="N34">
        <v>0</v>
      </c>
      <c r="O34">
        <v>38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4"/>
        <v>730.2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0</v>
      </c>
      <c r="AT34">
        <f t="shared" si="3"/>
        <v>10.6</v>
      </c>
      <c r="AU34">
        <f t="shared" si="1"/>
        <v>3.6666666666666665</v>
      </c>
      <c r="AV34">
        <f t="shared" si="2"/>
        <v>730.2</v>
      </c>
      <c r="AW34">
        <v>73</v>
      </c>
      <c r="AX34">
        <v>1107</v>
      </c>
      <c r="BA34">
        <v>365</v>
      </c>
      <c r="BB34" t="s">
        <v>447</v>
      </c>
      <c r="BC34" t="s">
        <v>544</v>
      </c>
    </row>
    <row r="35" spans="1:55" x14ac:dyDescent="0.45">
      <c r="A35">
        <v>34</v>
      </c>
      <c r="C35">
        <v>31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25</v>
      </c>
      <c r="K35">
        <v>5</v>
      </c>
      <c r="L35">
        <v>0</v>
      </c>
      <c r="M35">
        <v>0</v>
      </c>
      <c r="N35">
        <v>0</v>
      </c>
      <c r="O35">
        <v>39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f t="shared" si="4"/>
        <v>709.5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1</v>
      </c>
      <c r="AS35">
        <v>0</v>
      </c>
      <c r="AT35">
        <f t="shared" si="3"/>
        <v>9.98</v>
      </c>
      <c r="AU35">
        <f t="shared" si="1"/>
        <v>4.166666666666667</v>
      </c>
      <c r="AV35">
        <f t="shared" si="2"/>
        <v>709.5</v>
      </c>
      <c r="AW35">
        <v>75</v>
      </c>
      <c r="AX35">
        <v>932</v>
      </c>
      <c r="BA35">
        <v>422</v>
      </c>
      <c r="BB35" t="s">
        <v>447</v>
      </c>
      <c r="BC35" t="s">
        <v>544</v>
      </c>
    </row>
    <row r="36" spans="1:55" x14ac:dyDescent="0.45">
      <c r="A36">
        <v>35</v>
      </c>
      <c r="C36">
        <v>30.5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28</v>
      </c>
      <c r="K36">
        <v>2.5</v>
      </c>
      <c r="L36">
        <v>0</v>
      </c>
      <c r="M36">
        <v>0</v>
      </c>
      <c r="N36">
        <v>0</v>
      </c>
      <c r="O36">
        <v>39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f t="shared" si="4"/>
        <v>688.8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>
        <f t="shared" si="3"/>
        <v>9.2799999999999994</v>
      </c>
      <c r="AU36">
        <f t="shared" si="1"/>
        <v>4.666666666666667</v>
      </c>
      <c r="AV36">
        <f t="shared" si="2"/>
        <v>688.8</v>
      </c>
      <c r="AW36">
        <v>77</v>
      </c>
      <c r="AX36">
        <v>953</v>
      </c>
      <c r="BA36">
        <v>433</v>
      </c>
      <c r="BB36" t="s">
        <v>447</v>
      </c>
      <c r="BC36" t="s">
        <v>544</v>
      </c>
    </row>
    <row r="37" spans="1:55" x14ac:dyDescent="0.45">
      <c r="A37">
        <v>36</v>
      </c>
      <c r="C37">
        <v>90</v>
      </c>
      <c r="D37">
        <v>0</v>
      </c>
      <c r="E37">
        <v>0</v>
      </c>
      <c r="F37">
        <v>0</v>
      </c>
      <c r="G37">
        <v>0</v>
      </c>
      <c r="H37">
        <v>5</v>
      </c>
      <c r="I37">
        <v>0</v>
      </c>
      <c r="J37">
        <v>0</v>
      </c>
      <c r="K37">
        <v>0</v>
      </c>
      <c r="L37">
        <v>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f t="shared" si="4"/>
        <v>757.5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0</v>
      </c>
      <c r="AT37">
        <f t="shared" si="3"/>
        <v>19.5</v>
      </c>
      <c r="AU37">
        <f t="shared" si="1"/>
        <v>0</v>
      </c>
      <c r="AV37">
        <f t="shared" si="2"/>
        <v>757.5</v>
      </c>
      <c r="AW37">
        <v>83</v>
      </c>
      <c r="AX37">
        <v>936</v>
      </c>
      <c r="BA37">
        <v>452</v>
      </c>
      <c r="BB37" t="s">
        <v>448</v>
      </c>
      <c r="BC37" t="s">
        <v>545</v>
      </c>
    </row>
    <row r="38" spans="1:55" x14ac:dyDescent="0.45">
      <c r="A38">
        <v>37</v>
      </c>
      <c r="C38">
        <v>54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12</v>
      </c>
      <c r="K38">
        <v>26</v>
      </c>
      <c r="L38">
        <v>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f t="shared" si="4"/>
        <v>723.2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f t="shared" si="3"/>
        <v>15.280000000000001</v>
      </c>
      <c r="AU38">
        <f t="shared" si="1"/>
        <v>2</v>
      </c>
      <c r="AV38">
        <f t="shared" si="2"/>
        <v>723.2</v>
      </c>
      <c r="AW38">
        <v>66.599999999999994</v>
      </c>
      <c r="AX38">
        <v>754.7</v>
      </c>
      <c r="AY38">
        <v>759</v>
      </c>
      <c r="BB38" t="s">
        <v>449</v>
      </c>
      <c r="BC38" t="s">
        <v>546</v>
      </c>
    </row>
    <row r="39" spans="1:55" x14ac:dyDescent="0.45">
      <c r="A39">
        <v>38</v>
      </c>
      <c r="C39">
        <v>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1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f t="shared" si="4"/>
        <v>889.3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f t="shared" si="3"/>
        <v>9.4</v>
      </c>
      <c r="AU39">
        <f t="shared" si="1"/>
        <v>1.3333333333333333</v>
      </c>
      <c r="AV39">
        <f t="shared" si="2"/>
        <v>889.3</v>
      </c>
      <c r="AW39">
        <v>46</v>
      </c>
      <c r="AX39">
        <v>130</v>
      </c>
      <c r="AY39">
        <v>380</v>
      </c>
      <c r="BB39" t="s">
        <v>450</v>
      </c>
      <c r="BC39" t="s">
        <v>547</v>
      </c>
    </row>
    <row r="40" spans="1:55" x14ac:dyDescent="0.45">
      <c r="A40">
        <v>39</v>
      </c>
      <c r="C40">
        <v>53.4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4.5999999999999996</v>
      </c>
      <c r="K40">
        <v>29</v>
      </c>
      <c r="L40">
        <v>0</v>
      </c>
      <c r="M40">
        <v>0</v>
      </c>
      <c r="N40">
        <v>0</v>
      </c>
      <c r="O40">
        <v>13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f t="shared" si="4"/>
        <v>850.26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f t="shared" si="3"/>
        <v>10.98</v>
      </c>
      <c r="AU40">
        <f t="shared" si="1"/>
        <v>0.76666666666666661</v>
      </c>
      <c r="AV40">
        <f t="shared" si="2"/>
        <v>850.26</v>
      </c>
      <c r="AW40">
        <v>65</v>
      </c>
      <c r="AX40">
        <v>600</v>
      </c>
      <c r="AY40">
        <v>650</v>
      </c>
      <c r="BA40">
        <v>175</v>
      </c>
      <c r="BB40" t="s">
        <v>451</v>
      </c>
      <c r="BC40" t="s">
        <v>548</v>
      </c>
    </row>
    <row r="41" spans="1:55" x14ac:dyDescent="0.45">
      <c r="A41">
        <v>40</v>
      </c>
      <c r="C41">
        <v>62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9</v>
      </c>
      <c r="K41">
        <v>18</v>
      </c>
      <c r="L41">
        <v>5</v>
      </c>
      <c r="M41">
        <v>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  <c r="AT41">
        <f t="shared" si="3"/>
        <v>10.040000000000001</v>
      </c>
      <c r="AU41">
        <f t="shared" si="1"/>
        <v>3.5</v>
      </c>
      <c r="AV41">
        <f t="shared" si="2"/>
        <v>797.6</v>
      </c>
      <c r="AW41">
        <v>72</v>
      </c>
      <c r="AX41">
        <v>499</v>
      </c>
      <c r="AY41">
        <v>519</v>
      </c>
      <c r="BB41" t="s">
        <v>304</v>
      </c>
      <c r="BC41" t="s">
        <v>549</v>
      </c>
    </row>
    <row r="42" spans="1:55" x14ac:dyDescent="0.45">
      <c r="A42">
        <v>41</v>
      </c>
      <c r="C42">
        <v>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9</v>
      </c>
      <c r="K42">
        <v>14</v>
      </c>
      <c r="L42">
        <v>5</v>
      </c>
      <c r="M42">
        <v>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f t="shared" si="3"/>
        <v>8.92</v>
      </c>
      <c r="AU42">
        <f t="shared" si="1"/>
        <v>3.5</v>
      </c>
      <c r="AV42">
        <f t="shared" si="2"/>
        <v>797.6</v>
      </c>
      <c r="AW42">
        <v>56</v>
      </c>
      <c r="AX42">
        <v>566</v>
      </c>
      <c r="AY42">
        <v>701</v>
      </c>
      <c r="BB42" t="s">
        <v>304</v>
      </c>
      <c r="BC42" t="s">
        <v>549</v>
      </c>
    </row>
    <row r="43" spans="1:55" x14ac:dyDescent="0.45">
      <c r="A43">
        <v>42</v>
      </c>
      <c r="C43">
        <v>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</v>
      </c>
      <c r="K43">
        <v>15</v>
      </c>
      <c r="L43">
        <v>5</v>
      </c>
      <c r="M43">
        <v>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f t="shared" si="3"/>
        <v>9.1999999999999993</v>
      </c>
      <c r="AU43">
        <f t="shared" si="1"/>
        <v>2.8333333333333335</v>
      </c>
      <c r="AV43">
        <f t="shared" si="2"/>
        <v>825.2</v>
      </c>
      <c r="AW43">
        <v>55</v>
      </c>
      <c r="AX43">
        <v>533</v>
      </c>
      <c r="AY43">
        <v>692</v>
      </c>
      <c r="BB43" t="s">
        <v>304</v>
      </c>
      <c r="BC43" t="s">
        <v>549</v>
      </c>
    </row>
    <row r="44" spans="1:55" x14ac:dyDescent="0.45">
      <c r="A44">
        <v>43</v>
      </c>
      <c r="C44">
        <v>57.7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  <c r="K44">
        <v>32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</v>
      </c>
      <c r="U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f t="shared" ref="AC44:AC61" si="5">(AV44)+0</f>
        <v>883.2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f t="shared" si="3"/>
        <v>8.9600000000000009</v>
      </c>
      <c r="AU44">
        <f t="shared" si="1"/>
        <v>2.1966666666666668</v>
      </c>
      <c r="AV44">
        <f t="shared" si="2"/>
        <v>883.2</v>
      </c>
      <c r="AW44">
        <v>66.900000000000006</v>
      </c>
      <c r="AX44">
        <v>806</v>
      </c>
      <c r="AY44">
        <v>829</v>
      </c>
      <c r="BA44">
        <v>282</v>
      </c>
      <c r="BB44" t="s">
        <v>452</v>
      </c>
      <c r="BC44" t="s">
        <v>550</v>
      </c>
    </row>
    <row r="45" spans="1:55" x14ac:dyDescent="0.45">
      <c r="A45">
        <v>44</v>
      </c>
      <c r="C45">
        <v>69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25</v>
      </c>
      <c r="L45">
        <v>2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f t="shared" si="5"/>
        <v>879.8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f t="shared" si="3"/>
        <v>9</v>
      </c>
      <c r="AU45">
        <f t="shared" si="1"/>
        <v>1.3333333333333333</v>
      </c>
      <c r="AV45">
        <f t="shared" si="2"/>
        <v>879.8</v>
      </c>
      <c r="AW45">
        <v>53.1</v>
      </c>
      <c r="AX45">
        <v>361</v>
      </c>
      <c r="AY45">
        <v>511</v>
      </c>
      <c r="BB45" t="s">
        <v>351</v>
      </c>
      <c r="BC45" t="s">
        <v>551</v>
      </c>
    </row>
    <row r="46" spans="1:55" x14ac:dyDescent="0.45">
      <c r="A46">
        <v>45</v>
      </c>
      <c r="C46">
        <v>80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6</v>
      </c>
      <c r="K46">
        <v>0</v>
      </c>
      <c r="L46">
        <v>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f t="shared" si="5"/>
        <v>695.80000000000007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f t="shared" si="3"/>
        <v>17.8</v>
      </c>
      <c r="AU46">
        <f t="shared" si="1"/>
        <v>1</v>
      </c>
      <c r="AV46">
        <f t="shared" si="2"/>
        <v>695.80000000000007</v>
      </c>
      <c r="AW46">
        <v>79.5</v>
      </c>
      <c r="AX46">
        <v>897</v>
      </c>
      <c r="AY46">
        <v>931.5</v>
      </c>
      <c r="BB46" t="s">
        <v>453</v>
      </c>
      <c r="BC46" t="s">
        <v>552</v>
      </c>
    </row>
    <row r="47" spans="1:55" x14ac:dyDescent="0.45">
      <c r="A47">
        <v>46</v>
      </c>
      <c r="C47">
        <v>90</v>
      </c>
      <c r="D47">
        <v>6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f t="shared" si="5"/>
        <v>847.4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f t="shared" si="3"/>
        <v>-3.32</v>
      </c>
      <c r="AU47">
        <f t="shared" si="1"/>
        <v>6</v>
      </c>
      <c r="AV47">
        <f t="shared" si="2"/>
        <v>847.4</v>
      </c>
      <c r="AW47">
        <v>110</v>
      </c>
      <c r="AX47">
        <v>760</v>
      </c>
      <c r="AY47">
        <v>825</v>
      </c>
      <c r="BB47" t="s">
        <v>454</v>
      </c>
      <c r="BC47" t="s">
        <v>553</v>
      </c>
    </row>
    <row r="48" spans="1:55" x14ac:dyDescent="0.45">
      <c r="A48">
        <v>47</v>
      </c>
      <c r="C48">
        <v>87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f t="shared" si="5"/>
        <v>894.6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f t="shared" si="3"/>
        <v>-4.04</v>
      </c>
      <c r="AU48">
        <f t="shared" si="1"/>
        <v>6</v>
      </c>
      <c r="AV48">
        <f t="shared" si="2"/>
        <v>894.6</v>
      </c>
      <c r="AW48">
        <v>110</v>
      </c>
      <c r="AX48">
        <v>800</v>
      </c>
      <c r="AY48">
        <v>900</v>
      </c>
      <c r="BB48" t="s">
        <v>455</v>
      </c>
      <c r="BC48" t="s">
        <v>554</v>
      </c>
    </row>
    <row r="49" spans="1:55" x14ac:dyDescent="0.45">
      <c r="A49">
        <v>48</v>
      </c>
      <c r="C49">
        <v>90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f t="shared" si="5"/>
        <v>882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f t="shared" si="3"/>
        <v>2.2000000000000002</v>
      </c>
      <c r="AU49">
        <f t="shared" si="1"/>
        <v>0</v>
      </c>
      <c r="AV49">
        <f t="shared" si="2"/>
        <v>882</v>
      </c>
      <c r="AW49">
        <v>100</v>
      </c>
      <c r="AX49">
        <v>396</v>
      </c>
      <c r="AY49">
        <v>504</v>
      </c>
      <c r="BB49" t="s">
        <v>456</v>
      </c>
      <c r="BC49" t="s">
        <v>555</v>
      </c>
    </row>
    <row r="50" spans="1:55" x14ac:dyDescent="0.45">
      <c r="A50">
        <v>49</v>
      </c>
      <c r="C50">
        <v>70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f t="shared" si="5"/>
        <v>882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f t="shared" si="3"/>
        <v>6.6</v>
      </c>
      <c r="AU50">
        <f t="shared" si="1"/>
        <v>0</v>
      </c>
      <c r="AV50">
        <f t="shared" si="2"/>
        <v>882</v>
      </c>
      <c r="AW50">
        <v>69</v>
      </c>
      <c r="AX50">
        <v>441</v>
      </c>
      <c r="AY50">
        <v>587</v>
      </c>
      <c r="BB50" t="s">
        <v>456</v>
      </c>
      <c r="BC50" t="s">
        <v>555</v>
      </c>
    </row>
    <row r="51" spans="1:55" x14ac:dyDescent="0.45">
      <c r="A51">
        <v>50</v>
      </c>
      <c r="C51">
        <v>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f t="shared" si="5"/>
        <v>882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0</v>
      </c>
      <c r="AT51">
        <f t="shared" si="3"/>
        <v>11</v>
      </c>
      <c r="AU51">
        <f t="shared" si="1"/>
        <v>0</v>
      </c>
      <c r="AV51">
        <f t="shared" si="2"/>
        <v>882</v>
      </c>
      <c r="AW51">
        <v>88</v>
      </c>
      <c r="AX51">
        <v>379</v>
      </c>
      <c r="AY51">
        <v>530</v>
      </c>
      <c r="BB51" t="s">
        <v>456</v>
      </c>
      <c r="BC51" t="s">
        <v>555</v>
      </c>
    </row>
    <row r="52" spans="1:55" x14ac:dyDescent="0.45">
      <c r="A52">
        <v>51</v>
      </c>
      <c r="C52">
        <v>30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f t="shared" si="5"/>
        <v>882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f t="shared" si="3"/>
        <v>15.4</v>
      </c>
      <c r="AU52">
        <f t="shared" si="1"/>
        <v>0</v>
      </c>
      <c r="AV52">
        <f t="shared" si="2"/>
        <v>882</v>
      </c>
      <c r="AW52">
        <v>67</v>
      </c>
      <c r="AX52">
        <v>373</v>
      </c>
      <c r="AY52">
        <v>600</v>
      </c>
      <c r="BB52" t="s">
        <v>456</v>
      </c>
      <c r="BC52" t="s">
        <v>555</v>
      </c>
    </row>
    <row r="53" spans="1:55" x14ac:dyDescent="0.45">
      <c r="A53">
        <v>52</v>
      </c>
      <c r="C53">
        <v>61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35</v>
      </c>
      <c r="L53">
        <v>0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f t="shared" si="5"/>
        <v>898.8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0</v>
      </c>
      <c r="AT53">
        <f t="shared" si="3"/>
        <v>9.8000000000000007</v>
      </c>
      <c r="AU53">
        <f t="shared" si="1"/>
        <v>1.3333333333333333</v>
      </c>
      <c r="AV53">
        <f t="shared" si="2"/>
        <v>898.8</v>
      </c>
      <c r="AW53">
        <v>55</v>
      </c>
      <c r="AX53">
        <v>376</v>
      </c>
      <c r="AY53">
        <v>480</v>
      </c>
      <c r="BB53" t="s">
        <v>253</v>
      </c>
      <c r="BC53" t="s">
        <v>556</v>
      </c>
    </row>
    <row r="54" spans="1:55" x14ac:dyDescent="0.45">
      <c r="A54">
        <v>53</v>
      </c>
      <c r="C54">
        <v>57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35</v>
      </c>
      <c r="L54">
        <v>0</v>
      </c>
      <c r="M54">
        <v>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f t="shared" si="5"/>
        <v>915.6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f t="shared" si="3"/>
        <v>9.8000000000000007</v>
      </c>
      <c r="AU54">
        <f t="shared" si="1"/>
        <v>2.6666666666666665</v>
      </c>
      <c r="AV54">
        <f t="shared" si="2"/>
        <v>915.6</v>
      </c>
      <c r="AW54">
        <v>61</v>
      </c>
      <c r="AX54">
        <v>444</v>
      </c>
      <c r="AY54">
        <v>480</v>
      </c>
      <c r="BB54" t="s">
        <v>253</v>
      </c>
      <c r="BC54" t="s">
        <v>556</v>
      </c>
    </row>
    <row r="55" spans="1:55" x14ac:dyDescent="0.45">
      <c r="A55">
        <v>54</v>
      </c>
      <c r="C55">
        <v>53.4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4.5999999999999996</v>
      </c>
      <c r="K55">
        <v>29</v>
      </c>
      <c r="L55">
        <v>0</v>
      </c>
      <c r="M55">
        <v>0</v>
      </c>
      <c r="N55">
        <v>0</v>
      </c>
      <c r="O55">
        <v>13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f t="shared" si="5"/>
        <v>850.26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f t="shared" si="3"/>
        <v>10.98</v>
      </c>
      <c r="AU55">
        <f t="shared" si="1"/>
        <v>0.76666666666666661</v>
      </c>
      <c r="AV55">
        <f t="shared" si="2"/>
        <v>850.26</v>
      </c>
      <c r="AW55">
        <v>55</v>
      </c>
      <c r="AX55">
        <v>257</v>
      </c>
      <c r="AY55">
        <v>535</v>
      </c>
      <c r="BB55" t="s">
        <v>242</v>
      </c>
      <c r="BC55" t="s">
        <v>557</v>
      </c>
    </row>
    <row r="56" spans="1:55" x14ac:dyDescent="0.45">
      <c r="A56">
        <v>55</v>
      </c>
      <c r="C56">
        <v>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16</v>
      </c>
      <c r="L56">
        <v>4</v>
      </c>
      <c r="M56">
        <v>0</v>
      </c>
      <c r="N56">
        <v>0</v>
      </c>
      <c r="O56">
        <v>13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f t="shared" si="5"/>
        <v>844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f t="shared" si="3"/>
        <v>11.34</v>
      </c>
      <c r="AU56">
        <f t="shared" si="1"/>
        <v>0</v>
      </c>
      <c r="AV56">
        <f t="shared" si="2"/>
        <v>844</v>
      </c>
      <c r="AW56">
        <v>50</v>
      </c>
      <c r="AX56">
        <v>557</v>
      </c>
      <c r="AY56">
        <v>641</v>
      </c>
      <c r="BB56" t="s">
        <v>242</v>
      </c>
      <c r="BC56" t="s">
        <v>557</v>
      </c>
    </row>
    <row r="57" spans="1:55" x14ac:dyDescent="0.45">
      <c r="A57">
        <v>56</v>
      </c>
      <c r="C57">
        <v>58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29</v>
      </c>
      <c r="L57">
        <v>0</v>
      </c>
      <c r="M57">
        <v>0</v>
      </c>
      <c r="N57">
        <v>0</v>
      </c>
      <c r="O57">
        <v>13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f t="shared" si="5"/>
        <v>882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f t="shared" si="3"/>
        <v>10.98</v>
      </c>
      <c r="AU57">
        <f t="shared" si="1"/>
        <v>0</v>
      </c>
      <c r="AV57">
        <f t="shared" si="2"/>
        <v>882</v>
      </c>
      <c r="AW57">
        <v>66</v>
      </c>
      <c r="AX57">
        <v>213</v>
      </c>
      <c r="AY57">
        <v>572</v>
      </c>
      <c r="BB57" t="s">
        <v>242</v>
      </c>
      <c r="BC57" t="s">
        <v>557</v>
      </c>
    </row>
    <row r="58" spans="1:55" x14ac:dyDescent="0.45">
      <c r="A58">
        <v>57</v>
      </c>
      <c r="C58">
        <v>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29</v>
      </c>
      <c r="L58">
        <v>4</v>
      </c>
      <c r="M58">
        <v>0</v>
      </c>
      <c r="N58">
        <v>0</v>
      </c>
      <c r="O58">
        <v>13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f t="shared" si="5"/>
        <v>844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f t="shared" si="3"/>
        <v>14.98</v>
      </c>
      <c r="AU58">
        <f t="shared" si="1"/>
        <v>0</v>
      </c>
      <c r="AV58">
        <f t="shared" si="2"/>
        <v>844</v>
      </c>
      <c r="AW58">
        <v>53</v>
      </c>
      <c r="AX58">
        <v>599</v>
      </c>
      <c r="AY58">
        <v>608</v>
      </c>
      <c r="BB58" t="s">
        <v>242</v>
      </c>
      <c r="BC58" t="s">
        <v>557</v>
      </c>
    </row>
    <row r="59" spans="1:55" x14ac:dyDescent="0.45">
      <c r="A59">
        <v>58</v>
      </c>
      <c r="C59">
        <v>56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29</v>
      </c>
      <c r="L59">
        <v>0</v>
      </c>
      <c r="M59">
        <v>2</v>
      </c>
      <c r="N59">
        <v>0</v>
      </c>
      <c r="O59">
        <v>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f t="shared" si="5"/>
        <v>890.4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f t="shared" si="3"/>
        <v>10.98</v>
      </c>
      <c r="AU59">
        <f t="shared" si="1"/>
        <v>0.66666666666666663</v>
      </c>
      <c r="AV59">
        <f t="shared" si="2"/>
        <v>890.4</v>
      </c>
      <c r="AW59">
        <v>48</v>
      </c>
      <c r="AX59">
        <v>432</v>
      </c>
      <c r="AY59">
        <v>497</v>
      </c>
      <c r="BB59" t="s">
        <v>242</v>
      </c>
      <c r="BC59" t="s">
        <v>557</v>
      </c>
    </row>
    <row r="60" spans="1:55" x14ac:dyDescent="0.45">
      <c r="A60">
        <v>59</v>
      </c>
      <c r="C60">
        <v>53.4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29</v>
      </c>
      <c r="L60">
        <v>0</v>
      </c>
      <c r="M60">
        <v>4.5999999999999996</v>
      </c>
      <c r="N60">
        <v>0</v>
      </c>
      <c r="O60">
        <v>13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f t="shared" si="5"/>
        <v>901.32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f t="shared" si="3"/>
        <v>10.98</v>
      </c>
      <c r="AU60">
        <f t="shared" si="1"/>
        <v>1.5333333333333332</v>
      </c>
      <c r="AV60">
        <f t="shared" si="2"/>
        <v>901.32</v>
      </c>
      <c r="AW60">
        <v>55</v>
      </c>
      <c r="AX60">
        <v>367</v>
      </c>
      <c r="AY60">
        <v>528</v>
      </c>
      <c r="BB60" t="s">
        <v>242</v>
      </c>
      <c r="BC60" t="s">
        <v>557</v>
      </c>
    </row>
    <row r="61" spans="1:55" x14ac:dyDescent="0.45">
      <c r="A61">
        <v>60</v>
      </c>
      <c r="C61">
        <v>52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29</v>
      </c>
      <c r="L61">
        <v>0</v>
      </c>
      <c r="M61">
        <v>6</v>
      </c>
      <c r="N61">
        <v>0</v>
      </c>
      <c r="O61">
        <v>13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f t="shared" si="5"/>
        <v>907.2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f t="shared" si="3"/>
        <v>10.98</v>
      </c>
      <c r="AU61">
        <f t="shared" si="1"/>
        <v>2</v>
      </c>
      <c r="AV61">
        <f t="shared" si="2"/>
        <v>907.2</v>
      </c>
      <c r="AW61">
        <v>69</v>
      </c>
      <c r="AX61">
        <v>501</v>
      </c>
      <c r="AY61">
        <v>523</v>
      </c>
      <c r="BB61" t="s">
        <v>242</v>
      </c>
      <c r="BC61" t="s">
        <v>557</v>
      </c>
    </row>
    <row r="62" spans="1:55" x14ac:dyDescent="0.45">
      <c r="A62">
        <v>61</v>
      </c>
      <c r="C62">
        <v>83</v>
      </c>
      <c r="D62">
        <v>0</v>
      </c>
      <c r="E62">
        <v>0</v>
      </c>
      <c r="F62">
        <v>0</v>
      </c>
      <c r="G62">
        <v>0</v>
      </c>
      <c r="H62">
        <v>6</v>
      </c>
      <c r="I62">
        <v>0</v>
      </c>
      <c r="J62">
        <v>0</v>
      </c>
      <c r="K62">
        <v>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1</v>
      </c>
      <c r="AR62">
        <v>0</v>
      </c>
      <c r="AS62">
        <v>0</v>
      </c>
      <c r="AT62">
        <f t="shared" si="3"/>
        <v>20.479999999999997</v>
      </c>
      <c r="AU62">
        <f t="shared" si="1"/>
        <v>0</v>
      </c>
      <c r="AV62">
        <f t="shared" si="2"/>
        <v>789.6</v>
      </c>
      <c r="AW62">
        <v>89</v>
      </c>
      <c r="AX62">
        <v>1137</v>
      </c>
      <c r="BA62">
        <v>357</v>
      </c>
      <c r="BB62" t="s">
        <v>457</v>
      </c>
      <c r="BC62" t="s">
        <v>558</v>
      </c>
    </row>
    <row r="63" spans="1:55" x14ac:dyDescent="0.45">
      <c r="A63">
        <v>62</v>
      </c>
      <c r="C63">
        <v>80</v>
      </c>
      <c r="D63">
        <v>0</v>
      </c>
      <c r="E63">
        <v>0</v>
      </c>
      <c r="F63">
        <v>0</v>
      </c>
      <c r="G63">
        <v>0</v>
      </c>
      <c r="H63">
        <v>9</v>
      </c>
      <c r="I63">
        <v>0</v>
      </c>
      <c r="J63">
        <v>0</v>
      </c>
      <c r="K63">
        <v>11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f t="shared" si="3"/>
        <v>29.18</v>
      </c>
      <c r="AU63">
        <f t="shared" si="1"/>
        <v>0</v>
      </c>
      <c r="AV63">
        <f t="shared" si="2"/>
        <v>743.4</v>
      </c>
      <c r="AW63">
        <v>82</v>
      </c>
      <c r="AX63">
        <v>1078</v>
      </c>
      <c r="BA63">
        <v>334</v>
      </c>
      <c r="BB63" t="s">
        <v>457</v>
      </c>
      <c r="BC63" t="s">
        <v>558</v>
      </c>
    </row>
    <row r="64" spans="1:55" x14ac:dyDescent="0.45">
      <c r="A64">
        <v>63</v>
      </c>
      <c r="C64">
        <v>82</v>
      </c>
      <c r="D64">
        <v>5</v>
      </c>
      <c r="E64">
        <v>5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f>(AV64)+0</f>
        <v>749.7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1</v>
      </c>
      <c r="AP64">
        <v>0</v>
      </c>
      <c r="AQ64">
        <v>0</v>
      </c>
      <c r="AR64">
        <v>1</v>
      </c>
      <c r="AS64">
        <v>0</v>
      </c>
      <c r="AT64">
        <f t="shared" si="3"/>
        <v>8.15</v>
      </c>
      <c r="AU64">
        <f t="shared" si="1"/>
        <v>5</v>
      </c>
      <c r="AV64">
        <f t="shared" si="2"/>
        <v>749.7</v>
      </c>
      <c r="AW64">
        <v>115</v>
      </c>
      <c r="AX64">
        <v>636</v>
      </c>
      <c r="BA64">
        <v>314</v>
      </c>
      <c r="BB64" t="s">
        <v>458</v>
      </c>
      <c r="BC64" t="s">
        <v>559</v>
      </c>
    </row>
    <row r="65" spans="1:55" x14ac:dyDescent="0.45">
      <c r="A65">
        <v>64</v>
      </c>
      <c r="C65">
        <v>90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f>(AV65)+0</f>
        <v>787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1</v>
      </c>
      <c r="AS65">
        <v>0</v>
      </c>
      <c r="AT65">
        <f t="shared" si="3"/>
        <v>10</v>
      </c>
      <c r="AU65">
        <f t="shared" si="1"/>
        <v>0</v>
      </c>
      <c r="AV65">
        <f t="shared" si="2"/>
        <v>787</v>
      </c>
      <c r="AW65">
        <v>93</v>
      </c>
      <c r="AX65">
        <v>731</v>
      </c>
      <c r="BB65" t="s">
        <v>459</v>
      </c>
      <c r="BC65" t="s">
        <v>560</v>
      </c>
    </row>
    <row r="66" spans="1:55" x14ac:dyDescent="0.45">
      <c r="A66">
        <v>65</v>
      </c>
      <c r="C66">
        <v>80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f>(AV66)+0</f>
        <v>692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f t="shared" si="3"/>
        <v>20</v>
      </c>
      <c r="AU66">
        <f t="shared" ref="AU66:AU129" si="6">D66+J66/6+M66/3+(T66+S66)/10</f>
        <v>0</v>
      </c>
      <c r="AV66">
        <f t="shared" ref="AV66:AV129" si="7">882+2.1*D66-9.5*L66+4.2*M66-6.9*J66-11.8*E66-12.1*F66-15.4*H66+23.3*Q66+123*T66</f>
        <v>692</v>
      </c>
      <c r="AW66">
        <v>75</v>
      </c>
      <c r="AX66">
        <v>823</v>
      </c>
      <c r="BB66" t="s">
        <v>459</v>
      </c>
      <c r="BC66" t="s">
        <v>560</v>
      </c>
    </row>
    <row r="67" spans="1:55" x14ac:dyDescent="0.45">
      <c r="A67">
        <v>66</v>
      </c>
      <c r="C67">
        <v>90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f t="shared" ref="AT67:AT130" si="8">L67+0.67*E67+0.44*P67+0.28*K67+0.22*O67+2.9*H67+1.6*F67+1.7*G67-D67</f>
        <v>10</v>
      </c>
      <c r="AU67">
        <f t="shared" si="6"/>
        <v>0</v>
      </c>
      <c r="AV67">
        <f t="shared" si="7"/>
        <v>787</v>
      </c>
      <c r="AW67">
        <v>77.599999999999994</v>
      </c>
      <c r="AX67">
        <v>862</v>
      </c>
      <c r="AY67">
        <v>916</v>
      </c>
      <c r="BB67" t="s">
        <v>460</v>
      </c>
      <c r="BC67" t="s">
        <v>561</v>
      </c>
    </row>
    <row r="68" spans="1:55" x14ac:dyDescent="0.45">
      <c r="A68">
        <v>67</v>
      </c>
      <c r="C68">
        <v>89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1</v>
      </c>
      <c r="AT68">
        <f t="shared" si="8"/>
        <v>10</v>
      </c>
      <c r="AU68">
        <f t="shared" si="6"/>
        <v>0</v>
      </c>
      <c r="AV68">
        <f t="shared" si="7"/>
        <v>787</v>
      </c>
      <c r="AW68">
        <v>73.5</v>
      </c>
      <c r="AX68">
        <v>972</v>
      </c>
      <c r="AY68">
        <v>1002.3</v>
      </c>
      <c r="BB68" t="s">
        <v>460</v>
      </c>
      <c r="BC68" t="s">
        <v>561</v>
      </c>
    </row>
    <row r="69" spans="1:55" x14ac:dyDescent="0.45">
      <c r="A69">
        <v>68</v>
      </c>
      <c r="C69">
        <v>87</v>
      </c>
      <c r="D69">
        <v>0</v>
      </c>
      <c r="E69">
        <v>0</v>
      </c>
      <c r="F69">
        <v>0</v>
      </c>
      <c r="G69">
        <v>0</v>
      </c>
      <c r="H69">
        <v>0</v>
      </c>
      <c r="I69">
        <v>3</v>
      </c>
      <c r="J69">
        <v>0</v>
      </c>
      <c r="K69">
        <v>0</v>
      </c>
      <c r="L69">
        <v>10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1</v>
      </c>
      <c r="AT69">
        <f t="shared" si="8"/>
        <v>10</v>
      </c>
      <c r="AU69">
        <f t="shared" si="6"/>
        <v>0</v>
      </c>
      <c r="AV69">
        <f t="shared" si="7"/>
        <v>787</v>
      </c>
      <c r="AW69">
        <v>71.099999999999994</v>
      </c>
      <c r="AX69">
        <v>1062</v>
      </c>
      <c r="AY69">
        <v>1098.0999999999999</v>
      </c>
      <c r="BB69" t="s">
        <v>460</v>
      </c>
      <c r="BC69" t="s">
        <v>561</v>
      </c>
    </row>
    <row r="70" spans="1:55" x14ac:dyDescent="0.45">
      <c r="A70">
        <v>69</v>
      </c>
      <c r="C70">
        <v>85</v>
      </c>
      <c r="D70">
        <v>0</v>
      </c>
      <c r="E70">
        <v>0</v>
      </c>
      <c r="F70">
        <v>0</v>
      </c>
      <c r="G70">
        <v>0</v>
      </c>
      <c r="H70">
        <v>0</v>
      </c>
      <c r="I70">
        <v>5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1</v>
      </c>
      <c r="AT70">
        <f t="shared" si="8"/>
        <v>10</v>
      </c>
      <c r="AU70">
        <f t="shared" si="6"/>
        <v>0</v>
      </c>
      <c r="AV70">
        <f t="shared" si="7"/>
        <v>787</v>
      </c>
      <c r="AW70">
        <v>74.900000000000006</v>
      </c>
      <c r="AX70">
        <v>1152</v>
      </c>
      <c r="AY70">
        <v>1162.2</v>
      </c>
      <c r="BB70" t="s">
        <v>460</v>
      </c>
      <c r="BC70" t="s">
        <v>561</v>
      </c>
    </row>
    <row r="71" spans="1:55" x14ac:dyDescent="0.45">
      <c r="A71">
        <v>70</v>
      </c>
      <c r="C71">
        <v>97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f t="shared" ref="AC71:AC87" si="9">(AV71)+0</f>
        <v>882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1</v>
      </c>
      <c r="AT71">
        <f t="shared" si="8"/>
        <v>0</v>
      </c>
      <c r="AU71">
        <f t="shared" si="6"/>
        <v>0</v>
      </c>
      <c r="AV71">
        <f t="shared" si="7"/>
        <v>882</v>
      </c>
      <c r="AX71">
        <v>535</v>
      </c>
      <c r="AY71">
        <v>633</v>
      </c>
      <c r="BA71">
        <v>243</v>
      </c>
      <c r="BB71" t="s">
        <v>461</v>
      </c>
      <c r="BC71" t="s">
        <v>562</v>
      </c>
    </row>
    <row r="72" spans="1:55" x14ac:dyDescent="0.45">
      <c r="A72">
        <v>71</v>
      </c>
      <c r="C72">
        <v>95</v>
      </c>
      <c r="D72">
        <v>0</v>
      </c>
      <c r="E72">
        <v>0</v>
      </c>
      <c r="F72">
        <v>0</v>
      </c>
      <c r="G72">
        <v>0</v>
      </c>
      <c r="H72">
        <v>0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f t="shared" si="9"/>
        <v>882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1</v>
      </c>
      <c r="AT72">
        <f t="shared" si="8"/>
        <v>0</v>
      </c>
      <c r="AU72">
        <f t="shared" si="6"/>
        <v>0</v>
      </c>
      <c r="AV72">
        <f t="shared" si="7"/>
        <v>882</v>
      </c>
      <c r="AX72">
        <v>588</v>
      </c>
      <c r="AY72">
        <v>745</v>
      </c>
      <c r="BA72">
        <v>272</v>
      </c>
      <c r="BB72" t="s">
        <v>461</v>
      </c>
      <c r="BC72" t="s">
        <v>562</v>
      </c>
    </row>
    <row r="73" spans="1:55" x14ac:dyDescent="0.45">
      <c r="A73">
        <v>72</v>
      </c>
      <c r="C73">
        <v>93</v>
      </c>
      <c r="D73">
        <v>0</v>
      </c>
      <c r="E73">
        <v>0</v>
      </c>
      <c r="F73">
        <v>0</v>
      </c>
      <c r="G73">
        <v>0</v>
      </c>
      <c r="H73">
        <v>0</v>
      </c>
      <c r="I73">
        <v>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f t="shared" si="9"/>
        <v>882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1</v>
      </c>
      <c r="AT73">
        <f t="shared" si="8"/>
        <v>0</v>
      </c>
      <c r="AU73">
        <f t="shared" si="6"/>
        <v>0</v>
      </c>
      <c r="AV73">
        <f t="shared" si="7"/>
        <v>882</v>
      </c>
      <c r="AX73">
        <v>711</v>
      </c>
      <c r="AY73">
        <v>877</v>
      </c>
      <c r="BA73">
        <v>298</v>
      </c>
      <c r="BB73" t="s">
        <v>461</v>
      </c>
      <c r="BC73" t="s">
        <v>562</v>
      </c>
    </row>
    <row r="74" spans="1:55" x14ac:dyDescent="0.45">
      <c r="A74">
        <v>73</v>
      </c>
      <c r="C74">
        <v>62</v>
      </c>
      <c r="D74">
        <v>5</v>
      </c>
      <c r="E74">
        <v>3</v>
      </c>
      <c r="F74">
        <v>0</v>
      </c>
      <c r="G74">
        <v>0</v>
      </c>
      <c r="H74">
        <v>0</v>
      </c>
      <c r="I74">
        <v>0</v>
      </c>
      <c r="J74">
        <v>30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f t="shared" si="9"/>
        <v>650.1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0</v>
      </c>
      <c r="AT74">
        <f t="shared" si="8"/>
        <v>-2.9899999999999998</v>
      </c>
      <c r="AU74">
        <f t="shared" si="6"/>
        <v>10</v>
      </c>
      <c r="AV74">
        <f t="shared" si="7"/>
        <v>650.1</v>
      </c>
      <c r="AW74">
        <v>97</v>
      </c>
      <c r="AX74">
        <v>1181</v>
      </c>
      <c r="AY74">
        <v>1302</v>
      </c>
      <c r="BA74">
        <v>400</v>
      </c>
      <c r="BB74" t="s">
        <v>462</v>
      </c>
      <c r="BC74" t="s">
        <v>563</v>
      </c>
    </row>
    <row r="75" spans="1:55" x14ac:dyDescent="0.45">
      <c r="A75">
        <v>74</v>
      </c>
      <c r="C75">
        <v>61.5</v>
      </c>
      <c r="D75">
        <v>5</v>
      </c>
      <c r="E75">
        <v>3</v>
      </c>
      <c r="F75">
        <v>0</v>
      </c>
      <c r="G75">
        <v>0</v>
      </c>
      <c r="H75">
        <v>0.5</v>
      </c>
      <c r="I75">
        <v>0</v>
      </c>
      <c r="J75">
        <v>30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f t="shared" si="9"/>
        <v>642.4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1</v>
      </c>
      <c r="AQ75">
        <v>0</v>
      </c>
      <c r="AR75">
        <v>0</v>
      </c>
      <c r="AS75">
        <v>0</v>
      </c>
      <c r="AT75">
        <f t="shared" si="8"/>
        <v>-1.54</v>
      </c>
      <c r="AU75">
        <f t="shared" si="6"/>
        <v>10</v>
      </c>
      <c r="AV75">
        <f t="shared" si="7"/>
        <v>642.4</v>
      </c>
      <c r="AW75">
        <v>92</v>
      </c>
      <c r="AX75">
        <v>1299</v>
      </c>
      <c r="AY75">
        <v>1420</v>
      </c>
      <c r="BA75">
        <v>439</v>
      </c>
      <c r="BB75" t="s">
        <v>462</v>
      </c>
      <c r="BC75" t="s">
        <v>563</v>
      </c>
    </row>
    <row r="76" spans="1:55" x14ac:dyDescent="0.45">
      <c r="A76">
        <v>75</v>
      </c>
      <c r="C76">
        <v>61</v>
      </c>
      <c r="D76">
        <v>5</v>
      </c>
      <c r="E76">
        <v>3</v>
      </c>
      <c r="F76">
        <v>0</v>
      </c>
      <c r="G76">
        <v>0</v>
      </c>
      <c r="H76">
        <v>1</v>
      </c>
      <c r="I76">
        <v>0</v>
      </c>
      <c r="J76">
        <v>30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f t="shared" si="9"/>
        <v>634.70000000000005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1</v>
      </c>
      <c r="AQ76">
        <v>0</v>
      </c>
      <c r="AR76">
        <v>0</v>
      </c>
      <c r="AS76">
        <v>0</v>
      </c>
      <c r="AT76">
        <f t="shared" si="8"/>
        <v>-8.9999999999999858E-2</v>
      </c>
      <c r="AU76">
        <f t="shared" si="6"/>
        <v>10</v>
      </c>
      <c r="AV76">
        <f t="shared" si="7"/>
        <v>634.70000000000005</v>
      </c>
      <c r="AW76">
        <v>100</v>
      </c>
      <c r="AX76">
        <v>1421</v>
      </c>
      <c r="AY76">
        <v>1533</v>
      </c>
      <c r="BA76">
        <v>475</v>
      </c>
      <c r="BB76" t="s">
        <v>462</v>
      </c>
      <c r="BC76" t="s">
        <v>563</v>
      </c>
    </row>
    <row r="77" spans="1:55" x14ac:dyDescent="0.45">
      <c r="A77">
        <v>76</v>
      </c>
      <c r="C77">
        <v>60.5</v>
      </c>
      <c r="D77">
        <v>5</v>
      </c>
      <c r="E77">
        <v>3</v>
      </c>
      <c r="F77">
        <v>0</v>
      </c>
      <c r="G77">
        <v>0</v>
      </c>
      <c r="H77">
        <v>1.5</v>
      </c>
      <c r="I77">
        <v>0</v>
      </c>
      <c r="J77">
        <v>30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f t="shared" si="9"/>
        <v>627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f t="shared" si="8"/>
        <v>1.3599999999999994</v>
      </c>
      <c r="AU77">
        <f t="shared" si="6"/>
        <v>10</v>
      </c>
      <c r="AV77">
        <f t="shared" si="7"/>
        <v>627</v>
      </c>
      <c r="AW77">
        <v>96</v>
      </c>
      <c r="AX77">
        <v>1553</v>
      </c>
      <c r="AY77">
        <v>1667</v>
      </c>
      <c r="BA77">
        <v>488</v>
      </c>
      <c r="BB77" t="s">
        <v>462</v>
      </c>
      <c r="BC77" t="s">
        <v>563</v>
      </c>
    </row>
    <row r="78" spans="1:55" x14ac:dyDescent="0.45">
      <c r="A78">
        <v>77</v>
      </c>
      <c r="C78">
        <v>60</v>
      </c>
      <c r="D78">
        <v>5</v>
      </c>
      <c r="E78">
        <v>3</v>
      </c>
      <c r="F78">
        <v>0</v>
      </c>
      <c r="G78">
        <v>0</v>
      </c>
      <c r="H78">
        <v>2</v>
      </c>
      <c r="I78">
        <v>0</v>
      </c>
      <c r="J78">
        <v>30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f t="shared" si="9"/>
        <v>619.30000000000007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1</v>
      </c>
      <c r="AQ78">
        <v>0</v>
      </c>
      <c r="AR78">
        <v>0</v>
      </c>
      <c r="AS78">
        <v>0</v>
      </c>
      <c r="AT78">
        <f t="shared" si="8"/>
        <v>2.8100000000000005</v>
      </c>
      <c r="AU78">
        <f t="shared" si="6"/>
        <v>10</v>
      </c>
      <c r="AV78">
        <f t="shared" si="7"/>
        <v>619.30000000000007</v>
      </c>
      <c r="AW78">
        <v>103</v>
      </c>
      <c r="AX78">
        <v>1399</v>
      </c>
      <c r="AY78">
        <v>1538</v>
      </c>
      <c r="BA78">
        <v>484</v>
      </c>
      <c r="BB78" t="s">
        <v>462</v>
      </c>
      <c r="BC78" t="s">
        <v>563</v>
      </c>
    </row>
    <row r="79" spans="1:55" x14ac:dyDescent="0.45">
      <c r="A79">
        <v>78</v>
      </c>
      <c r="C79">
        <v>59.5</v>
      </c>
      <c r="D79">
        <v>5</v>
      </c>
      <c r="E79">
        <v>3</v>
      </c>
      <c r="F79">
        <v>0</v>
      </c>
      <c r="G79">
        <v>0</v>
      </c>
      <c r="H79">
        <v>2.5</v>
      </c>
      <c r="I79">
        <v>0</v>
      </c>
      <c r="J79">
        <v>30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f t="shared" si="9"/>
        <v>611.6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f t="shared" si="8"/>
        <v>4.26</v>
      </c>
      <c r="AU79">
        <f t="shared" si="6"/>
        <v>10</v>
      </c>
      <c r="AV79">
        <f t="shared" si="7"/>
        <v>611.6</v>
      </c>
      <c r="AW79">
        <v>79</v>
      </c>
      <c r="AX79">
        <v>1068</v>
      </c>
      <c r="AY79">
        <v>1115</v>
      </c>
      <c r="BA79">
        <v>403</v>
      </c>
      <c r="BB79" t="s">
        <v>462</v>
      </c>
      <c r="BC79" t="s">
        <v>563</v>
      </c>
    </row>
    <row r="80" spans="1:55" x14ac:dyDescent="0.45">
      <c r="A80">
        <v>79</v>
      </c>
      <c r="C80">
        <v>67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</v>
      </c>
      <c r="K80">
        <v>25</v>
      </c>
      <c r="L80">
        <v>3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f t="shared" si="9"/>
        <v>841.19999999999993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f t="shared" si="8"/>
        <v>10</v>
      </c>
      <c r="AU80">
        <f t="shared" si="6"/>
        <v>1.1666666666666665</v>
      </c>
      <c r="AV80">
        <f t="shared" si="7"/>
        <v>841.19999999999993</v>
      </c>
      <c r="AW80">
        <v>83</v>
      </c>
      <c r="AX80">
        <v>499.1</v>
      </c>
      <c r="AY80">
        <v>708.5</v>
      </c>
      <c r="BB80" t="s">
        <v>463</v>
      </c>
      <c r="BC80" t="s">
        <v>564</v>
      </c>
    </row>
    <row r="81" spans="1:55" x14ac:dyDescent="0.45">
      <c r="A81">
        <v>80</v>
      </c>
      <c r="C81">
        <v>95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f t="shared" si="9"/>
        <v>882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f t="shared" si="8"/>
        <v>0</v>
      </c>
      <c r="AU81">
        <f t="shared" si="6"/>
        <v>0</v>
      </c>
      <c r="AV81">
        <f t="shared" si="7"/>
        <v>882</v>
      </c>
      <c r="AW81">
        <v>115</v>
      </c>
      <c r="AX81">
        <v>369</v>
      </c>
      <c r="AY81">
        <v>455</v>
      </c>
      <c r="BB81" t="s">
        <v>464</v>
      </c>
      <c r="BC81" t="s">
        <v>565</v>
      </c>
    </row>
    <row r="82" spans="1:55" x14ac:dyDescent="0.45">
      <c r="A82">
        <v>81</v>
      </c>
      <c r="C82">
        <v>90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f t="shared" si="9"/>
        <v>882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f t="shared" si="8"/>
        <v>0</v>
      </c>
      <c r="AU82">
        <f t="shared" si="6"/>
        <v>0</v>
      </c>
      <c r="AV82">
        <f t="shared" si="7"/>
        <v>882</v>
      </c>
      <c r="AW82">
        <v>114</v>
      </c>
      <c r="AX82">
        <v>406</v>
      </c>
      <c r="AY82">
        <v>482</v>
      </c>
      <c r="BB82" t="s">
        <v>464</v>
      </c>
      <c r="BC82" t="s">
        <v>565</v>
      </c>
    </row>
    <row r="83" spans="1:55" x14ac:dyDescent="0.45">
      <c r="A83">
        <v>82</v>
      </c>
      <c r="C83">
        <v>85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f t="shared" si="9"/>
        <v>882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f t="shared" si="8"/>
        <v>0</v>
      </c>
      <c r="AU83">
        <f t="shared" si="6"/>
        <v>0</v>
      </c>
      <c r="AV83">
        <f t="shared" si="7"/>
        <v>882</v>
      </c>
      <c r="AW83">
        <v>113</v>
      </c>
      <c r="AX83">
        <v>439</v>
      </c>
      <c r="AY83">
        <v>546</v>
      </c>
      <c r="BB83" t="s">
        <v>464</v>
      </c>
      <c r="BC83" t="s">
        <v>565</v>
      </c>
    </row>
    <row r="84" spans="1:55" x14ac:dyDescent="0.45">
      <c r="A84">
        <v>83</v>
      </c>
      <c r="C84">
        <v>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f t="shared" si="9"/>
        <v>882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f t="shared" si="8"/>
        <v>0</v>
      </c>
      <c r="AU84">
        <f t="shared" si="6"/>
        <v>0</v>
      </c>
      <c r="AV84">
        <f t="shared" si="7"/>
        <v>882</v>
      </c>
      <c r="AW84">
        <v>112</v>
      </c>
      <c r="AX84">
        <v>530</v>
      </c>
      <c r="AY84">
        <v>634</v>
      </c>
      <c r="BB84" t="s">
        <v>464</v>
      </c>
      <c r="BC84" t="s">
        <v>565</v>
      </c>
    </row>
    <row r="85" spans="1:55" x14ac:dyDescent="0.45">
      <c r="A85">
        <v>84</v>
      </c>
      <c r="C85">
        <v>70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f t="shared" si="9"/>
        <v>882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f t="shared" si="8"/>
        <v>0</v>
      </c>
      <c r="AU85">
        <f t="shared" si="6"/>
        <v>0</v>
      </c>
      <c r="AV85">
        <f t="shared" si="7"/>
        <v>882</v>
      </c>
      <c r="AW85">
        <v>110</v>
      </c>
      <c r="AX85">
        <v>551</v>
      </c>
      <c r="AY85">
        <v>681</v>
      </c>
      <c r="BB85" t="s">
        <v>464</v>
      </c>
      <c r="BC85" t="s">
        <v>565</v>
      </c>
    </row>
    <row r="86" spans="1:55" x14ac:dyDescent="0.45">
      <c r="A86">
        <v>85</v>
      </c>
      <c r="C86">
        <v>60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40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f t="shared" si="9"/>
        <v>882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f t="shared" si="8"/>
        <v>0</v>
      </c>
      <c r="AU86">
        <f t="shared" si="6"/>
        <v>0</v>
      </c>
      <c r="AV86">
        <f t="shared" si="7"/>
        <v>882</v>
      </c>
      <c r="AW86">
        <v>109</v>
      </c>
      <c r="AX86">
        <v>964</v>
      </c>
      <c r="AY86">
        <v>1106</v>
      </c>
      <c r="BB86" t="s">
        <v>464</v>
      </c>
      <c r="BC86" t="s">
        <v>565</v>
      </c>
    </row>
    <row r="87" spans="1:55" x14ac:dyDescent="0.45">
      <c r="A87">
        <v>86</v>
      </c>
      <c r="C87">
        <v>50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25</v>
      </c>
      <c r="K87">
        <v>25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f t="shared" si="9"/>
        <v>709.5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f t="shared" si="8"/>
        <v>7.0000000000000009</v>
      </c>
      <c r="AU87">
        <f t="shared" si="6"/>
        <v>4.166666666666667</v>
      </c>
      <c r="AV87">
        <f t="shared" si="7"/>
        <v>709.5</v>
      </c>
      <c r="AW87">
        <v>70</v>
      </c>
      <c r="AX87">
        <v>480</v>
      </c>
      <c r="AY87">
        <v>552</v>
      </c>
      <c r="BA87">
        <v>220</v>
      </c>
      <c r="BB87" t="s">
        <v>465</v>
      </c>
      <c r="BC87" t="s">
        <v>566</v>
      </c>
    </row>
    <row r="88" spans="1:55" x14ac:dyDescent="0.45">
      <c r="A88">
        <v>87</v>
      </c>
      <c r="C88">
        <v>92</v>
      </c>
      <c r="D88">
        <v>0</v>
      </c>
      <c r="E88">
        <v>0</v>
      </c>
      <c r="F88">
        <v>0</v>
      </c>
      <c r="G88">
        <v>0</v>
      </c>
      <c r="H88">
        <v>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f t="shared" si="8"/>
        <v>23.2</v>
      </c>
      <c r="AU88">
        <f t="shared" si="6"/>
        <v>0</v>
      </c>
      <c r="AV88">
        <f t="shared" si="7"/>
        <v>758.8</v>
      </c>
      <c r="AW88">
        <v>129</v>
      </c>
      <c r="AX88">
        <v>1560</v>
      </c>
      <c r="BA88">
        <v>468</v>
      </c>
      <c r="BB88" t="s">
        <v>466</v>
      </c>
      <c r="BC88" t="s">
        <v>567</v>
      </c>
    </row>
    <row r="89" spans="1:55" x14ac:dyDescent="0.45">
      <c r="A89">
        <v>88</v>
      </c>
      <c r="C89">
        <v>87</v>
      </c>
      <c r="D89">
        <v>0</v>
      </c>
      <c r="E89">
        <v>0</v>
      </c>
      <c r="F89">
        <v>0</v>
      </c>
      <c r="G89">
        <v>0</v>
      </c>
      <c r="H89">
        <v>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f t="shared" si="8"/>
        <v>24.3</v>
      </c>
      <c r="AU89">
        <f t="shared" si="6"/>
        <v>0</v>
      </c>
      <c r="AV89">
        <f t="shared" si="7"/>
        <v>758.8</v>
      </c>
      <c r="AW89">
        <v>120</v>
      </c>
      <c r="AX89">
        <v>1103</v>
      </c>
      <c r="BA89">
        <v>389</v>
      </c>
      <c r="BB89" t="s">
        <v>466</v>
      </c>
      <c r="BC89" t="s">
        <v>567</v>
      </c>
    </row>
    <row r="90" spans="1:55" x14ac:dyDescent="0.45">
      <c r="A90">
        <v>89</v>
      </c>
      <c r="C90">
        <v>84</v>
      </c>
      <c r="D90">
        <v>0</v>
      </c>
      <c r="E90">
        <v>0</v>
      </c>
      <c r="F90">
        <v>0</v>
      </c>
      <c r="G90">
        <v>0</v>
      </c>
      <c r="H90">
        <v>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0</v>
      </c>
      <c r="AT90">
        <f t="shared" si="8"/>
        <v>24.96</v>
      </c>
      <c r="AU90">
        <f t="shared" si="6"/>
        <v>0</v>
      </c>
      <c r="AV90">
        <f t="shared" si="7"/>
        <v>758.8</v>
      </c>
      <c r="AW90">
        <v>106</v>
      </c>
      <c r="AX90">
        <v>1050</v>
      </c>
      <c r="BA90">
        <v>379</v>
      </c>
      <c r="BB90" t="s">
        <v>466</v>
      </c>
      <c r="BC90" t="s">
        <v>567</v>
      </c>
    </row>
    <row r="91" spans="1:55" x14ac:dyDescent="0.45">
      <c r="A91">
        <v>90</v>
      </c>
      <c r="C91">
        <v>89</v>
      </c>
      <c r="D91">
        <v>0</v>
      </c>
      <c r="E91">
        <v>0</v>
      </c>
      <c r="F91">
        <v>0</v>
      </c>
      <c r="G91">
        <v>0</v>
      </c>
      <c r="H91">
        <v>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1</v>
      </c>
      <c r="AP91">
        <v>0</v>
      </c>
      <c r="AQ91">
        <v>1</v>
      </c>
      <c r="AR91">
        <v>0</v>
      </c>
      <c r="AS91">
        <v>0</v>
      </c>
      <c r="AT91">
        <f t="shared" si="8"/>
        <v>26.54</v>
      </c>
      <c r="AU91">
        <f t="shared" si="6"/>
        <v>0</v>
      </c>
      <c r="AV91">
        <f t="shared" si="7"/>
        <v>743.4</v>
      </c>
      <c r="AW91">
        <v>110</v>
      </c>
      <c r="AX91">
        <v>1143</v>
      </c>
      <c r="BA91">
        <v>390</v>
      </c>
      <c r="BB91" t="s">
        <v>466</v>
      </c>
      <c r="BC91" t="s">
        <v>567</v>
      </c>
    </row>
    <row r="92" spans="1:55" x14ac:dyDescent="0.45">
      <c r="A92">
        <v>91</v>
      </c>
      <c r="C92">
        <v>86</v>
      </c>
      <c r="D92">
        <v>0</v>
      </c>
      <c r="E92">
        <v>0</v>
      </c>
      <c r="F92">
        <v>0</v>
      </c>
      <c r="G92">
        <v>0</v>
      </c>
      <c r="H92">
        <v>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f t="shared" si="8"/>
        <v>27.2</v>
      </c>
      <c r="AU92">
        <f t="shared" si="6"/>
        <v>0</v>
      </c>
      <c r="AV92">
        <f t="shared" si="7"/>
        <v>743.4</v>
      </c>
      <c r="AW92">
        <v>103</v>
      </c>
      <c r="AX92">
        <v>1079</v>
      </c>
      <c r="BA92">
        <v>370</v>
      </c>
      <c r="BB92" t="s">
        <v>466</v>
      </c>
      <c r="BC92" t="s">
        <v>567</v>
      </c>
    </row>
    <row r="93" spans="1:55" x14ac:dyDescent="0.45">
      <c r="A93">
        <v>92</v>
      </c>
      <c r="C93">
        <v>82</v>
      </c>
      <c r="D93">
        <v>0</v>
      </c>
      <c r="E93">
        <v>0</v>
      </c>
      <c r="F93">
        <v>0</v>
      </c>
      <c r="G93">
        <v>0</v>
      </c>
      <c r="H93">
        <v>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1</v>
      </c>
      <c r="AP93">
        <v>0</v>
      </c>
      <c r="AQ93">
        <v>1</v>
      </c>
      <c r="AR93">
        <v>0</v>
      </c>
      <c r="AS93">
        <v>0</v>
      </c>
      <c r="AT93">
        <f t="shared" si="8"/>
        <v>28.08</v>
      </c>
      <c r="AU93">
        <f t="shared" si="6"/>
        <v>0</v>
      </c>
      <c r="AV93">
        <f t="shared" si="7"/>
        <v>743.4</v>
      </c>
      <c r="AW93">
        <v>99</v>
      </c>
      <c r="AX93">
        <v>1016</v>
      </c>
      <c r="BA93">
        <v>351</v>
      </c>
      <c r="BB93" t="s">
        <v>466</v>
      </c>
      <c r="BC93" t="s">
        <v>567</v>
      </c>
    </row>
    <row r="94" spans="1:55" x14ac:dyDescent="0.45">
      <c r="A94">
        <v>93</v>
      </c>
      <c r="C94">
        <v>80</v>
      </c>
      <c r="D94">
        <v>0</v>
      </c>
      <c r="E94">
        <v>0</v>
      </c>
      <c r="F94">
        <v>0</v>
      </c>
      <c r="G94">
        <v>0</v>
      </c>
      <c r="H94">
        <v>10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0</v>
      </c>
      <c r="AT94">
        <f t="shared" si="8"/>
        <v>31.2</v>
      </c>
      <c r="AU94">
        <f t="shared" si="6"/>
        <v>0</v>
      </c>
      <c r="AV94">
        <f t="shared" si="7"/>
        <v>728</v>
      </c>
      <c r="AW94">
        <v>92</v>
      </c>
      <c r="AX94">
        <v>1008</v>
      </c>
      <c r="BA94">
        <v>343</v>
      </c>
      <c r="BB94" t="s">
        <v>466</v>
      </c>
      <c r="BC94" t="s">
        <v>567</v>
      </c>
    </row>
    <row r="95" spans="1:55" x14ac:dyDescent="0.45">
      <c r="A95">
        <v>94</v>
      </c>
      <c r="C95">
        <v>83</v>
      </c>
      <c r="D95">
        <v>4</v>
      </c>
      <c r="E95">
        <v>3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f t="shared" ref="AC95:AC124" si="10">(AV95)+0</f>
        <v>752.2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f t="shared" si="8"/>
        <v>9.81</v>
      </c>
      <c r="AU95">
        <f t="shared" si="6"/>
        <v>4</v>
      </c>
      <c r="AV95">
        <f t="shared" si="7"/>
        <v>752.2</v>
      </c>
      <c r="AX95">
        <v>829</v>
      </c>
      <c r="AY95">
        <v>884</v>
      </c>
      <c r="BB95" t="s">
        <v>467</v>
      </c>
      <c r="BC95" t="s">
        <v>568</v>
      </c>
    </row>
    <row r="96" spans="1:55" x14ac:dyDescent="0.45">
      <c r="A96">
        <v>95</v>
      </c>
      <c r="C96">
        <v>82</v>
      </c>
      <c r="D96">
        <v>5</v>
      </c>
      <c r="E96">
        <v>5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f t="shared" si="10"/>
        <v>749.7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f t="shared" si="8"/>
        <v>8.15</v>
      </c>
      <c r="AU96">
        <f t="shared" si="6"/>
        <v>5</v>
      </c>
      <c r="AV96">
        <f t="shared" si="7"/>
        <v>749.7</v>
      </c>
      <c r="AX96">
        <v>804</v>
      </c>
      <c r="AY96">
        <v>836</v>
      </c>
      <c r="BB96" t="s">
        <v>467</v>
      </c>
      <c r="BC96" t="s">
        <v>568</v>
      </c>
    </row>
    <row r="97" spans="1:55" x14ac:dyDescent="0.45">
      <c r="A97">
        <v>96</v>
      </c>
      <c r="C97">
        <v>82</v>
      </c>
      <c r="D97">
        <v>3</v>
      </c>
      <c r="E97">
        <v>7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f t="shared" si="10"/>
        <v>721.9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1</v>
      </c>
      <c r="AP97">
        <v>0</v>
      </c>
      <c r="AQ97">
        <v>0</v>
      </c>
      <c r="AR97">
        <v>1</v>
      </c>
      <c r="AS97">
        <v>0</v>
      </c>
      <c r="AT97">
        <f t="shared" si="8"/>
        <v>11.490000000000002</v>
      </c>
      <c r="AU97">
        <f t="shared" si="6"/>
        <v>3</v>
      </c>
      <c r="AV97">
        <f t="shared" si="7"/>
        <v>721.9</v>
      </c>
      <c r="AX97">
        <v>750</v>
      </c>
      <c r="AY97">
        <v>1100</v>
      </c>
      <c r="BB97" t="s">
        <v>468</v>
      </c>
      <c r="BC97" t="s">
        <v>569</v>
      </c>
    </row>
    <row r="98" spans="1:55" x14ac:dyDescent="0.45">
      <c r="A98">
        <v>97</v>
      </c>
      <c r="C98">
        <v>47.5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47.5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f t="shared" si="10"/>
        <v>564.75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f t="shared" si="8"/>
        <v>-5</v>
      </c>
      <c r="AU98">
        <f t="shared" si="6"/>
        <v>12.916666666666668</v>
      </c>
      <c r="AV98">
        <f t="shared" si="7"/>
        <v>564.75</v>
      </c>
      <c r="AW98">
        <v>100</v>
      </c>
      <c r="AX98">
        <v>1710</v>
      </c>
      <c r="AY98">
        <v>1665</v>
      </c>
      <c r="BB98" t="s">
        <v>469</v>
      </c>
      <c r="BC98" t="s">
        <v>570</v>
      </c>
    </row>
    <row r="99" spans="1:55" x14ac:dyDescent="0.45">
      <c r="A99">
        <v>98</v>
      </c>
      <c r="C99">
        <v>47</v>
      </c>
      <c r="D99">
        <v>5</v>
      </c>
      <c r="E99">
        <v>1</v>
      </c>
      <c r="F99">
        <v>0</v>
      </c>
      <c r="G99">
        <v>0</v>
      </c>
      <c r="H99">
        <v>0</v>
      </c>
      <c r="I99">
        <v>0</v>
      </c>
      <c r="J99">
        <v>47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f t="shared" si="10"/>
        <v>556.40000000000009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0</v>
      </c>
      <c r="AS99">
        <v>0</v>
      </c>
      <c r="AT99">
        <f t="shared" si="8"/>
        <v>-4.33</v>
      </c>
      <c r="AU99">
        <f t="shared" si="6"/>
        <v>12.833333333333332</v>
      </c>
      <c r="AV99">
        <f t="shared" si="7"/>
        <v>556.40000000000009</v>
      </c>
      <c r="AW99">
        <v>72</v>
      </c>
      <c r="AX99">
        <v>740</v>
      </c>
      <c r="AY99">
        <v>1255</v>
      </c>
      <c r="BB99" t="s">
        <v>469</v>
      </c>
      <c r="BC99" t="s">
        <v>570</v>
      </c>
    </row>
    <row r="100" spans="1:55" x14ac:dyDescent="0.45">
      <c r="A100">
        <v>99</v>
      </c>
      <c r="C100">
        <v>46</v>
      </c>
      <c r="D100">
        <v>5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f t="shared" si="10"/>
        <v>539.69999999999993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f t="shared" si="8"/>
        <v>-2.9899999999999998</v>
      </c>
      <c r="AU100">
        <f t="shared" si="6"/>
        <v>12.666666666666668</v>
      </c>
      <c r="AV100">
        <f t="shared" si="7"/>
        <v>539.69999999999993</v>
      </c>
      <c r="AW100">
        <v>68</v>
      </c>
      <c r="AX100">
        <v>690</v>
      </c>
      <c r="AY100">
        <v>1355</v>
      </c>
      <c r="BB100" t="s">
        <v>469</v>
      </c>
      <c r="BC100" t="s">
        <v>570</v>
      </c>
    </row>
    <row r="101" spans="1:55" x14ac:dyDescent="0.45">
      <c r="A101">
        <v>100</v>
      </c>
      <c r="C101">
        <v>45</v>
      </c>
      <c r="D101">
        <v>5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45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f t="shared" si="10"/>
        <v>523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0</v>
      </c>
      <c r="AT101">
        <f t="shared" si="8"/>
        <v>-1.65</v>
      </c>
      <c r="AU101">
        <f t="shared" si="6"/>
        <v>12.5</v>
      </c>
      <c r="AV101">
        <f t="shared" si="7"/>
        <v>523</v>
      </c>
      <c r="AW101">
        <v>73</v>
      </c>
      <c r="AX101">
        <v>955</v>
      </c>
      <c r="AY101">
        <v>1055</v>
      </c>
      <c r="BB101" t="s">
        <v>469</v>
      </c>
      <c r="BC101" t="s">
        <v>570</v>
      </c>
    </row>
    <row r="102" spans="1:55" x14ac:dyDescent="0.45">
      <c r="A102">
        <v>101</v>
      </c>
      <c r="C102">
        <v>44</v>
      </c>
      <c r="D102">
        <v>5</v>
      </c>
      <c r="E102">
        <v>7</v>
      </c>
      <c r="F102">
        <v>0</v>
      </c>
      <c r="G102">
        <v>0</v>
      </c>
      <c r="H102">
        <v>0</v>
      </c>
      <c r="I102">
        <v>0</v>
      </c>
      <c r="J102">
        <v>44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f t="shared" si="10"/>
        <v>506.29999999999995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f t="shared" si="8"/>
        <v>-0.30999999999999961</v>
      </c>
      <c r="AU102">
        <f t="shared" si="6"/>
        <v>12.333333333333332</v>
      </c>
      <c r="AV102">
        <f t="shared" si="7"/>
        <v>506.29999999999995</v>
      </c>
      <c r="AW102">
        <v>81</v>
      </c>
      <c r="AX102">
        <v>1065</v>
      </c>
      <c r="AY102">
        <v>1185</v>
      </c>
      <c r="BB102" t="s">
        <v>469</v>
      </c>
      <c r="BC102" t="s">
        <v>570</v>
      </c>
    </row>
    <row r="103" spans="1:55" x14ac:dyDescent="0.45">
      <c r="A103">
        <v>102</v>
      </c>
      <c r="C103">
        <v>61.87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0.13</v>
      </c>
      <c r="U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f t="shared" si="10"/>
        <v>897.99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1</v>
      </c>
      <c r="AP103">
        <v>0</v>
      </c>
      <c r="AQ103">
        <v>1</v>
      </c>
      <c r="AR103">
        <v>0</v>
      </c>
      <c r="AS103">
        <v>0</v>
      </c>
      <c r="AT103">
        <f t="shared" si="8"/>
        <v>10.64</v>
      </c>
      <c r="AU103">
        <f t="shared" si="6"/>
        <v>1.3000000000000001E-2</v>
      </c>
      <c r="AV103">
        <f t="shared" si="7"/>
        <v>897.99</v>
      </c>
      <c r="AW103">
        <v>56</v>
      </c>
      <c r="AX103">
        <v>203</v>
      </c>
      <c r="AY103">
        <v>481</v>
      </c>
      <c r="BB103" t="s">
        <v>470</v>
      </c>
      <c r="BC103" t="s">
        <v>571</v>
      </c>
    </row>
    <row r="104" spans="1:55" x14ac:dyDescent="0.45">
      <c r="A104">
        <v>103</v>
      </c>
      <c r="C104">
        <v>61.76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0.24</v>
      </c>
      <c r="U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f t="shared" si="10"/>
        <v>911.52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f t="shared" si="8"/>
        <v>10.64</v>
      </c>
      <c r="AU104">
        <f t="shared" si="6"/>
        <v>2.4E-2</v>
      </c>
      <c r="AV104">
        <f t="shared" si="7"/>
        <v>911.52</v>
      </c>
      <c r="AW104">
        <v>58</v>
      </c>
      <c r="AX104">
        <v>301</v>
      </c>
      <c r="AY104">
        <v>578</v>
      </c>
      <c r="BB104" t="s">
        <v>470</v>
      </c>
      <c r="BC104" t="s">
        <v>571</v>
      </c>
    </row>
    <row r="105" spans="1:55" x14ac:dyDescent="0.45">
      <c r="A105">
        <v>104</v>
      </c>
      <c r="C105">
        <v>61.54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0.46</v>
      </c>
      <c r="U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f t="shared" si="10"/>
        <v>938.58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f t="shared" si="8"/>
        <v>10.64</v>
      </c>
      <c r="AU105">
        <f t="shared" si="6"/>
        <v>4.5999999999999999E-2</v>
      </c>
      <c r="AV105">
        <f t="shared" si="7"/>
        <v>938.58</v>
      </c>
      <c r="AW105">
        <v>62</v>
      </c>
      <c r="AX105">
        <v>575</v>
      </c>
      <c r="AY105">
        <v>780</v>
      </c>
      <c r="BB105" t="s">
        <v>470</v>
      </c>
      <c r="BC105" t="s">
        <v>571</v>
      </c>
    </row>
    <row r="106" spans="1:55" x14ac:dyDescent="0.45">
      <c r="A106">
        <v>105</v>
      </c>
      <c r="C106">
        <v>83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0</v>
      </c>
      <c r="L106">
        <v>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f t="shared" si="10"/>
        <v>733.5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f t="shared" si="8"/>
        <v>12</v>
      </c>
      <c r="AU106">
        <f t="shared" si="6"/>
        <v>0.83333333333333337</v>
      </c>
      <c r="AV106">
        <f t="shared" si="7"/>
        <v>733.5</v>
      </c>
      <c r="AW106">
        <v>64.5</v>
      </c>
      <c r="AX106">
        <v>509</v>
      </c>
      <c r="AY106">
        <v>628</v>
      </c>
      <c r="BA106">
        <v>442</v>
      </c>
      <c r="BB106" t="s">
        <v>471</v>
      </c>
      <c r="BC106" t="s">
        <v>572</v>
      </c>
    </row>
    <row r="107" spans="1:55" x14ac:dyDescent="0.45">
      <c r="A107">
        <v>106</v>
      </c>
      <c r="C107">
        <v>50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25</v>
      </c>
      <c r="L107">
        <v>0</v>
      </c>
      <c r="M107">
        <v>0</v>
      </c>
      <c r="N107">
        <v>0</v>
      </c>
      <c r="O107">
        <v>25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f t="shared" si="10"/>
        <v>882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f t="shared" si="8"/>
        <v>12.5</v>
      </c>
      <c r="AU107">
        <f t="shared" si="6"/>
        <v>0</v>
      </c>
      <c r="AV107">
        <f t="shared" si="7"/>
        <v>882</v>
      </c>
      <c r="AW107">
        <v>55</v>
      </c>
      <c r="AX107">
        <v>200</v>
      </c>
      <c r="AY107">
        <v>530</v>
      </c>
      <c r="BA107">
        <v>145</v>
      </c>
      <c r="BB107" t="s">
        <v>472</v>
      </c>
      <c r="BC107" t="s">
        <v>573</v>
      </c>
    </row>
    <row r="108" spans="1:55" x14ac:dyDescent="0.45">
      <c r="A108">
        <v>107</v>
      </c>
      <c r="C108">
        <v>100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f t="shared" si="10"/>
        <v>882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f t="shared" si="8"/>
        <v>0</v>
      </c>
      <c r="AU108">
        <f t="shared" si="6"/>
        <v>0</v>
      </c>
      <c r="AV108">
        <f t="shared" si="7"/>
        <v>882</v>
      </c>
      <c r="AW108">
        <v>105</v>
      </c>
      <c r="AX108">
        <v>200</v>
      </c>
      <c r="AY108">
        <v>360</v>
      </c>
      <c r="BA108">
        <v>134</v>
      </c>
      <c r="BB108" t="s">
        <v>472</v>
      </c>
      <c r="BC108" t="s">
        <v>573</v>
      </c>
    </row>
    <row r="109" spans="1:55" x14ac:dyDescent="0.45">
      <c r="A109">
        <v>108</v>
      </c>
      <c r="C109">
        <v>84.85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0.15</v>
      </c>
      <c r="U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f t="shared" si="10"/>
        <v>900.45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f t="shared" si="8"/>
        <v>4.2</v>
      </c>
      <c r="AU109">
        <f t="shared" si="6"/>
        <v>1.4999999999999999E-2</v>
      </c>
      <c r="AV109">
        <f t="shared" si="7"/>
        <v>900.45</v>
      </c>
      <c r="AW109">
        <v>96</v>
      </c>
      <c r="AX109">
        <v>558</v>
      </c>
      <c r="BA109">
        <v>211</v>
      </c>
      <c r="BB109" t="s">
        <v>473</v>
      </c>
      <c r="BC109" t="s">
        <v>574</v>
      </c>
    </row>
    <row r="110" spans="1:55" x14ac:dyDescent="0.45">
      <c r="A110">
        <v>109</v>
      </c>
      <c r="C110">
        <v>84.75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</v>
      </c>
      <c r="U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f t="shared" si="10"/>
        <v>912.75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f t="shared" si="8"/>
        <v>4.2</v>
      </c>
      <c r="AU110">
        <f t="shared" si="6"/>
        <v>2.5000000000000001E-2</v>
      </c>
      <c r="AV110">
        <f t="shared" si="7"/>
        <v>912.75</v>
      </c>
      <c r="AW110">
        <v>103</v>
      </c>
      <c r="AX110">
        <v>744</v>
      </c>
      <c r="BA110">
        <v>245</v>
      </c>
      <c r="BB110" t="s">
        <v>473</v>
      </c>
      <c r="BC110" t="s">
        <v>574</v>
      </c>
    </row>
    <row r="111" spans="1:55" x14ac:dyDescent="0.45">
      <c r="A111">
        <v>110</v>
      </c>
      <c r="C111">
        <v>84.6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0.4</v>
      </c>
      <c r="U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f t="shared" si="10"/>
        <v>931.2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f t="shared" si="8"/>
        <v>4.2</v>
      </c>
      <c r="AU111">
        <f t="shared" si="6"/>
        <v>0.04</v>
      </c>
      <c r="AV111">
        <f t="shared" si="7"/>
        <v>931.2</v>
      </c>
      <c r="AW111">
        <v>102</v>
      </c>
      <c r="AX111">
        <v>962</v>
      </c>
      <c r="BA111">
        <v>265</v>
      </c>
      <c r="BB111" t="s">
        <v>473</v>
      </c>
      <c r="BC111" t="s">
        <v>574</v>
      </c>
    </row>
    <row r="112" spans="1:55" x14ac:dyDescent="0.45">
      <c r="A112">
        <v>111</v>
      </c>
      <c r="C112">
        <v>82.35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17.5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0.15</v>
      </c>
      <c r="U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f t="shared" si="10"/>
        <v>900.45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f t="shared" si="8"/>
        <v>4.9000000000000004</v>
      </c>
      <c r="AU112">
        <f t="shared" si="6"/>
        <v>1.4999999999999999E-2</v>
      </c>
      <c r="AV112">
        <f t="shared" si="7"/>
        <v>900.45</v>
      </c>
      <c r="AW112">
        <v>89</v>
      </c>
      <c r="AX112">
        <v>628</v>
      </c>
      <c r="BA112">
        <v>220</v>
      </c>
      <c r="BB112" t="s">
        <v>473</v>
      </c>
      <c r="BC112" t="s">
        <v>574</v>
      </c>
    </row>
    <row r="113" spans="1:55" x14ac:dyDescent="0.45">
      <c r="A113">
        <v>112</v>
      </c>
      <c r="C113">
        <v>82.25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17.5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0.25</v>
      </c>
      <c r="U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f t="shared" si="10"/>
        <v>912.75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f t="shared" si="8"/>
        <v>4.9000000000000004</v>
      </c>
      <c r="AU113">
        <f t="shared" si="6"/>
        <v>2.5000000000000001E-2</v>
      </c>
      <c r="AV113">
        <f t="shared" si="7"/>
        <v>912.75</v>
      </c>
      <c r="AW113">
        <v>91</v>
      </c>
      <c r="AX113">
        <v>822</v>
      </c>
      <c r="BA113">
        <v>252</v>
      </c>
      <c r="BB113" t="s">
        <v>473</v>
      </c>
      <c r="BC113" t="s">
        <v>574</v>
      </c>
    </row>
    <row r="114" spans="1:55" x14ac:dyDescent="0.45">
      <c r="A114">
        <v>113</v>
      </c>
      <c r="C114">
        <v>82.1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17.5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</v>
      </c>
      <c r="U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f t="shared" si="10"/>
        <v>931.2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f t="shared" si="8"/>
        <v>4.9000000000000004</v>
      </c>
      <c r="AU114">
        <f t="shared" si="6"/>
        <v>0.04</v>
      </c>
      <c r="AV114">
        <f t="shared" si="7"/>
        <v>931.2</v>
      </c>
      <c r="AW114">
        <v>92</v>
      </c>
      <c r="AX114">
        <v>893</v>
      </c>
      <c r="BA114">
        <v>275</v>
      </c>
      <c r="BB114" t="s">
        <v>473</v>
      </c>
      <c r="BC114" t="s">
        <v>574</v>
      </c>
    </row>
    <row r="115" spans="1:55" x14ac:dyDescent="0.45">
      <c r="A115">
        <v>114</v>
      </c>
      <c r="C115">
        <v>79.849999999999994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0.15</v>
      </c>
      <c r="U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f t="shared" si="10"/>
        <v>900.45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f t="shared" si="8"/>
        <v>5.6000000000000005</v>
      </c>
      <c r="AU115">
        <f t="shared" si="6"/>
        <v>1.4999999999999999E-2</v>
      </c>
      <c r="AV115">
        <f t="shared" si="7"/>
        <v>900.45</v>
      </c>
      <c r="AW115">
        <v>89</v>
      </c>
      <c r="AX115">
        <v>655</v>
      </c>
      <c r="BA115">
        <v>239</v>
      </c>
      <c r="BB115" t="s">
        <v>473</v>
      </c>
      <c r="BC115" t="s">
        <v>574</v>
      </c>
    </row>
    <row r="116" spans="1:55" x14ac:dyDescent="0.45">
      <c r="A116">
        <v>115</v>
      </c>
      <c r="C116">
        <v>79.75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0.25</v>
      </c>
      <c r="U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f t="shared" si="10"/>
        <v>912.75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f t="shared" si="8"/>
        <v>5.6000000000000005</v>
      </c>
      <c r="AU116">
        <f t="shared" si="6"/>
        <v>2.5000000000000001E-2</v>
      </c>
      <c r="AV116">
        <f t="shared" si="7"/>
        <v>912.75</v>
      </c>
      <c r="AW116">
        <v>87</v>
      </c>
      <c r="AX116">
        <v>818</v>
      </c>
      <c r="BA116">
        <v>273</v>
      </c>
      <c r="BB116" t="s">
        <v>473</v>
      </c>
      <c r="BC116" t="s">
        <v>574</v>
      </c>
    </row>
    <row r="117" spans="1:55" x14ac:dyDescent="0.45">
      <c r="A117">
        <v>116</v>
      </c>
      <c r="C117">
        <v>79.599999999999994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</v>
      </c>
      <c r="U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f t="shared" si="10"/>
        <v>931.2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f t="shared" si="8"/>
        <v>5.6000000000000005</v>
      </c>
      <c r="AU117">
        <f t="shared" si="6"/>
        <v>0.04</v>
      </c>
      <c r="AV117">
        <f t="shared" si="7"/>
        <v>931.2</v>
      </c>
      <c r="AW117">
        <v>94</v>
      </c>
      <c r="AX117">
        <v>906</v>
      </c>
      <c r="BA117">
        <v>291</v>
      </c>
      <c r="BB117" t="s">
        <v>473</v>
      </c>
      <c r="BC117" t="s">
        <v>574</v>
      </c>
    </row>
    <row r="118" spans="1:55" x14ac:dyDescent="0.45">
      <c r="A118">
        <v>117</v>
      </c>
      <c r="C118">
        <v>77.349999999999994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22.5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0.15</v>
      </c>
      <c r="U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f t="shared" si="10"/>
        <v>900.45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f t="shared" si="8"/>
        <v>6.3000000000000007</v>
      </c>
      <c r="AU118">
        <f t="shared" si="6"/>
        <v>1.4999999999999999E-2</v>
      </c>
      <c r="AV118">
        <f t="shared" si="7"/>
        <v>900.45</v>
      </c>
      <c r="AW118">
        <v>89</v>
      </c>
      <c r="AX118">
        <v>734</v>
      </c>
      <c r="BA118">
        <v>262</v>
      </c>
      <c r="BB118" t="s">
        <v>473</v>
      </c>
      <c r="BC118" t="s">
        <v>574</v>
      </c>
    </row>
    <row r="119" spans="1:55" x14ac:dyDescent="0.45">
      <c r="A119">
        <v>118</v>
      </c>
      <c r="C119">
        <v>77.25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22.5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0.25</v>
      </c>
      <c r="U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f t="shared" si="10"/>
        <v>912.75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f t="shared" si="8"/>
        <v>6.3000000000000007</v>
      </c>
      <c r="AU119">
        <f t="shared" si="6"/>
        <v>2.5000000000000001E-2</v>
      </c>
      <c r="AV119">
        <f t="shared" si="7"/>
        <v>912.75</v>
      </c>
      <c r="AW119">
        <v>99</v>
      </c>
      <c r="AX119">
        <v>854</v>
      </c>
      <c r="BA119">
        <v>290</v>
      </c>
      <c r="BB119" t="s">
        <v>473</v>
      </c>
      <c r="BC119" t="s">
        <v>574</v>
      </c>
    </row>
    <row r="120" spans="1:55" x14ac:dyDescent="0.45">
      <c r="A120">
        <v>119</v>
      </c>
      <c r="C120">
        <v>77.099999999999994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22.5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</v>
      </c>
      <c r="U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f t="shared" si="10"/>
        <v>931.2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f t="shared" si="8"/>
        <v>6.3000000000000007</v>
      </c>
      <c r="AU120">
        <f t="shared" si="6"/>
        <v>0.04</v>
      </c>
      <c r="AV120">
        <f t="shared" si="7"/>
        <v>931.2</v>
      </c>
      <c r="AW120">
        <v>100</v>
      </c>
      <c r="AX120">
        <v>930</v>
      </c>
      <c r="BA120">
        <v>303</v>
      </c>
      <c r="BB120" t="s">
        <v>473</v>
      </c>
      <c r="BC120" t="s">
        <v>574</v>
      </c>
    </row>
    <row r="121" spans="1:55" x14ac:dyDescent="0.45">
      <c r="A121">
        <v>120</v>
      </c>
      <c r="C121">
        <v>99.801699999999997</v>
      </c>
      <c r="D121">
        <v>0</v>
      </c>
      <c r="E121">
        <v>0</v>
      </c>
      <c r="F121">
        <v>0</v>
      </c>
      <c r="G121">
        <v>0</v>
      </c>
      <c r="H121">
        <v>0.1983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f t="shared" si="10"/>
        <v>878.94618000000003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f t="shared" si="8"/>
        <v>0.57506999999999997</v>
      </c>
      <c r="AU121">
        <f t="shared" si="6"/>
        <v>0</v>
      </c>
      <c r="AV121">
        <f t="shared" si="7"/>
        <v>878.94618000000003</v>
      </c>
      <c r="AW121">
        <v>102</v>
      </c>
      <c r="AX121">
        <v>170</v>
      </c>
      <c r="BB121" t="s">
        <v>474</v>
      </c>
      <c r="BC121" t="s">
        <v>575</v>
      </c>
    </row>
    <row r="122" spans="1:55" x14ac:dyDescent="0.45">
      <c r="A122">
        <v>121</v>
      </c>
      <c r="C122">
        <v>99.801699999999997</v>
      </c>
      <c r="D122">
        <v>0</v>
      </c>
      <c r="E122">
        <v>0</v>
      </c>
      <c r="F122">
        <v>0</v>
      </c>
      <c r="G122">
        <v>0</v>
      </c>
      <c r="H122">
        <v>0.1983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f t="shared" si="10"/>
        <v>878.94618000000003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f t="shared" si="8"/>
        <v>0.57506999999999997</v>
      </c>
      <c r="AU122">
        <f t="shared" si="6"/>
        <v>0</v>
      </c>
      <c r="AV122">
        <f t="shared" si="7"/>
        <v>878.94618000000003</v>
      </c>
      <c r="AW122">
        <v>102</v>
      </c>
      <c r="AX122">
        <v>275</v>
      </c>
      <c r="BB122" t="s">
        <v>474</v>
      </c>
      <c r="BC122" t="s">
        <v>575</v>
      </c>
    </row>
    <row r="123" spans="1:55" x14ac:dyDescent="0.45">
      <c r="A123">
        <v>122</v>
      </c>
      <c r="C123">
        <v>99.801699999999997</v>
      </c>
      <c r="D123">
        <v>0</v>
      </c>
      <c r="E123">
        <v>0</v>
      </c>
      <c r="F123">
        <v>0</v>
      </c>
      <c r="G123">
        <v>0</v>
      </c>
      <c r="H123">
        <v>0.1983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f t="shared" si="10"/>
        <v>878.94618000000003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f t="shared" si="8"/>
        <v>0.57506999999999997</v>
      </c>
      <c r="AU123">
        <f t="shared" si="6"/>
        <v>0</v>
      </c>
      <c r="AV123">
        <f t="shared" si="7"/>
        <v>878.94618000000003</v>
      </c>
      <c r="AW123">
        <v>102</v>
      </c>
      <c r="AX123">
        <v>380</v>
      </c>
      <c r="BB123" t="s">
        <v>474</v>
      </c>
      <c r="BC123" t="s">
        <v>575</v>
      </c>
    </row>
    <row r="124" spans="1:55" x14ac:dyDescent="0.45">
      <c r="A124">
        <v>123</v>
      </c>
      <c r="C124">
        <v>99.696799999999996</v>
      </c>
      <c r="D124">
        <v>0</v>
      </c>
      <c r="E124">
        <v>0</v>
      </c>
      <c r="F124">
        <v>0</v>
      </c>
      <c r="G124">
        <v>0</v>
      </c>
      <c r="H124">
        <v>0.30320000000000003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f t="shared" si="10"/>
        <v>877.33072000000004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f t="shared" si="8"/>
        <v>0.87928000000000006</v>
      </c>
      <c r="AU124">
        <f t="shared" si="6"/>
        <v>0</v>
      </c>
      <c r="AV124">
        <f t="shared" si="7"/>
        <v>877.33072000000004</v>
      </c>
      <c r="AW124">
        <v>104</v>
      </c>
      <c r="AX124">
        <v>483</v>
      </c>
      <c r="BB124" t="s">
        <v>474</v>
      </c>
      <c r="BC124" t="s">
        <v>575</v>
      </c>
    </row>
    <row r="125" spans="1:55" x14ac:dyDescent="0.45">
      <c r="A125">
        <v>124</v>
      </c>
      <c r="C125">
        <v>93</v>
      </c>
      <c r="D125">
        <v>0</v>
      </c>
      <c r="E125">
        <v>0</v>
      </c>
      <c r="F125">
        <v>0</v>
      </c>
      <c r="G125">
        <v>0</v>
      </c>
      <c r="H125">
        <v>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f t="shared" si="8"/>
        <v>20.3</v>
      </c>
      <c r="AU125">
        <f t="shared" si="6"/>
        <v>0</v>
      </c>
      <c r="AV125">
        <f t="shared" si="7"/>
        <v>774.2</v>
      </c>
      <c r="AW125">
        <v>130</v>
      </c>
      <c r="AX125">
        <v>1847</v>
      </c>
      <c r="BA125">
        <v>560</v>
      </c>
      <c r="BB125" t="s">
        <v>475</v>
      </c>
      <c r="BC125" t="s">
        <v>558</v>
      </c>
    </row>
    <row r="126" spans="1:55" x14ac:dyDescent="0.45">
      <c r="A126">
        <v>125</v>
      </c>
      <c r="C126">
        <v>92</v>
      </c>
      <c r="D126">
        <v>0</v>
      </c>
      <c r="E126">
        <v>0</v>
      </c>
      <c r="F126">
        <v>0</v>
      </c>
      <c r="G126">
        <v>0</v>
      </c>
      <c r="H126">
        <v>7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1</v>
      </c>
      <c r="AR126">
        <v>0</v>
      </c>
      <c r="AS126">
        <v>0</v>
      </c>
      <c r="AT126">
        <f t="shared" si="8"/>
        <v>20.580000000000002</v>
      </c>
      <c r="AU126">
        <f t="shared" si="6"/>
        <v>0</v>
      </c>
      <c r="AV126">
        <f t="shared" si="7"/>
        <v>774.2</v>
      </c>
      <c r="AW126">
        <v>124</v>
      </c>
      <c r="AX126">
        <v>1785</v>
      </c>
      <c r="BA126">
        <v>525</v>
      </c>
      <c r="BB126" t="s">
        <v>475</v>
      </c>
      <c r="BC126" t="s">
        <v>558</v>
      </c>
    </row>
    <row r="127" spans="1:55" x14ac:dyDescent="0.45">
      <c r="A127">
        <v>126</v>
      </c>
      <c r="C127">
        <v>89</v>
      </c>
      <c r="D127">
        <v>0</v>
      </c>
      <c r="E127">
        <v>0</v>
      </c>
      <c r="F127">
        <v>0</v>
      </c>
      <c r="G127">
        <v>0</v>
      </c>
      <c r="H127">
        <v>7</v>
      </c>
      <c r="I127">
        <v>0</v>
      </c>
      <c r="J127">
        <v>0</v>
      </c>
      <c r="K127">
        <v>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f t="shared" si="8"/>
        <v>21.42</v>
      </c>
      <c r="AU127">
        <f t="shared" si="6"/>
        <v>0</v>
      </c>
      <c r="AV127">
        <f t="shared" si="7"/>
        <v>774.2</v>
      </c>
      <c r="AW127">
        <v>115</v>
      </c>
      <c r="AX127">
        <v>1539</v>
      </c>
      <c r="BA127">
        <v>472</v>
      </c>
      <c r="BB127" t="s">
        <v>475</v>
      </c>
      <c r="BC127" t="s">
        <v>558</v>
      </c>
    </row>
    <row r="128" spans="1:55" x14ac:dyDescent="0.45">
      <c r="A128">
        <v>127</v>
      </c>
      <c r="C128">
        <v>87</v>
      </c>
      <c r="D128">
        <v>0</v>
      </c>
      <c r="E128">
        <v>0</v>
      </c>
      <c r="F128">
        <v>0</v>
      </c>
      <c r="G128">
        <v>0</v>
      </c>
      <c r="H128">
        <v>7</v>
      </c>
      <c r="I128">
        <v>0</v>
      </c>
      <c r="J128">
        <v>0</v>
      </c>
      <c r="K128">
        <v>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0</v>
      </c>
      <c r="AQ128">
        <v>1</v>
      </c>
      <c r="AR128">
        <v>0</v>
      </c>
      <c r="AS128">
        <v>0</v>
      </c>
      <c r="AT128">
        <f t="shared" si="8"/>
        <v>21.98</v>
      </c>
      <c r="AU128">
        <f t="shared" si="6"/>
        <v>0</v>
      </c>
      <c r="AV128">
        <f t="shared" si="7"/>
        <v>774.2</v>
      </c>
      <c r="AW128">
        <v>97</v>
      </c>
      <c r="AX128">
        <v>1144</v>
      </c>
      <c r="BA128">
        <v>372</v>
      </c>
      <c r="BB128" t="s">
        <v>475</v>
      </c>
      <c r="BC128" t="s">
        <v>558</v>
      </c>
    </row>
    <row r="129" spans="1:55" x14ac:dyDescent="0.45">
      <c r="A129">
        <v>128</v>
      </c>
      <c r="C129">
        <v>84</v>
      </c>
      <c r="D129">
        <v>0</v>
      </c>
      <c r="E129">
        <v>0</v>
      </c>
      <c r="F129">
        <v>0</v>
      </c>
      <c r="G129">
        <v>0</v>
      </c>
      <c r="H129">
        <v>7</v>
      </c>
      <c r="I129">
        <v>0</v>
      </c>
      <c r="J129">
        <v>0</v>
      </c>
      <c r="K129">
        <v>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0</v>
      </c>
      <c r="AQ129">
        <v>1</v>
      </c>
      <c r="AR129">
        <v>0</v>
      </c>
      <c r="AS129">
        <v>0</v>
      </c>
      <c r="AT129">
        <f t="shared" si="8"/>
        <v>22.82</v>
      </c>
      <c r="AU129">
        <f t="shared" si="6"/>
        <v>0</v>
      </c>
      <c r="AV129">
        <f t="shared" si="7"/>
        <v>774.2</v>
      </c>
      <c r="AW129">
        <v>89</v>
      </c>
      <c r="AX129">
        <v>1010</v>
      </c>
      <c r="BA129">
        <v>335</v>
      </c>
      <c r="BB129" t="s">
        <v>475</v>
      </c>
      <c r="BC129" t="s">
        <v>558</v>
      </c>
    </row>
    <row r="130" spans="1:55" x14ac:dyDescent="0.45">
      <c r="A130">
        <v>129</v>
      </c>
      <c r="C130">
        <v>82</v>
      </c>
      <c r="D130">
        <v>0</v>
      </c>
      <c r="E130">
        <v>0</v>
      </c>
      <c r="F130">
        <v>0</v>
      </c>
      <c r="G130">
        <v>0</v>
      </c>
      <c r="H130">
        <v>7</v>
      </c>
      <c r="I130">
        <v>0</v>
      </c>
      <c r="J130">
        <v>0</v>
      </c>
      <c r="K130">
        <v>11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f t="shared" si="8"/>
        <v>23.380000000000003</v>
      </c>
      <c r="AU130">
        <f t="shared" ref="AU130:AU193" si="11">D130+J130/6+M130/3+(T130+S130)/10</f>
        <v>0</v>
      </c>
      <c r="AV130">
        <f t="shared" ref="AV130:AV193" si="12">882+2.1*D130-9.5*L130+4.2*M130-6.9*J130-11.8*E130-12.1*F130-15.4*H130+23.3*Q130+123*T130</f>
        <v>774.2</v>
      </c>
      <c r="AW130">
        <v>86</v>
      </c>
      <c r="AX130">
        <v>985</v>
      </c>
      <c r="BA130">
        <v>325</v>
      </c>
      <c r="BB130" t="s">
        <v>475</v>
      </c>
      <c r="BC130" t="s">
        <v>558</v>
      </c>
    </row>
    <row r="131" spans="1:55" x14ac:dyDescent="0.45">
      <c r="A131">
        <v>130</v>
      </c>
      <c r="C131">
        <v>62</v>
      </c>
      <c r="D131">
        <v>0</v>
      </c>
      <c r="E131">
        <v>0</v>
      </c>
      <c r="F131">
        <v>2</v>
      </c>
      <c r="G131">
        <v>0</v>
      </c>
      <c r="H131">
        <v>3</v>
      </c>
      <c r="I131">
        <v>0</v>
      </c>
      <c r="J131">
        <v>33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1</v>
      </c>
      <c r="AT131">
        <f t="shared" ref="AT131:AT194" si="13">L131+0.67*E131+0.44*P131+0.28*K131+0.22*O131+2.9*H131+1.6*F131+1.7*G131-D131</f>
        <v>11.899999999999999</v>
      </c>
      <c r="AU131">
        <f t="shared" si="11"/>
        <v>5.5</v>
      </c>
      <c r="AV131">
        <f t="shared" si="12"/>
        <v>583.89999999999986</v>
      </c>
      <c r="AW131">
        <v>140</v>
      </c>
      <c r="AX131">
        <v>1049</v>
      </c>
      <c r="AY131">
        <v>1755</v>
      </c>
      <c r="BB131" t="s">
        <v>476</v>
      </c>
      <c r="BC131" t="s">
        <v>576</v>
      </c>
    </row>
    <row r="132" spans="1:55" x14ac:dyDescent="0.45">
      <c r="A132">
        <v>131</v>
      </c>
      <c r="C132">
        <v>60</v>
      </c>
      <c r="D132">
        <v>0</v>
      </c>
      <c r="E132">
        <v>0</v>
      </c>
      <c r="F132">
        <v>2</v>
      </c>
      <c r="G132">
        <v>0</v>
      </c>
      <c r="H132">
        <v>5</v>
      </c>
      <c r="I132">
        <v>0</v>
      </c>
      <c r="J132">
        <v>33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1</v>
      </c>
      <c r="AT132">
        <f t="shared" si="13"/>
        <v>17.7</v>
      </c>
      <c r="AU132">
        <f t="shared" si="11"/>
        <v>5.5</v>
      </c>
      <c r="AV132">
        <f t="shared" si="12"/>
        <v>553.09999999999991</v>
      </c>
      <c r="AW132">
        <v>145</v>
      </c>
      <c r="AX132">
        <v>1130</v>
      </c>
      <c r="AY132">
        <v>1830</v>
      </c>
      <c r="BB132" t="s">
        <v>476</v>
      </c>
      <c r="BC132" t="s">
        <v>576</v>
      </c>
    </row>
    <row r="133" spans="1:55" x14ac:dyDescent="0.45">
      <c r="A133">
        <v>132</v>
      </c>
      <c r="C133">
        <v>58</v>
      </c>
      <c r="D133">
        <v>0</v>
      </c>
      <c r="E133">
        <v>0</v>
      </c>
      <c r="F133">
        <v>2</v>
      </c>
      <c r="G133">
        <v>0</v>
      </c>
      <c r="H133">
        <v>7</v>
      </c>
      <c r="I133">
        <v>0</v>
      </c>
      <c r="J133">
        <v>33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1</v>
      </c>
      <c r="AT133">
        <f t="shared" si="13"/>
        <v>23.5</v>
      </c>
      <c r="AU133">
        <f t="shared" si="11"/>
        <v>5.5</v>
      </c>
      <c r="AV133">
        <f t="shared" si="12"/>
        <v>522.29999999999995</v>
      </c>
      <c r="AW133">
        <v>157</v>
      </c>
      <c r="AX133">
        <v>1239</v>
      </c>
      <c r="AY133">
        <v>1901</v>
      </c>
      <c r="BB133" t="s">
        <v>476</v>
      </c>
      <c r="BC133" t="s">
        <v>576</v>
      </c>
    </row>
    <row r="134" spans="1:55" x14ac:dyDescent="0.45">
      <c r="A134">
        <v>133</v>
      </c>
      <c r="C134">
        <v>60</v>
      </c>
      <c r="D134">
        <v>0</v>
      </c>
      <c r="E134">
        <v>0</v>
      </c>
      <c r="F134">
        <v>4</v>
      </c>
      <c r="G134">
        <v>0</v>
      </c>
      <c r="H134">
        <v>3</v>
      </c>
      <c r="I134">
        <v>0</v>
      </c>
      <c r="J134">
        <v>33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1</v>
      </c>
      <c r="AT134">
        <f t="shared" si="13"/>
        <v>15.1</v>
      </c>
      <c r="AU134">
        <f t="shared" si="11"/>
        <v>5.5</v>
      </c>
      <c r="AV134">
        <f t="shared" si="12"/>
        <v>559.69999999999993</v>
      </c>
      <c r="AW134">
        <v>130</v>
      </c>
      <c r="AX134">
        <v>1113</v>
      </c>
      <c r="AY134">
        <v>2008</v>
      </c>
      <c r="BB134" t="s">
        <v>476</v>
      </c>
      <c r="BC134" t="s">
        <v>576</v>
      </c>
    </row>
    <row r="135" spans="1:55" x14ac:dyDescent="0.45">
      <c r="A135">
        <v>134</v>
      </c>
      <c r="C135">
        <v>58</v>
      </c>
      <c r="D135">
        <v>0</v>
      </c>
      <c r="E135">
        <v>0</v>
      </c>
      <c r="F135">
        <v>4</v>
      </c>
      <c r="G135">
        <v>0</v>
      </c>
      <c r="H135">
        <v>5</v>
      </c>
      <c r="I135">
        <v>0</v>
      </c>
      <c r="J135">
        <v>33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f t="shared" si="13"/>
        <v>20.9</v>
      </c>
      <c r="AU135">
        <f t="shared" si="11"/>
        <v>5.5</v>
      </c>
      <c r="AV135">
        <f t="shared" si="12"/>
        <v>528.9</v>
      </c>
      <c r="AW135">
        <v>142</v>
      </c>
      <c r="AX135">
        <v>1210</v>
      </c>
      <c r="AY135">
        <v>1712</v>
      </c>
      <c r="BB135" t="s">
        <v>476</v>
      </c>
      <c r="BC135" t="s">
        <v>576</v>
      </c>
    </row>
    <row r="136" spans="1:55" x14ac:dyDescent="0.45">
      <c r="A136">
        <v>135</v>
      </c>
      <c r="C136">
        <v>56</v>
      </c>
      <c r="D136">
        <v>0</v>
      </c>
      <c r="E136">
        <v>0</v>
      </c>
      <c r="F136">
        <v>4</v>
      </c>
      <c r="G136">
        <v>0</v>
      </c>
      <c r="H136">
        <v>7</v>
      </c>
      <c r="I136">
        <v>0</v>
      </c>
      <c r="J136">
        <v>33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1</v>
      </c>
      <c r="AT136">
        <f t="shared" si="13"/>
        <v>26.700000000000003</v>
      </c>
      <c r="AU136">
        <f t="shared" si="11"/>
        <v>5.5</v>
      </c>
      <c r="AV136">
        <f t="shared" si="12"/>
        <v>498.09999999999997</v>
      </c>
      <c r="AW136">
        <v>149</v>
      </c>
      <c r="AX136">
        <v>1287</v>
      </c>
      <c r="AY136">
        <v>1567</v>
      </c>
      <c r="BB136" t="s">
        <v>476</v>
      </c>
      <c r="BC136" t="s">
        <v>576</v>
      </c>
    </row>
    <row r="137" spans="1:55" x14ac:dyDescent="0.45">
      <c r="A137">
        <v>136</v>
      </c>
      <c r="C137">
        <v>66</v>
      </c>
      <c r="D137">
        <v>0</v>
      </c>
      <c r="E137">
        <v>0</v>
      </c>
      <c r="F137">
        <v>0</v>
      </c>
      <c r="G137">
        <v>0</v>
      </c>
      <c r="H137">
        <v>7</v>
      </c>
      <c r="I137">
        <v>0</v>
      </c>
      <c r="J137">
        <v>0</v>
      </c>
      <c r="K137">
        <v>27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1</v>
      </c>
      <c r="AP137">
        <v>0</v>
      </c>
      <c r="AQ137">
        <v>1</v>
      </c>
      <c r="AR137">
        <v>0</v>
      </c>
      <c r="AS137">
        <v>0</v>
      </c>
      <c r="AT137">
        <f t="shared" si="13"/>
        <v>27.86</v>
      </c>
      <c r="AU137">
        <f t="shared" si="11"/>
        <v>0</v>
      </c>
      <c r="AV137">
        <f t="shared" si="12"/>
        <v>774.2</v>
      </c>
      <c r="AW137">
        <v>116</v>
      </c>
      <c r="AX137">
        <v>784</v>
      </c>
      <c r="BB137" t="s">
        <v>477</v>
      </c>
      <c r="BC137" t="s">
        <v>577</v>
      </c>
    </row>
    <row r="138" spans="1:55" x14ac:dyDescent="0.45">
      <c r="A138">
        <v>137</v>
      </c>
      <c r="C138">
        <v>64</v>
      </c>
      <c r="D138">
        <v>0</v>
      </c>
      <c r="E138">
        <v>0</v>
      </c>
      <c r="F138">
        <v>2</v>
      </c>
      <c r="G138">
        <v>0</v>
      </c>
      <c r="H138">
        <v>7</v>
      </c>
      <c r="I138">
        <v>0</v>
      </c>
      <c r="J138">
        <v>0</v>
      </c>
      <c r="K138">
        <v>27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f t="shared" si="13"/>
        <v>31.06</v>
      </c>
      <c r="AU138">
        <f t="shared" si="11"/>
        <v>0</v>
      </c>
      <c r="AV138">
        <f t="shared" si="12"/>
        <v>750</v>
      </c>
      <c r="AW138">
        <v>99</v>
      </c>
      <c r="AX138">
        <v>1097</v>
      </c>
      <c r="BB138" t="s">
        <v>477</v>
      </c>
      <c r="BC138" t="s">
        <v>577</v>
      </c>
    </row>
    <row r="139" spans="1:55" x14ac:dyDescent="0.45">
      <c r="A139">
        <v>138</v>
      </c>
      <c r="C139">
        <v>62</v>
      </c>
      <c r="D139">
        <v>0</v>
      </c>
      <c r="E139">
        <v>0</v>
      </c>
      <c r="F139">
        <v>4</v>
      </c>
      <c r="G139">
        <v>0</v>
      </c>
      <c r="H139">
        <v>7</v>
      </c>
      <c r="I139">
        <v>0</v>
      </c>
      <c r="J139">
        <v>0</v>
      </c>
      <c r="K139">
        <v>27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f t="shared" si="13"/>
        <v>34.26</v>
      </c>
      <c r="AU139">
        <f t="shared" si="11"/>
        <v>0</v>
      </c>
      <c r="AV139">
        <f t="shared" si="12"/>
        <v>725.80000000000007</v>
      </c>
      <c r="AW139">
        <v>81</v>
      </c>
      <c r="AX139">
        <v>947</v>
      </c>
      <c r="BB139" t="s">
        <v>477</v>
      </c>
      <c r="BC139" t="s">
        <v>577</v>
      </c>
    </row>
    <row r="140" spans="1:55" x14ac:dyDescent="0.45">
      <c r="A140">
        <v>139</v>
      </c>
      <c r="C140">
        <v>60</v>
      </c>
      <c r="D140">
        <v>0</v>
      </c>
      <c r="E140">
        <v>0</v>
      </c>
      <c r="F140">
        <v>6</v>
      </c>
      <c r="G140">
        <v>0</v>
      </c>
      <c r="H140">
        <v>7</v>
      </c>
      <c r="I140">
        <v>0</v>
      </c>
      <c r="J140">
        <v>0</v>
      </c>
      <c r="K140">
        <v>27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f t="shared" si="13"/>
        <v>37.46</v>
      </c>
      <c r="AU140">
        <f t="shared" si="11"/>
        <v>0</v>
      </c>
      <c r="AV140">
        <f t="shared" si="12"/>
        <v>701.6</v>
      </c>
      <c r="AW140">
        <v>77</v>
      </c>
      <c r="AX140">
        <v>922</v>
      </c>
      <c r="BB140" t="s">
        <v>477</v>
      </c>
      <c r="BC140" t="s">
        <v>577</v>
      </c>
    </row>
    <row r="141" spans="1:55" x14ac:dyDescent="0.45">
      <c r="A141">
        <v>140</v>
      </c>
      <c r="C141">
        <v>58</v>
      </c>
      <c r="D141">
        <v>0</v>
      </c>
      <c r="E141">
        <v>0</v>
      </c>
      <c r="F141">
        <v>8</v>
      </c>
      <c r="G141">
        <v>0</v>
      </c>
      <c r="H141">
        <v>7</v>
      </c>
      <c r="I141">
        <v>0</v>
      </c>
      <c r="J141">
        <v>0</v>
      </c>
      <c r="K141">
        <v>27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f t="shared" si="13"/>
        <v>40.659999999999997</v>
      </c>
      <c r="AU141">
        <f t="shared" si="11"/>
        <v>0</v>
      </c>
      <c r="AV141">
        <f t="shared" si="12"/>
        <v>677.40000000000009</v>
      </c>
      <c r="AW141">
        <v>72</v>
      </c>
      <c r="AX141">
        <v>941</v>
      </c>
      <c r="BB141" t="s">
        <v>477</v>
      </c>
      <c r="BC141" t="s">
        <v>577</v>
      </c>
    </row>
    <row r="142" spans="1:55" x14ac:dyDescent="0.45">
      <c r="A142">
        <v>141</v>
      </c>
      <c r="C142">
        <v>91</v>
      </c>
      <c r="D142">
        <v>0</v>
      </c>
      <c r="E142">
        <v>0</v>
      </c>
      <c r="F142">
        <v>0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f>(AV142)+0</f>
        <v>882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1</v>
      </c>
      <c r="AP142">
        <v>0</v>
      </c>
      <c r="AQ142">
        <v>0</v>
      </c>
      <c r="AR142">
        <v>1</v>
      </c>
      <c r="AS142">
        <v>0</v>
      </c>
      <c r="AT142">
        <f t="shared" si="13"/>
        <v>15.299999999999999</v>
      </c>
      <c r="AU142">
        <f t="shared" si="11"/>
        <v>0</v>
      </c>
      <c r="AV142">
        <f t="shared" si="12"/>
        <v>882</v>
      </c>
      <c r="AW142">
        <v>94</v>
      </c>
      <c r="AX142">
        <v>1023</v>
      </c>
      <c r="AY142">
        <v>1048</v>
      </c>
      <c r="BA142">
        <v>338</v>
      </c>
      <c r="BB142" t="s">
        <v>478</v>
      </c>
      <c r="BC142" t="s">
        <v>578</v>
      </c>
    </row>
    <row r="143" spans="1:55" x14ac:dyDescent="0.45">
      <c r="A143">
        <v>142</v>
      </c>
      <c r="C143">
        <v>87</v>
      </c>
      <c r="D143">
        <v>0</v>
      </c>
      <c r="E143">
        <v>0</v>
      </c>
      <c r="F143">
        <v>0</v>
      </c>
      <c r="G143">
        <v>13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f>(AV143)+0</f>
        <v>882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f t="shared" si="13"/>
        <v>22.099999999999998</v>
      </c>
      <c r="AU143">
        <f t="shared" si="11"/>
        <v>0</v>
      </c>
      <c r="AV143">
        <f t="shared" si="12"/>
        <v>882</v>
      </c>
      <c r="AW143">
        <v>100</v>
      </c>
      <c r="AX143">
        <v>927</v>
      </c>
      <c r="AY143">
        <v>939</v>
      </c>
      <c r="BA143">
        <v>312</v>
      </c>
      <c r="BB143" t="s">
        <v>478</v>
      </c>
      <c r="BC143" t="s">
        <v>578</v>
      </c>
    </row>
    <row r="144" spans="1:55" x14ac:dyDescent="0.45">
      <c r="A144">
        <v>143</v>
      </c>
      <c r="C144">
        <v>92</v>
      </c>
      <c r="D144">
        <v>0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1</v>
      </c>
      <c r="AP144">
        <v>0</v>
      </c>
      <c r="AQ144">
        <v>0</v>
      </c>
      <c r="AR144">
        <v>1</v>
      </c>
      <c r="AS144">
        <v>0</v>
      </c>
      <c r="AT144">
        <f t="shared" si="13"/>
        <v>11.5</v>
      </c>
      <c r="AU144">
        <f t="shared" si="11"/>
        <v>0</v>
      </c>
      <c r="AV144">
        <f t="shared" si="12"/>
        <v>853.5</v>
      </c>
      <c r="AW144">
        <v>88</v>
      </c>
      <c r="AX144">
        <v>980</v>
      </c>
      <c r="AY144">
        <v>1036</v>
      </c>
      <c r="BA144">
        <v>331</v>
      </c>
      <c r="BB144" t="s">
        <v>479</v>
      </c>
      <c r="BC144" t="s">
        <v>579</v>
      </c>
    </row>
    <row r="145" spans="1:55" x14ac:dyDescent="0.45">
      <c r="A145">
        <v>144</v>
      </c>
      <c r="C145">
        <v>91</v>
      </c>
      <c r="D145">
        <v>0</v>
      </c>
      <c r="E145">
        <v>0</v>
      </c>
      <c r="F145">
        <v>0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1</v>
      </c>
      <c r="AP145">
        <v>0</v>
      </c>
      <c r="AQ145">
        <v>0</v>
      </c>
      <c r="AR145">
        <v>1</v>
      </c>
      <c r="AS145">
        <v>0</v>
      </c>
      <c r="AT145">
        <f t="shared" si="13"/>
        <v>12.5</v>
      </c>
      <c r="AU145">
        <f t="shared" si="11"/>
        <v>0</v>
      </c>
      <c r="AV145">
        <f t="shared" si="12"/>
        <v>844</v>
      </c>
      <c r="AW145">
        <v>84</v>
      </c>
      <c r="AX145">
        <v>1046</v>
      </c>
      <c r="AY145">
        <v>1104</v>
      </c>
      <c r="BA145">
        <v>337</v>
      </c>
      <c r="BB145" t="s">
        <v>479</v>
      </c>
      <c r="BC145" t="s">
        <v>579</v>
      </c>
    </row>
    <row r="146" spans="1:55" x14ac:dyDescent="0.45">
      <c r="A146">
        <v>145</v>
      </c>
      <c r="C146">
        <v>91</v>
      </c>
      <c r="D146">
        <v>0</v>
      </c>
      <c r="E146">
        <v>0</v>
      </c>
      <c r="F146">
        <v>0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f t="shared" si="13"/>
        <v>13.2</v>
      </c>
      <c r="AU146">
        <f t="shared" si="11"/>
        <v>0</v>
      </c>
      <c r="AV146">
        <f t="shared" si="12"/>
        <v>853.5</v>
      </c>
      <c r="AW146">
        <v>86</v>
      </c>
      <c r="AX146">
        <v>1077</v>
      </c>
      <c r="AY146">
        <v>1143</v>
      </c>
      <c r="BA146">
        <v>359</v>
      </c>
      <c r="BB146" t="s">
        <v>479</v>
      </c>
      <c r="BC146" t="s">
        <v>579</v>
      </c>
    </row>
    <row r="147" spans="1:55" x14ac:dyDescent="0.45">
      <c r="A147">
        <v>146</v>
      </c>
      <c r="C147">
        <v>90</v>
      </c>
      <c r="D147">
        <v>0</v>
      </c>
      <c r="E147">
        <v>0</v>
      </c>
      <c r="F147">
        <v>0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1</v>
      </c>
      <c r="AS147">
        <v>0</v>
      </c>
      <c r="AT147">
        <f t="shared" si="13"/>
        <v>14.2</v>
      </c>
      <c r="AU147">
        <f t="shared" si="11"/>
        <v>0</v>
      </c>
      <c r="AV147">
        <f t="shared" si="12"/>
        <v>844</v>
      </c>
      <c r="AW147">
        <v>85</v>
      </c>
      <c r="AX147">
        <v>1033</v>
      </c>
      <c r="AY147">
        <v>1093</v>
      </c>
      <c r="BA147">
        <v>312</v>
      </c>
      <c r="BB147" t="s">
        <v>479</v>
      </c>
      <c r="BC147" t="s">
        <v>579</v>
      </c>
    </row>
    <row r="148" spans="1:55" x14ac:dyDescent="0.45">
      <c r="A148">
        <v>147</v>
      </c>
      <c r="C148">
        <v>78</v>
      </c>
      <c r="D148">
        <v>2</v>
      </c>
      <c r="E148">
        <v>0</v>
      </c>
      <c r="F148">
        <v>5</v>
      </c>
      <c r="G148">
        <v>0</v>
      </c>
      <c r="H148">
        <v>0</v>
      </c>
      <c r="I148">
        <v>0</v>
      </c>
      <c r="J148">
        <v>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f t="shared" ref="AC148:AC179" si="14">(AV148)+0</f>
        <v>722.2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f t="shared" si="13"/>
        <v>6</v>
      </c>
      <c r="AU148">
        <f t="shared" si="11"/>
        <v>4.5</v>
      </c>
      <c r="AV148">
        <f t="shared" si="12"/>
        <v>722.2</v>
      </c>
      <c r="AW148">
        <v>58</v>
      </c>
      <c r="AX148">
        <v>625.4</v>
      </c>
      <c r="AY148">
        <v>1879.9</v>
      </c>
      <c r="BA148">
        <v>302</v>
      </c>
      <c r="BB148" t="s">
        <v>480</v>
      </c>
      <c r="BC148" t="s">
        <v>580</v>
      </c>
    </row>
    <row r="149" spans="1:55" x14ac:dyDescent="0.45">
      <c r="A149">
        <v>148</v>
      </c>
      <c r="C149">
        <v>58.7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</v>
      </c>
      <c r="K149">
        <v>36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0.3</v>
      </c>
      <c r="U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f t="shared" si="14"/>
        <v>898.19999999999993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f t="shared" si="13"/>
        <v>10.520000000000001</v>
      </c>
      <c r="AU149">
        <f t="shared" si="11"/>
        <v>0.53</v>
      </c>
      <c r="AV149">
        <f t="shared" si="12"/>
        <v>898.19999999999993</v>
      </c>
      <c r="AW149">
        <v>64.5</v>
      </c>
      <c r="AX149">
        <v>700</v>
      </c>
      <c r="AY149">
        <v>840</v>
      </c>
      <c r="BB149" t="s">
        <v>481</v>
      </c>
      <c r="BC149" t="s">
        <v>581</v>
      </c>
    </row>
    <row r="150" spans="1:55" x14ac:dyDescent="0.45">
      <c r="A150">
        <v>149</v>
      </c>
      <c r="C150">
        <v>58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6.8</v>
      </c>
      <c r="K150">
        <v>32.5</v>
      </c>
      <c r="L150">
        <v>0</v>
      </c>
      <c r="M150">
        <v>2.7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f t="shared" si="14"/>
        <v>846.42000000000007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f t="shared" si="13"/>
        <v>9.1000000000000014</v>
      </c>
      <c r="AU150">
        <f t="shared" si="11"/>
        <v>2.0333333333333332</v>
      </c>
      <c r="AV150">
        <f t="shared" si="12"/>
        <v>846.42000000000007</v>
      </c>
      <c r="AW150">
        <v>54.2</v>
      </c>
      <c r="AX150">
        <v>380</v>
      </c>
      <c r="AY150">
        <v>562</v>
      </c>
      <c r="BB150" t="s">
        <v>282</v>
      </c>
      <c r="BC150" t="s">
        <v>582</v>
      </c>
    </row>
    <row r="151" spans="1:55" x14ac:dyDescent="0.45">
      <c r="A151">
        <v>150</v>
      </c>
      <c r="C151">
        <v>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f t="shared" si="14"/>
        <v>768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1</v>
      </c>
      <c r="AP151">
        <v>0</v>
      </c>
      <c r="AQ151">
        <v>0</v>
      </c>
      <c r="AR151">
        <v>1</v>
      </c>
      <c r="AS151">
        <v>0</v>
      </c>
      <c r="AT151">
        <f t="shared" si="13"/>
        <v>12</v>
      </c>
      <c r="AU151">
        <f t="shared" si="11"/>
        <v>0</v>
      </c>
      <c r="AV151">
        <f t="shared" si="12"/>
        <v>768</v>
      </c>
      <c r="AX151">
        <v>480</v>
      </c>
      <c r="AY151">
        <v>1000</v>
      </c>
      <c r="BB151" t="s">
        <v>482</v>
      </c>
      <c r="BC151" t="s">
        <v>583</v>
      </c>
    </row>
    <row r="152" spans="1:55" x14ac:dyDescent="0.45">
      <c r="A152">
        <v>151</v>
      </c>
      <c r="C152">
        <v>83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0</v>
      </c>
      <c r="L152">
        <v>12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f t="shared" si="14"/>
        <v>733.5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f t="shared" si="13"/>
        <v>12</v>
      </c>
      <c r="AU152">
        <f t="shared" si="11"/>
        <v>0.83333333333333337</v>
      </c>
      <c r="AV152">
        <f t="shared" si="12"/>
        <v>733.5</v>
      </c>
      <c r="AX152">
        <v>650</v>
      </c>
      <c r="AY152">
        <v>950</v>
      </c>
      <c r="BB152" t="s">
        <v>482</v>
      </c>
      <c r="BC152" t="s">
        <v>583</v>
      </c>
    </row>
    <row r="153" spans="1:55" x14ac:dyDescent="0.45">
      <c r="A153">
        <v>152</v>
      </c>
      <c r="C153">
        <v>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f t="shared" si="14"/>
        <v>882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1</v>
      </c>
      <c r="AP153">
        <v>0</v>
      </c>
      <c r="AQ153">
        <v>1</v>
      </c>
      <c r="AR153">
        <v>0</v>
      </c>
      <c r="AS153">
        <v>0</v>
      </c>
      <c r="AT153">
        <f t="shared" si="13"/>
        <v>9.8000000000000007</v>
      </c>
      <c r="AU153">
        <f t="shared" si="11"/>
        <v>0</v>
      </c>
      <c r="AV153">
        <f t="shared" si="12"/>
        <v>882</v>
      </c>
      <c r="AW153">
        <v>73.900000000000006</v>
      </c>
      <c r="AX153">
        <v>289</v>
      </c>
      <c r="AY153">
        <v>561</v>
      </c>
      <c r="BA153">
        <v>202</v>
      </c>
      <c r="BB153" t="s">
        <v>483</v>
      </c>
      <c r="BC153" t="s">
        <v>584</v>
      </c>
    </row>
    <row r="154" spans="1:55" x14ac:dyDescent="0.45">
      <c r="A154">
        <v>153</v>
      </c>
      <c r="C154">
        <v>62.5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35</v>
      </c>
      <c r="L154">
        <v>0</v>
      </c>
      <c r="M154">
        <v>2.5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f t="shared" si="14"/>
        <v>892.5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1</v>
      </c>
      <c r="AP154">
        <v>0</v>
      </c>
      <c r="AQ154">
        <v>1</v>
      </c>
      <c r="AR154">
        <v>0</v>
      </c>
      <c r="AS154">
        <v>0</v>
      </c>
      <c r="AT154">
        <f t="shared" si="13"/>
        <v>9.8000000000000007</v>
      </c>
      <c r="AU154">
        <f t="shared" si="11"/>
        <v>0.83333333333333337</v>
      </c>
      <c r="AV154">
        <f t="shared" si="12"/>
        <v>892.5</v>
      </c>
      <c r="AW154">
        <v>65.8</v>
      </c>
      <c r="AX154">
        <v>237</v>
      </c>
      <c r="AY154">
        <v>566</v>
      </c>
      <c r="BA154">
        <v>195</v>
      </c>
      <c r="BB154" t="s">
        <v>483</v>
      </c>
      <c r="BC154" t="s">
        <v>584</v>
      </c>
    </row>
    <row r="155" spans="1:55" x14ac:dyDescent="0.45">
      <c r="A155">
        <v>154</v>
      </c>
      <c r="C155">
        <v>60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35</v>
      </c>
      <c r="L155">
        <v>0</v>
      </c>
      <c r="M155">
        <v>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f t="shared" si="14"/>
        <v>903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f t="shared" si="13"/>
        <v>9.8000000000000007</v>
      </c>
      <c r="AU155">
        <f t="shared" si="11"/>
        <v>1.6666666666666667</v>
      </c>
      <c r="AV155">
        <f t="shared" si="12"/>
        <v>903</v>
      </c>
      <c r="AW155">
        <v>68.2</v>
      </c>
      <c r="AX155">
        <v>216</v>
      </c>
      <c r="AY155">
        <v>563</v>
      </c>
      <c r="BA155">
        <v>184</v>
      </c>
      <c r="BB155" t="s">
        <v>483</v>
      </c>
      <c r="BC155" t="s">
        <v>584</v>
      </c>
    </row>
    <row r="156" spans="1:55" x14ac:dyDescent="0.45">
      <c r="A156">
        <v>155</v>
      </c>
      <c r="C156">
        <v>57.5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35</v>
      </c>
      <c r="L156">
        <v>0</v>
      </c>
      <c r="M156">
        <v>7.5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f t="shared" si="14"/>
        <v>913.5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f t="shared" si="13"/>
        <v>9.8000000000000007</v>
      </c>
      <c r="AU156">
        <f t="shared" si="11"/>
        <v>2.5</v>
      </c>
      <c r="AV156">
        <f t="shared" si="12"/>
        <v>913.5</v>
      </c>
      <c r="AW156">
        <v>86.4</v>
      </c>
      <c r="AX156">
        <v>262</v>
      </c>
      <c r="AY156">
        <v>478</v>
      </c>
      <c r="BA156">
        <v>202</v>
      </c>
      <c r="BB156" t="s">
        <v>483</v>
      </c>
      <c r="BC156" t="s">
        <v>584</v>
      </c>
    </row>
    <row r="157" spans="1:55" x14ac:dyDescent="0.45">
      <c r="A157">
        <v>156</v>
      </c>
      <c r="C157">
        <v>90</v>
      </c>
      <c r="D157">
        <v>0</v>
      </c>
      <c r="E157">
        <v>0</v>
      </c>
      <c r="F157">
        <v>8.5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f t="shared" si="14"/>
        <v>785.44999999999993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f t="shared" si="13"/>
        <v>13.600000000000001</v>
      </c>
      <c r="AU157">
        <f t="shared" si="11"/>
        <v>0.5</v>
      </c>
      <c r="AV157">
        <f t="shared" si="12"/>
        <v>785.44999999999993</v>
      </c>
      <c r="AW157">
        <v>83</v>
      </c>
      <c r="AX157">
        <v>554</v>
      </c>
      <c r="AY157">
        <v>1240</v>
      </c>
      <c r="BB157" t="s">
        <v>343</v>
      </c>
      <c r="BC157" t="s">
        <v>585</v>
      </c>
    </row>
    <row r="158" spans="1:55" x14ac:dyDescent="0.45">
      <c r="A158">
        <v>157</v>
      </c>
      <c r="C158">
        <v>85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9</v>
      </c>
      <c r="M158">
        <v>0</v>
      </c>
      <c r="N158">
        <v>0</v>
      </c>
      <c r="O158">
        <v>0</v>
      </c>
      <c r="P158">
        <v>6</v>
      </c>
      <c r="Q158">
        <v>0</v>
      </c>
      <c r="R158">
        <v>0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f t="shared" si="14"/>
        <v>796.5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1</v>
      </c>
      <c r="AP158">
        <v>0</v>
      </c>
      <c r="AQ158">
        <v>0</v>
      </c>
      <c r="AR158">
        <v>1</v>
      </c>
      <c r="AS158">
        <v>0</v>
      </c>
      <c r="AT158">
        <f t="shared" si="13"/>
        <v>11.64</v>
      </c>
      <c r="AU158">
        <f t="shared" si="11"/>
        <v>0</v>
      </c>
      <c r="AV158">
        <f t="shared" si="12"/>
        <v>796.5</v>
      </c>
      <c r="AW158">
        <v>59</v>
      </c>
      <c r="AX158">
        <v>519</v>
      </c>
      <c r="AY158">
        <v>1098</v>
      </c>
      <c r="BB158" t="s">
        <v>484</v>
      </c>
      <c r="BC158" t="s">
        <v>586</v>
      </c>
    </row>
    <row r="159" spans="1:55" x14ac:dyDescent="0.45">
      <c r="A159">
        <v>158</v>
      </c>
      <c r="C159">
        <v>88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f t="shared" si="14"/>
        <v>768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0</v>
      </c>
      <c r="AR159">
        <v>1</v>
      </c>
      <c r="AS159">
        <v>0</v>
      </c>
      <c r="AT159">
        <f t="shared" si="13"/>
        <v>12</v>
      </c>
      <c r="AU159">
        <f t="shared" si="11"/>
        <v>0</v>
      </c>
      <c r="AV159">
        <f t="shared" si="12"/>
        <v>768</v>
      </c>
      <c r="AW159">
        <v>78</v>
      </c>
      <c r="AX159">
        <v>481</v>
      </c>
      <c r="AY159">
        <v>974</v>
      </c>
      <c r="BB159" t="s">
        <v>485</v>
      </c>
      <c r="BC159" t="s">
        <v>587</v>
      </c>
    </row>
    <row r="160" spans="1:55" x14ac:dyDescent="0.45">
      <c r="A160">
        <v>159</v>
      </c>
      <c r="C160">
        <v>64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</v>
      </c>
      <c r="K160">
        <v>24</v>
      </c>
      <c r="L160">
        <v>0</v>
      </c>
      <c r="M160">
        <v>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f t="shared" si="14"/>
        <v>888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>
        <v>1</v>
      </c>
      <c r="AR160">
        <v>1</v>
      </c>
      <c r="AS160">
        <v>0</v>
      </c>
      <c r="AT160">
        <f t="shared" si="13"/>
        <v>6.7200000000000006</v>
      </c>
      <c r="AU160">
        <f t="shared" si="11"/>
        <v>3.333333333333333</v>
      </c>
      <c r="AV160">
        <f t="shared" si="12"/>
        <v>888</v>
      </c>
      <c r="AW160">
        <v>50</v>
      </c>
      <c r="AX160">
        <v>350</v>
      </c>
      <c r="BB160" t="s">
        <v>486</v>
      </c>
      <c r="BC160" t="s">
        <v>588</v>
      </c>
    </row>
    <row r="161" spans="1:55" x14ac:dyDescent="0.45">
      <c r="A161">
        <v>160</v>
      </c>
      <c r="C161">
        <v>36.4</v>
      </c>
      <c r="D161">
        <v>0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43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0.6</v>
      </c>
      <c r="U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f t="shared" si="14"/>
        <v>423.09999999999997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f t="shared" si="13"/>
        <v>13.4</v>
      </c>
      <c r="AU161">
        <f t="shared" si="11"/>
        <v>7.2266666666666666</v>
      </c>
      <c r="AV161">
        <f t="shared" si="12"/>
        <v>423.09999999999997</v>
      </c>
      <c r="AW161">
        <v>82.18</v>
      </c>
      <c r="AX161">
        <v>635</v>
      </c>
      <c r="AY161">
        <v>635</v>
      </c>
      <c r="BB161" t="s">
        <v>487</v>
      </c>
      <c r="BC161" t="s">
        <v>589</v>
      </c>
    </row>
    <row r="162" spans="1:55" x14ac:dyDescent="0.45">
      <c r="A162">
        <v>161</v>
      </c>
      <c r="C162">
        <v>64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</v>
      </c>
      <c r="K162">
        <v>24</v>
      </c>
      <c r="L162">
        <v>0</v>
      </c>
      <c r="M162">
        <v>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f t="shared" si="14"/>
        <v>888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0</v>
      </c>
      <c r="AS162">
        <v>0</v>
      </c>
      <c r="AT162">
        <f t="shared" si="13"/>
        <v>6.7200000000000006</v>
      </c>
      <c r="AU162">
        <f t="shared" si="11"/>
        <v>3.333333333333333</v>
      </c>
      <c r="AV162">
        <f t="shared" si="12"/>
        <v>888</v>
      </c>
      <c r="AW162">
        <v>59.2</v>
      </c>
      <c r="AX162">
        <v>282</v>
      </c>
      <c r="AY162">
        <v>665</v>
      </c>
      <c r="BB162" t="s">
        <v>488</v>
      </c>
      <c r="BC162" t="s">
        <v>590</v>
      </c>
    </row>
    <row r="163" spans="1:55" x14ac:dyDescent="0.45">
      <c r="A163">
        <v>162</v>
      </c>
      <c r="C163">
        <v>63.85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</v>
      </c>
      <c r="K163">
        <v>24</v>
      </c>
      <c r="L163">
        <v>0</v>
      </c>
      <c r="M163">
        <v>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0.15</v>
      </c>
      <c r="U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f t="shared" si="14"/>
        <v>906.45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f t="shared" si="13"/>
        <v>6.7200000000000006</v>
      </c>
      <c r="AU163">
        <f t="shared" si="11"/>
        <v>3.3483333333333332</v>
      </c>
      <c r="AV163">
        <f t="shared" si="12"/>
        <v>906.45</v>
      </c>
      <c r="AW163">
        <v>61.6</v>
      </c>
      <c r="AX163">
        <v>380</v>
      </c>
      <c r="AY163">
        <v>797</v>
      </c>
      <c r="BB163" t="s">
        <v>488</v>
      </c>
      <c r="BC163" t="s">
        <v>590</v>
      </c>
    </row>
    <row r="164" spans="1:55" x14ac:dyDescent="0.45">
      <c r="A164">
        <v>163</v>
      </c>
      <c r="C164">
        <v>63.8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</v>
      </c>
      <c r="K164">
        <v>24</v>
      </c>
      <c r="L164">
        <v>0</v>
      </c>
      <c r="M164">
        <v>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</v>
      </c>
      <c r="U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f t="shared" si="14"/>
        <v>912.6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f t="shared" si="13"/>
        <v>6.7200000000000006</v>
      </c>
      <c r="AU164">
        <f t="shared" si="11"/>
        <v>3.3533333333333331</v>
      </c>
      <c r="AV164">
        <f t="shared" si="12"/>
        <v>912.6</v>
      </c>
      <c r="AW164">
        <v>47.8</v>
      </c>
      <c r="AX164">
        <v>515</v>
      </c>
      <c r="AY164">
        <v>852</v>
      </c>
      <c r="BB164" t="s">
        <v>488</v>
      </c>
      <c r="BC164" t="s">
        <v>590</v>
      </c>
    </row>
    <row r="165" spans="1:55" x14ac:dyDescent="0.45">
      <c r="A165">
        <v>164</v>
      </c>
      <c r="C165">
        <v>63.6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24</v>
      </c>
      <c r="L165">
        <v>0</v>
      </c>
      <c r="M165">
        <v>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</v>
      </c>
      <c r="U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f t="shared" si="14"/>
        <v>937.2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1</v>
      </c>
      <c r="AP165">
        <v>0</v>
      </c>
      <c r="AQ165">
        <v>1</v>
      </c>
      <c r="AR165">
        <v>0</v>
      </c>
      <c r="AS165">
        <v>0</v>
      </c>
      <c r="AT165">
        <f t="shared" si="13"/>
        <v>6.7200000000000006</v>
      </c>
      <c r="AU165">
        <f t="shared" si="11"/>
        <v>3.3733333333333331</v>
      </c>
      <c r="AV165">
        <f t="shared" si="12"/>
        <v>937.2</v>
      </c>
      <c r="AW165">
        <v>53.2</v>
      </c>
      <c r="AX165">
        <v>649</v>
      </c>
      <c r="AY165">
        <v>778</v>
      </c>
      <c r="BB165" t="s">
        <v>488</v>
      </c>
      <c r="BC165" t="s">
        <v>590</v>
      </c>
    </row>
    <row r="166" spans="1:55" x14ac:dyDescent="0.45">
      <c r="A166">
        <v>165</v>
      </c>
      <c r="C166">
        <v>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f t="shared" si="14"/>
        <v>882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f t="shared" si="13"/>
        <v>7.0000000000000009</v>
      </c>
      <c r="AU166">
        <f t="shared" si="11"/>
        <v>0</v>
      </c>
      <c r="AV166">
        <f t="shared" si="12"/>
        <v>882</v>
      </c>
      <c r="AW166">
        <v>64</v>
      </c>
      <c r="AX166">
        <v>456</v>
      </c>
      <c r="AY166">
        <v>688</v>
      </c>
      <c r="BA166">
        <v>181</v>
      </c>
      <c r="BB166" t="s">
        <v>489</v>
      </c>
      <c r="BC166" t="s">
        <v>591</v>
      </c>
    </row>
    <row r="167" spans="1:55" x14ac:dyDescent="0.45">
      <c r="A167">
        <v>166</v>
      </c>
      <c r="C167">
        <v>72.5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25</v>
      </c>
      <c r="L167">
        <v>0</v>
      </c>
      <c r="M167">
        <v>0</v>
      </c>
      <c r="N167">
        <v>0</v>
      </c>
      <c r="O167">
        <v>2.5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f t="shared" si="14"/>
        <v>882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f t="shared" si="13"/>
        <v>7.5500000000000007</v>
      </c>
      <c r="AU167">
        <f t="shared" si="11"/>
        <v>0</v>
      </c>
      <c r="AV167">
        <f t="shared" si="12"/>
        <v>882</v>
      </c>
      <c r="AW167">
        <v>71</v>
      </c>
      <c r="AX167">
        <v>374</v>
      </c>
      <c r="AY167">
        <v>642</v>
      </c>
      <c r="BA167">
        <v>159</v>
      </c>
      <c r="BB167" t="s">
        <v>489</v>
      </c>
      <c r="BC167" t="s">
        <v>591</v>
      </c>
    </row>
    <row r="168" spans="1:55" x14ac:dyDescent="0.45">
      <c r="A168">
        <v>167</v>
      </c>
      <c r="C168">
        <v>70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25</v>
      </c>
      <c r="L168">
        <v>0</v>
      </c>
      <c r="M168">
        <v>0</v>
      </c>
      <c r="N168">
        <v>0</v>
      </c>
      <c r="O168">
        <v>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f t="shared" si="14"/>
        <v>882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f t="shared" si="13"/>
        <v>8.1000000000000014</v>
      </c>
      <c r="AU168">
        <f t="shared" si="11"/>
        <v>0</v>
      </c>
      <c r="AV168">
        <f t="shared" si="12"/>
        <v>882</v>
      </c>
      <c r="AW168">
        <v>78</v>
      </c>
      <c r="AX168">
        <v>433</v>
      </c>
      <c r="AY168">
        <v>543</v>
      </c>
      <c r="BA168">
        <v>165</v>
      </c>
      <c r="BB168" t="s">
        <v>489</v>
      </c>
      <c r="BC168" t="s">
        <v>591</v>
      </c>
    </row>
    <row r="169" spans="1:55" x14ac:dyDescent="0.45">
      <c r="A169">
        <v>168</v>
      </c>
      <c r="C169">
        <v>67.5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25</v>
      </c>
      <c r="L169">
        <v>0</v>
      </c>
      <c r="M169">
        <v>0</v>
      </c>
      <c r="N169">
        <v>0</v>
      </c>
      <c r="O169">
        <v>7.5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f t="shared" si="14"/>
        <v>882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f t="shared" si="13"/>
        <v>8.65</v>
      </c>
      <c r="AU169">
        <f t="shared" si="11"/>
        <v>0</v>
      </c>
      <c r="AV169">
        <f t="shared" si="12"/>
        <v>882</v>
      </c>
      <c r="AW169">
        <v>78</v>
      </c>
      <c r="AX169">
        <v>376</v>
      </c>
      <c r="AY169">
        <v>590</v>
      </c>
      <c r="BA169">
        <v>172</v>
      </c>
      <c r="BB169" t="s">
        <v>489</v>
      </c>
      <c r="BC169" t="s">
        <v>591</v>
      </c>
    </row>
    <row r="170" spans="1:55" x14ac:dyDescent="0.45">
      <c r="A170">
        <v>169</v>
      </c>
      <c r="C170">
        <v>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f t="shared" si="14"/>
        <v>882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f t="shared" si="13"/>
        <v>8.4</v>
      </c>
      <c r="AU170">
        <f t="shared" si="11"/>
        <v>0</v>
      </c>
      <c r="AV170">
        <f t="shared" si="12"/>
        <v>882</v>
      </c>
      <c r="AW170">
        <v>79</v>
      </c>
      <c r="AX170">
        <v>327</v>
      </c>
      <c r="AY170">
        <v>532</v>
      </c>
      <c r="BA170">
        <v>193</v>
      </c>
      <c r="BB170" t="s">
        <v>489</v>
      </c>
      <c r="BC170" t="s">
        <v>591</v>
      </c>
    </row>
    <row r="171" spans="1:55" x14ac:dyDescent="0.45">
      <c r="A171">
        <v>170</v>
      </c>
      <c r="C171">
        <v>67.5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30</v>
      </c>
      <c r="L171">
        <v>0</v>
      </c>
      <c r="M171">
        <v>0</v>
      </c>
      <c r="N171">
        <v>0</v>
      </c>
      <c r="O171">
        <v>2.5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f t="shared" si="14"/>
        <v>882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f t="shared" si="13"/>
        <v>8.9500000000000011</v>
      </c>
      <c r="AU171">
        <f t="shared" si="11"/>
        <v>0</v>
      </c>
      <c r="AV171">
        <f t="shared" si="12"/>
        <v>882</v>
      </c>
      <c r="AW171">
        <v>81</v>
      </c>
      <c r="AX171">
        <v>411</v>
      </c>
      <c r="AY171">
        <v>584</v>
      </c>
      <c r="BA171">
        <v>180</v>
      </c>
      <c r="BB171" t="s">
        <v>489</v>
      </c>
      <c r="BC171" t="s">
        <v>591</v>
      </c>
    </row>
    <row r="172" spans="1:55" x14ac:dyDescent="0.45">
      <c r="A172">
        <v>171</v>
      </c>
      <c r="C172">
        <v>65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30</v>
      </c>
      <c r="L172">
        <v>0</v>
      </c>
      <c r="M172">
        <v>0</v>
      </c>
      <c r="N172">
        <v>0</v>
      </c>
      <c r="O172">
        <v>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f t="shared" si="14"/>
        <v>882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f t="shared" si="13"/>
        <v>9.5</v>
      </c>
      <c r="AU172">
        <f t="shared" si="11"/>
        <v>0</v>
      </c>
      <c r="AV172">
        <f t="shared" si="12"/>
        <v>882</v>
      </c>
      <c r="AW172">
        <v>80</v>
      </c>
      <c r="AX172">
        <v>377</v>
      </c>
      <c r="AY172">
        <v>595</v>
      </c>
      <c r="BA172">
        <v>197</v>
      </c>
      <c r="BB172" t="s">
        <v>489</v>
      </c>
      <c r="BC172" t="s">
        <v>591</v>
      </c>
    </row>
    <row r="173" spans="1:55" x14ac:dyDescent="0.45">
      <c r="A173">
        <v>172</v>
      </c>
      <c r="C173">
        <v>62.5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30</v>
      </c>
      <c r="L173">
        <v>0</v>
      </c>
      <c r="M173">
        <v>0</v>
      </c>
      <c r="N173">
        <v>0</v>
      </c>
      <c r="O173">
        <v>7.5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f t="shared" si="14"/>
        <v>882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f t="shared" si="13"/>
        <v>10.050000000000001</v>
      </c>
      <c r="AU173">
        <f t="shared" si="11"/>
        <v>0</v>
      </c>
      <c r="AV173">
        <f t="shared" si="12"/>
        <v>882</v>
      </c>
      <c r="AW173">
        <v>81</v>
      </c>
      <c r="AX173">
        <v>395</v>
      </c>
      <c r="AY173">
        <v>584</v>
      </c>
      <c r="BA173">
        <v>215</v>
      </c>
      <c r="BB173" t="s">
        <v>489</v>
      </c>
      <c r="BC173" t="s">
        <v>591</v>
      </c>
    </row>
    <row r="174" spans="1:55" x14ac:dyDescent="0.45">
      <c r="A174">
        <v>173</v>
      </c>
      <c r="C174">
        <v>65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f t="shared" si="14"/>
        <v>882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f t="shared" si="13"/>
        <v>9.8000000000000007</v>
      </c>
      <c r="AU174">
        <f t="shared" si="11"/>
        <v>0</v>
      </c>
      <c r="AV174">
        <f t="shared" si="12"/>
        <v>882</v>
      </c>
      <c r="AW174">
        <v>85</v>
      </c>
      <c r="AX174">
        <v>338</v>
      </c>
      <c r="AY174">
        <v>556</v>
      </c>
      <c r="BA174">
        <v>199</v>
      </c>
      <c r="BB174" t="s">
        <v>489</v>
      </c>
      <c r="BC174" t="s">
        <v>591</v>
      </c>
    </row>
    <row r="175" spans="1:55" x14ac:dyDescent="0.45">
      <c r="A175">
        <v>174</v>
      </c>
      <c r="C175">
        <v>62.5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35</v>
      </c>
      <c r="L175">
        <v>0</v>
      </c>
      <c r="M175">
        <v>0</v>
      </c>
      <c r="N175">
        <v>0</v>
      </c>
      <c r="O175">
        <v>2.5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f t="shared" si="14"/>
        <v>882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1</v>
      </c>
      <c r="AP175">
        <v>0</v>
      </c>
      <c r="AQ175">
        <v>1</v>
      </c>
      <c r="AR175">
        <v>0</v>
      </c>
      <c r="AS175">
        <v>0</v>
      </c>
      <c r="AT175">
        <f t="shared" si="13"/>
        <v>10.350000000000001</v>
      </c>
      <c r="AU175">
        <f t="shared" si="11"/>
        <v>0</v>
      </c>
      <c r="AV175">
        <f t="shared" si="12"/>
        <v>882</v>
      </c>
      <c r="AW175">
        <v>85</v>
      </c>
      <c r="AX175">
        <v>303</v>
      </c>
      <c r="AY175">
        <v>580</v>
      </c>
      <c r="BA175">
        <v>202</v>
      </c>
      <c r="BB175" t="s">
        <v>489</v>
      </c>
      <c r="BC175" t="s">
        <v>591</v>
      </c>
    </row>
    <row r="176" spans="1:55" x14ac:dyDescent="0.45">
      <c r="A176">
        <v>175</v>
      </c>
      <c r="C176">
        <v>60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35</v>
      </c>
      <c r="L176">
        <v>0</v>
      </c>
      <c r="M176">
        <v>0</v>
      </c>
      <c r="N176">
        <v>0</v>
      </c>
      <c r="O176">
        <v>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f t="shared" si="14"/>
        <v>882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1</v>
      </c>
      <c r="AP176">
        <v>0</v>
      </c>
      <c r="AQ176">
        <v>1</v>
      </c>
      <c r="AR176">
        <v>0</v>
      </c>
      <c r="AS176">
        <v>0</v>
      </c>
      <c r="AT176">
        <f t="shared" si="13"/>
        <v>10.9</v>
      </c>
      <c r="AU176">
        <f t="shared" si="11"/>
        <v>0</v>
      </c>
      <c r="AV176">
        <f t="shared" si="12"/>
        <v>882</v>
      </c>
      <c r="AW176">
        <v>84</v>
      </c>
      <c r="AX176">
        <v>340</v>
      </c>
      <c r="AY176">
        <v>602</v>
      </c>
      <c r="BA176">
        <v>206</v>
      </c>
      <c r="BB176" t="s">
        <v>489</v>
      </c>
      <c r="BC176" t="s">
        <v>591</v>
      </c>
    </row>
    <row r="177" spans="1:55" x14ac:dyDescent="0.45">
      <c r="A177">
        <v>176</v>
      </c>
      <c r="C177">
        <v>57.5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35</v>
      </c>
      <c r="L177">
        <v>0</v>
      </c>
      <c r="M177">
        <v>0</v>
      </c>
      <c r="N177">
        <v>0</v>
      </c>
      <c r="O177">
        <v>7.5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f t="shared" si="14"/>
        <v>882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f t="shared" si="13"/>
        <v>11.450000000000001</v>
      </c>
      <c r="AU177">
        <f t="shared" si="11"/>
        <v>0</v>
      </c>
      <c r="AV177">
        <f t="shared" si="12"/>
        <v>882</v>
      </c>
      <c r="AW177">
        <v>90</v>
      </c>
      <c r="AX177">
        <v>314</v>
      </c>
      <c r="AY177">
        <v>585</v>
      </c>
      <c r="BA177">
        <v>231</v>
      </c>
      <c r="BB177" t="s">
        <v>489</v>
      </c>
      <c r="BC177" t="s">
        <v>591</v>
      </c>
    </row>
    <row r="178" spans="1:55" x14ac:dyDescent="0.45">
      <c r="A178">
        <v>177</v>
      </c>
      <c r="C178">
        <v>36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38</v>
      </c>
      <c r="K178">
        <v>24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f t="shared" si="14"/>
        <v>600.79999999999995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f t="shared" si="13"/>
        <v>8.7200000000000006</v>
      </c>
      <c r="AU178">
        <f t="shared" si="11"/>
        <v>6.333333333333333</v>
      </c>
      <c r="AV178">
        <f t="shared" si="12"/>
        <v>600.79999999999995</v>
      </c>
      <c r="AW178">
        <v>64.2</v>
      </c>
      <c r="AX178">
        <v>714</v>
      </c>
      <c r="AY178">
        <v>772</v>
      </c>
      <c r="BA178">
        <v>251</v>
      </c>
      <c r="BB178" t="s">
        <v>490</v>
      </c>
      <c r="BC178" t="s">
        <v>592</v>
      </c>
    </row>
    <row r="179" spans="1:55" x14ac:dyDescent="0.45">
      <c r="A179">
        <v>178</v>
      </c>
      <c r="C179">
        <v>35.9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38</v>
      </c>
      <c r="K179">
        <v>24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f t="shared" si="14"/>
        <v>600.79999999999995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f t="shared" si="13"/>
        <v>8.7200000000000006</v>
      </c>
      <c r="AU179">
        <f t="shared" si="11"/>
        <v>6.333333333333333</v>
      </c>
      <c r="AV179">
        <f t="shared" si="12"/>
        <v>600.79999999999995</v>
      </c>
      <c r="AW179">
        <v>65.400000000000006</v>
      </c>
      <c r="AX179">
        <v>780</v>
      </c>
      <c r="AY179">
        <v>809</v>
      </c>
      <c r="BA179">
        <v>265</v>
      </c>
      <c r="BB179" t="s">
        <v>490</v>
      </c>
      <c r="BC179" t="s">
        <v>592</v>
      </c>
    </row>
    <row r="180" spans="1:55" x14ac:dyDescent="0.45">
      <c r="A180">
        <v>179</v>
      </c>
      <c r="C180">
        <v>65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30</v>
      </c>
      <c r="L180">
        <v>1</v>
      </c>
      <c r="M180">
        <v>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f t="shared" ref="AC180:AC199" si="15">(AV180)+0</f>
        <v>889.3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1</v>
      </c>
      <c r="AP180">
        <v>0</v>
      </c>
      <c r="AQ180">
        <v>1</v>
      </c>
      <c r="AR180">
        <v>0</v>
      </c>
      <c r="AS180">
        <v>0</v>
      </c>
      <c r="AT180">
        <f t="shared" si="13"/>
        <v>9.4</v>
      </c>
      <c r="AU180">
        <f t="shared" si="11"/>
        <v>1.3333333333333333</v>
      </c>
      <c r="AV180">
        <f t="shared" si="12"/>
        <v>889.3</v>
      </c>
      <c r="AW180">
        <v>45</v>
      </c>
      <c r="AX180">
        <v>220</v>
      </c>
      <c r="BB180" t="s">
        <v>491</v>
      </c>
      <c r="BC180" t="s">
        <v>593</v>
      </c>
    </row>
    <row r="181" spans="1:55" x14ac:dyDescent="0.45">
      <c r="A181">
        <v>180</v>
      </c>
      <c r="C181">
        <v>52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7</v>
      </c>
      <c r="K181">
        <v>35</v>
      </c>
      <c r="L181">
        <v>0</v>
      </c>
      <c r="M181">
        <v>0</v>
      </c>
      <c r="N181">
        <v>0</v>
      </c>
      <c r="O181">
        <v>5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f t="shared" si="15"/>
        <v>857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1</v>
      </c>
      <c r="AT181">
        <f t="shared" si="13"/>
        <v>10.9</v>
      </c>
      <c r="AU181">
        <f t="shared" si="11"/>
        <v>1.1666666666666667</v>
      </c>
      <c r="AV181">
        <f t="shared" si="12"/>
        <v>857</v>
      </c>
      <c r="AW181">
        <v>70</v>
      </c>
      <c r="AX181">
        <v>561</v>
      </c>
      <c r="AY181">
        <v>618</v>
      </c>
      <c r="BB181" t="s">
        <v>492</v>
      </c>
      <c r="BC181" t="s">
        <v>594</v>
      </c>
    </row>
    <row r="182" spans="1:55" x14ac:dyDescent="0.45">
      <c r="A182">
        <v>181</v>
      </c>
      <c r="C182">
        <v>51</v>
      </c>
      <c r="D182">
        <v>0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7</v>
      </c>
      <c r="K182">
        <v>35</v>
      </c>
      <c r="L182">
        <v>0</v>
      </c>
      <c r="M182">
        <v>0</v>
      </c>
      <c r="N182">
        <v>0</v>
      </c>
      <c r="O182">
        <v>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f t="shared" si="15"/>
        <v>802.90000000000009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f t="shared" si="13"/>
        <v>16.7</v>
      </c>
      <c r="AU182">
        <f t="shared" si="11"/>
        <v>1.1666666666666667</v>
      </c>
      <c r="AV182">
        <f t="shared" si="12"/>
        <v>802.90000000000009</v>
      </c>
      <c r="AW182">
        <v>81</v>
      </c>
      <c r="AX182">
        <v>588</v>
      </c>
      <c r="AY182">
        <v>721</v>
      </c>
      <c r="BB182" t="s">
        <v>492</v>
      </c>
      <c r="BC182" t="s">
        <v>594</v>
      </c>
    </row>
    <row r="183" spans="1:55" x14ac:dyDescent="0.45">
      <c r="A183">
        <v>182</v>
      </c>
      <c r="C183">
        <v>51.5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7</v>
      </c>
      <c r="K183">
        <v>35</v>
      </c>
      <c r="L183">
        <v>0</v>
      </c>
      <c r="M183">
        <v>0</v>
      </c>
      <c r="N183">
        <v>0</v>
      </c>
      <c r="O183">
        <v>5</v>
      </c>
      <c r="P183">
        <v>0</v>
      </c>
      <c r="Q183">
        <v>0.5</v>
      </c>
      <c r="R183">
        <v>0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f t="shared" si="15"/>
        <v>829.95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1</v>
      </c>
      <c r="AT183">
        <f t="shared" si="13"/>
        <v>13.8</v>
      </c>
      <c r="AU183">
        <f t="shared" si="11"/>
        <v>1.1666666666666667</v>
      </c>
      <c r="AV183">
        <f t="shared" si="12"/>
        <v>829.95</v>
      </c>
      <c r="AW183">
        <v>75</v>
      </c>
      <c r="AX183">
        <v>632</v>
      </c>
      <c r="AY183">
        <v>683</v>
      </c>
      <c r="BB183" t="s">
        <v>492</v>
      </c>
      <c r="BC183" t="s">
        <v>594</v>
      </c>
    </row>
    <row r="184" spans="1:55" x14ac:dyDescent="0.45">
      <c r="A184">
        <v>183</v>
      </c>
      <c r="C184">
        <v>50.5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7</v>
      </c>
      <c r="K184">
        <v>35</v>
      </c>
      <c r="L184">
        <v>0</v>
      </c>
      <c r="M184">
        <v>0</v>
      </c>
      <c r="N184">
        <v>0</v>
      </c>
      <c r="O184">
        <v>5</v>
      </c>
      <c r="P184">
        <v>0</v>
      </c>
      <c r="Q184">
        <v>0.5</v>
      </c>
      <c r="R184">
        <v>0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f t="shared" si="15"/>
        <v>814.55000000000007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1</v>
      </c>
      <c r="AT184">
        <f t="shared" si="13"/>
        <v>16.7</v>
      </c>
      <c r="AU184">
        <f t="shared" si="11"/>
        <v>1.1666666666666667</v>
      </c>
      <c r="AV184">
        <f t="shared" si="12"/>
        <v>814.55000000000007</v>
      </c>
      <c r="AW184">
        <v>85</v>
      </c>
      <c r="AX184">
        <v>720</v>
      </c>
      <c r="AY184">
        <v>841</v>
      </c>
      <c r="BB184" t="s">
        <v>492</v>
      </c>
      <c r="BC184" t="s">
        <v>594</v>
      </c>
    </row>
    <row r="185" spans="1:55" x14ac:dyDescent="0.45">
      <c r="A185">
        <v>184</v>
      </c>
      <c r="C185">
        <v>51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7</v>
      </c>
      <c r="K185">
        <v>35</v>
      </c>
      <c r="L185">
        <v>0</v>
      </c>
      <c r="M185">
        <v>0</v>
      </c>
      <c r="N185">
        <v>0</v>
      </c>
      <c r="O185">
        <v>5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f t="shared" si="15"/>
        <v>841.6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1</v>
      </c>
      <c r="AT185">
        <f t="shared" si="13"/>
        <v>13.8</v>
      </c>
      <c r="AU185">
        <f t="shared" si="11"/>
        <v>1.1666666666666667</v>
      </c>
      <c r="AV185">
        <f t="shared" si="12"/>
        <v>841.6</v>
      </c>
      <c r="AW185">
        <v>79</v>
      </c>
      <c r="AX185">
        <v>613</v>
      </c>
      <c r="AY185">
        <v>652</v>
      </c>
      <c r="BB185" t="s">
        <v>492</v>
      </c>
      <c r="BC185" t="s">
        <v>594</v>
      </c>
    </row>
    <row r="186" spans="1:55" x14ac:dyDescent="0.45">
      <c r="A186">
        <v>185</v>
      </c>
      <c r="C186">
        <v>65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f t="shared" si="15"/>
        <v>882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0</v>
      </c>
      <c r="AQ186">
        <v>1</v>
      </c>
      <c r="AR186">
        <v>1</v>
      </c>
      <c r="AS186">
        <v>0</v>
      </c>
      <c r="AT186">
        <f t="shared" si="13"/>
        <v>9.8000000000000007</v>
      </c>
      <c r="AU186">
        <f t="shared" si="11"/>
        <v>0</v>
      </c>
      <c r="AV186">
        <f t="shared" si="12"/>
        <v>882</v>
      </c>
      <c r="AW186">
        <v>72</v>
      </c>
      <c r="AX186">
        <v>382</v>
      </c>
      <c r="AY186">
        <v>560</v>
      </c>
      <c r="BA186">
        <v>172</v>
      </c>
      <c r="BB186" t="s">
        <v>493</v>
      </c>
      <c r="BC186" t="s">
        <v>595</v>
      </c>
    </row>
    <row r="187" spans="1:55" x14ac:dyDescent="0.45">
      <c r="A187">
        <v>186</v>
      </c>
      <c r="C187">
        <v>64.849999999999994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0.15</v>
      </c>
      <c r="R187">
        <v>0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f t="shared" si="15"/>
        <v>885.495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1</v>
      </c>
      <c r="AR187">
        <v>1</v>
      </c>
      <c r="AS187">
        <v>0</v>
      </c>
      <c r="AT187">
        <f t="shared" si="13"/>
        <v>9.8000000000000007</v>
      </c>
      <c r="AU187">
        <f t="shared" si="11"/>
        <v>0</v>
      </c>
      <c r="AV187">
        <f t="shared" si="12"/>
        <v>885.495</v>
      </c>
      <c r="AW187">
        <v>66</v>
      </c>
      <c r="AX187">
        <v>389</v>
      </c>
      <c r="AY187">
        <v>573</v>
      </c>
      <c r="BA187">
        <v>190</v>
      </c>
      <c r="BB187" t="s">
        <v>493</v>
      </c>
      <c r="BC187" t="s">
        <v>595</v>
      </c>
    </row>
    <row r="188" spans="1:55" x14ac:dyDescent="0.45">
      <c r="A188">
        <v>187</v>
      </c>
      <c r="C188">
        <v>64.650000000000006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0.35</v>
      </c>
      <c r="R188">
        <v>0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f t="shared" si="15"/>
        <v>890.15499999999997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>
        <v>1</v>
      </c>
      <c r="AR188">
        <v>1</v>
      </c>
      <c r="AS188">
        <v>0</v>
      </c>
      <c r="AT188">
        <f t="shared" si="13"/>
        <v>9.8000000000000007</v>
      </c>
      <c r="AU188">
        <f t="shared" si="11"/>
        <v>0</v>
      </c>
      <c r="AV188">
        <f t="shared" si="12"/>
        <v>890.15499999999997</v>
      </c>
      <c r="AW188">
        <v>65</v>
      </c>
      <c r="AX188">
        <v>405</v>
      </c>
      <c r="AY188">
        <v>585</v>
      </c>
      <c r="BA188">
        <v>202</v>
      </c>
      <c r="BB188" t="s">
        <v>493</v>
      </c>
      <c r="BC188" t="s">
        <v>595</v>
      </c>
    </row>
    <row r="189" spans="1:55" x14ac:dyDescent="0.45">
      <c r="A189">
        <v>188</v>
      </c>
      <c r="C189">
        <v>64.45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0.55000000000000004</v>
      </c>
      <c r="R189">
        <v>0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f t="shared" si="15"/>
        <v>894.81500000000005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  <c r="AQ189">
        <v>1</v>
      </c>
      <c r="AR189">
        <v>1</v>
      </c>
      <c r="AS189">
        <v>0</v>
      </c>
      <c r="AT189">
        <f t="shared" si="13"/>
        <v>9.8000000000000007</v>
      </c>
      <c r="AU189">
        <f t="shared" si="11"/>
        <v>0</v>
      </c>
      <c r="AV189">
        <f t="shared" si="12"/>
        <v>894.81500000000005</v>
      </c>
      <c r="AW189">
        <v>65</v>
      </c>
      <c r="AX189">
        <v>540</v>
      </c>
      <c r="AY189">
        <v>658</v>
      </c>
      <c r="BA189">
        <v>223</v>
      </c>
      <c r="BB189" t="s">
        <v>493</v>
      </c>
      <c r="BC189" t="s">
        <v>595</v>
      </c>
    </row>
    <row r="190" spans="1:55" x14ac:dyDescent="0.45">
      <c r="A190">
        <v>189</v>
      </c>
      <c r="C190">
        <v>92</v>
      </c>
      <c r="D190">
        <v>0</v>
      </c>
      <c r="E190">
        <v>0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f t="shared" si="15"/>
        <v>785.2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1</v>
      </c>
      <c r="AP190">
        <v>0</v>
      </c>
      <c r="AQ190">
        <v>0</v>
      </c>
      <c r="AR190">
        <v>1</v>
      </c>
      <c r="AS190">
        <v>0</v>
      </c>
      <c r="AT190">
        <f t="shared" si="13"/>
        <v>12.8</v>
      </c>
      <c r="AU190">
        <f t="shared" si="11"/>
        <v>0</v>
      </c>
      <c r="AV190">
        <f t="shared" si="12"/>
        <v>785.2</v>
      </c>
      <c r="AX190">
        <v>662</v>
      </c>
      <c r="AY190">
        <v>769</v>
      </c>
      <c r="BB190" t="s">
        <v>494</v>
      </c>
      <c r="BC190" t="s">
        <v>596</v>
      </c>
    </row>
    <row r="191" spans="1:55" x14ac:dyDescent="0.45">
      <c r="A191">
        <v>190</v>
      </c>
      <c r="C191">
        <v>90</v>
      </c>
      <c r="D191">
        <v>0</v>
      </c>
      <c r="E191">
        <v>0</v>
      </c>
      <c r="F191">
        <v>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f t="shared" si="15"/>
        <v>761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0</v>
      </c>
      <c r="AQ191">
        <v>0</v>
      </c>
      <c r="AR191">
        <v>1</v>
      </c>
      <c r="AS191">
        <v>0</v>
      </c>
      <c r="AT191">
        <f t="shared" si="13"/>
        <v>16</v>
      </c>
      <c r="AU191">
        <f t="shared" si="11"/>
        <v>0</v>
      </c>
      <c r="AV191">
        <f t="shared" si="12"/>
        <v>761</v>
      </c>
      <c r="AX191">
        <v>446</v>
      </c>
      <c r="AY191">
        <v>872</v>
      </c>
      <c r="BB191" t="s">
        <v>494</v>
      </c>
      <c r="BC191" t="s">
        <v>596</v>
      </c>
    </row>
    <row r="192" spans="1:55" x14ac:dyDescent="0.45">
      <c r="A192">
        <v>191</v>
      </c>
      <c r="C192">
        <v>88.5</v>
      </c>
      <c r="D192">
        <v>0</v>
      </c>
      <c r="E192">
        <v>0</v>
      </c>
      <c r="F192">
        <v>11.5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f t="shared" si="15"/>
        <v>742.85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1</v>
      </c>
      <c r="AP192">
        <v>0</v>
      </c>
      <c r="AQ192">
        <v>0</v>
      </c>
      <c r="AR192">
        <v>1</v>
      </c>
      <c r="AS192">
        <v>0</v>
      </c>
      <c r="AT192">
        <f t="shared" si="13"/>
        <v>18.400000000000002</v>
      </c>
      <c r="AU192">
        <f t="shared" si="11"/>
        <v>0</v>
      </c>
      <c r="AV192">
        <f t="shared" si="12"/>
        <v>742.85</v>
      </c>
      <c r="AX192">
        <v>791</v>
      </c>
      <c r="AY192">
        <v>858</v>
      </c>
      <c r="BB192" t="s">
        <v>494</v>
      </c>
      <c r="BC192" t="s">
        <v>596</v>
      </c>
    </row>
    <row r="193" spans="1:55" x14ac:dyDescent="0.45">
      <c r="A193">
        <v>192</v>
      </c>
      <c r="C193">
        <v>87</v>
      </c>
      <c r="D193">
        <v>0</v>
      </c>
      <c r="E193">
        <v>0</v>
      </c>
      <c r="F193">
        <v>13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f t="shared" si="15"/>
        <v>724.7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1</v>
      </c>
      <c r="AP193">
        <v>0</v>
      </c>
      <c r="AQ193">
        <v>0</v>
      </c>
      <c r="AR193">
        <v>1</v>
      </c>
      <c r="AS193">
        <v>0</v>
      </c>
      <c r="AT193">
        <f t="shared" si="13"/>
        <v>20.8</v>
      </c>
      <c r="AU193">
        <f t="shared" si="11"/>
        <v>0</v>
      </c>
      <c r="AV193">
        <f t="shared" si="12"/>
        <v>724.7</v>
      </c>
      <c r="AX193">
        <v>794</v>
      </c>
      <c r="AY193">
        <v>830</v>
      </c>
      <c r="BB193" t="s">
        <v>494</v>
      </c>
      <c r="BC193" t="s">
        <v>596</v>
      </c>
    </row>
    <row r="194" spans="1:55" x14ac:dyDescent="0.45">
      <c r="A194">
        <v>193</v>
      </c>
      <c r="C194">
        <v>85</v>
      </c>
      <c r="D194">
        <v>0</v>
      </c>
      <c r="E194">
        <v>0</v>
      </c>
      <c r="F194">
        <v>15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f t="shared" si="15"/>
        <v>700.5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f t="shared" si="13"/>
        <v>24</v>
      </c>
      <c r="AU194">
        <f t="shared" ref="AU194:AU257" si="16">D194+J194/6+M194/3+(T194+S194)/10</f>
        <v>0</v>
      </c>
      <c r="AV194">
        <f t="shared" ref="AV194:AV257" si="17">882+2.1*D194-9.5*L194+4.2*M194-6.9*J194-11.8*E194-12.1*F194-15.4*H194+23.3*Q194+123*T194</f>
        <v>700.5</v>
      </c>
      <c r="AX194">
        <v>775</v>
      </c>
      <c r="AY194">
        <v>814</v>
      </c>
      <c r="BB194" t="s">
        <v>494</v>
      </c>
      <c r="BC194" t="s">
        <v>596</v>
      </c>
    </row>
    <row r="195" spans="1:55" x14ac:dyDescent="0.45">
      <c r="A195">
        <v>194</v>
      </c>
      <c r="C195">
        <v>80</v>
      </c>
      <c r="D195">
        <v>0</v>
      </c>
      <c r="E195">
        <v>0</v>
      </c>
      <c r="F195">
        <v>20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f t="shared" si="15"/>
        <v>640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f t="shared" ref="AT195:AT258" si="18">L195+0.67*E195+0.44*P195+0.28*K195+0.22*O195+2.9*H195+1.6*F195+1.7*G195-D195</f>
        <v>32</v>
      </c>
      <c r="AU195">
        <f t="shared" si="16"/>
        <v>0</v>
      </c>
      <c r="AV195">
        <f t="shared" si="17"/>
        <v>640</v>
      </c>
      <c r="AX195">
        <v>808</v>
      </c>
      <c r="AY195">
        <v>822</v>
      </c>
      <c r="BB195" t="s">
        <v>494</v>
      </c>
      <c r="BC195" t="s">
        <v>596</v>
      </c>
    </row>
    <row r="196" spans="1:55" x14ac:dyDescent="0.45">
      <c r="A196">
        <v>195</v>
      </c>
      <c r="C196">
        <v>88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f t="shared" si="15"/>
        <v>768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1</v>
      </c>
      <c r="AS196">
        <v>0</v>
      </c>
      <c r="AT196">
        <f t="shared" si="18"/>
        <v>12</v>
      </c>
      <c r="AU196">
        <f t="shared" si="16"/>
        <v>0</v>
      </c>
      <c r="AV196">
        <f t="shared" si="17"/>
        <v>768</v>
      </c>
      <c r="AW196">
        <v>90</v>
      </c>
      <c r="AX196">
        <v>550</v>
      </c>
      <c r="AY196">
        <v>660</v>
      </c>
      <c r="BB196" t="s">
        <v>495</v>
      </c>
      <c r="BC196" t="s">
        <v>597</v>
      </c>
    </row>
    <row r="197" spans="1:55" x14ac:dyDescent="0.45">
      <c r="A197">
        <v>196</v>
      </c>
      <c r="C197">
        <v>54.72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</v>
      </c>
      <c r="K197">
        <v>30</v>
      </c>
      <c r="L197">
        <v>0</v>
      </c>
      <c r="M197">
        <v>0</v>
      </c>
      <c r="N197">
        <v>0</v>
      </c>
      <c r="O197">
        <v>10</v>
      </c>
      <c r="P197">
        <v>0</v>
      </c>
      <c r="Q197">
        <v>0</v>
      </c>
      <c r="R197">
        <v>0</v>
      </c>
      <c r="S197">
        <v>0</v>
      </c>
      <c r="T197">
        <v>0.28000000000000003</v>
      </c>
      <c r="U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f t="shared" si="15"/>
        <v>881.94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f t="shared" si="18"/>
        <v>10.600000000000001</v>
      </c>
      <c r="AU197">
        <f t="shared" si="16"/>
        <v>0.8613333333333334</v>
      </c>
      <c r="AV197">
        <f t="shared" si="17"/>
        <v>881.94</v>
      </c>
      <c r="AW197">
        <v>57.1</v>
      </c>
      <c r="AX197">
        <v>400</v>
      </c>
      <c r="AY197">
        <v>777</v>
      </c>
      <c r="BB197" t="s">
        <v>496</v>
      </c>
      <c r="BC197" t="s">
        <v>598</v>
      </c>
    </row>
    <row r="198" spans="1:55" x14ac:dyDescent="0.45">
      <c r="A198">
        <v>197</v>
      </c>
      <c r="C198">
        <v>56.65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5</v>
      </c>
      <c r="K198">
        <v>30</v>
      </c>
      <c r="L198">
        <v>0</v>
      </c>
      <c r="M198">
        <v>0</v>
      </c>
      <c r="N198">
        <v>0</v>
      </c>
      <c r="O198">
        <v>8</v>
      </c>
      <c r="P198">
        <v>0</v>
      </c>
      <c r="Q198">
        <v>0</v>
      </c>
      <c r="R198">
        <v>0</v>
      </c>
      <c r="S198">
        <v>0</v>
      </c>
      <c r="T198">
        <v>0.35</v>
      </c>
      <c r="U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f t="shared" si="15"/>
        <v>890.55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1</v>
      </c>
      <c r="AR198">
        <v>0</v>
      </c>
      <c r="AS198">
        <v>0</v>
      </c>
      <c r="AT198">
        <f t="shared" si="18"/>
        <v>10.16</v>
      </c>
      <c r="AU198">
        <f t="shared" si="16"/>
        <v>0.8683333333333334</v>
      </c>
      <c r="AV198">
        <f t="shared" si="17"/>
        <v>890.55</v>
      </c>
      <c r="AW198">
        <v>53.7</v>
      </c>
      <c r="AX198">
        <v>435</v>
      </c>
      <c r="AY198">
        <v>612</v>
      </c>
      <c r="BB198" t="s">
        <v>496</v>
      </c>
      <c r="BC198" t="s">
        <v>598</v>
      </c>
    </row>
    <row r="199" spans="1:55" x14ac:dyDescent="0.45">
      <c r="A199">
        <v>198</v>
      </c>
      <c r="C199">
        <v>83.066299999999998</v>
      </c>
      <c r="D199">
        <v>0</v>
      </c>
      <c r="E199">
        <v>0</v>
      </c>
      <c r="F199">
        <v>0</v>
      </c>
      <c r="G199">
        <v>0</v>
      </c>
      <c r="H199">
        <v>1.0638000000000001</v>
      </c>
      <c r="I199">
        <v>0</v>
      </c>
      <c r="J199">
        <v>0</v>
      </c>
      <c r="K199">
        <v>0</v>
      </c>
      <c r="L199">
        <v>8.4076000000000004</v>
      </c>
      <c r="M199">
        <v>7.4622999999999999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f t="shared" si="15"/>
        <v>817.08694000000003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f t="shared" si="18"/>
        <v>11.492620000000001</v>
      </c>
      <c r="AU199">
        <f t="shared" si="16"/>
        <v>2.4874333333333332</v>
      </c>
      <c r="AV199">
        <f t="shared" si="17"/>
        <v>817.08694000000003</v>
      </c>
      <c r="AW199">
        <v>52</v>
      </c>
      <c r="AX199">
        <v>740</v>
      </c>
      <c r="AY199">
        <v>1013</v>
      </c>
      <c r="BB199" t="s">
        <v>497</v>
      </c>
      <c r="BC199" t="s">
        <v>599</v>
      </c>
    </row>
    <row r="200" spans="1:55" x14ac:dyDescent="0.45">
      <c r="A200">
        <v>199</v>
      </c>
      <c r="C200">
        <v>8.8218999999999994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18.5823</v>
      </c>
      <c r="K200">
        <v>17.122599999999998</v>
      </c>
      <c r="L200">
        <v>18.6143</v>
      </c>
      <c r="M200">
        <v>0</v>
      </c>
      <c r="N200">
        <v>0</v>
      </c>
      <c r="O200">
        <v>36.859000000000002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f t="shared" si="18"/>
        <v>31.517608000000003</v>
      </c>
      <c r="AU200">
        <f t="shared" si="16"/>
        <v>3.0970499999999999</v>
      </c>
      <c r="AV200">
        <f t="shared" si="17"/>
        <v>576.94628000000012</v>
      </c>
      <c r="AW200">
        <v>153</v>
      </c>
      <c r="AX200">
        <v>1390</v>
      </c>
      <c r="BB200" t="s">
        <v>498</v>
      </c>
      <c r="BC200" t="s">
        <v>600</v>
      </c>
    </row>
    <row r="201" spans="1:55" x14ac:dyDescent="0.45">
      <c r="A201">
        <v>200</v>
      </c>
      <c r="C201">
        <v>70.087199999999996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6.4402999999999997</v>
      </c>
      <c r="K201">
        <v>9.8219999999999992</v>
      </c>
      <c r="L201">
        <v>13.650499999999999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f t="shared" ref="AC201:AC227" si="19">(AV201)+0</f>
        <v>707.88217999999995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f t="shared" si="18"/>
        <v>16.400659999999998</v>
      </c>
      <c r="AU201">
        <f t="shared" si="16"/>
        <v>1.0733833333333334</v>
      </c>
      <c r="AV201">
        <f t="shared" si="17"/>
        <v>707.88217999999995</v>
      </c>
      <c r="AW201">
        <v>72</v>
      </c>
      <c r="AX201">
        <v>899</v>
      </c>
      <c r="BB201" t="s">
        <v>499</v>
      </c>
      <c r="BC201" t="s">
        <v>601</v>
      </c>
    </row>
    <row r="202" spans="1:55" x14ac:dyDescent="0.45">
      <c r="A202">
        <v>201</v>
      </c>
      <c r="C202">
        <v>72.914500000000004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4.9067999999999996</v>
      </c>
      <c r="K202">
        <v>8.3118999999999996</v>
      </c>
      <c r="L202">
        <v>13.8668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f t="shared" si="19"/>
        <v>716.40848000000005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f t="shared" si="18"/>
        <v>16.194132</v>
      </c>
      <c r="AU202">
        <f t="shared" si="16"/>
        <v>0.81779999999999997</v>
      </c>
      <c r="AV202">
        <f t="shared" si="17"/>
        <v>716.40848000000005</v>
      </c>
      <c r="AW202">
        <v>69</v>
      </c>
      <c r="AX202">
        <v>947</v>
      </c>
      <c r="BB202" t="s">
        <v>499</v>
      </c>
      <c r="BC202" t="s">
        <v>601</v>
      </c>
    </row>
    <row r="203" spans="1:55" x14ac:dyDescent="0.45">
      <c r="A203">
        <v>202</v>
      </c>
      <c r="C203">
        <v>72.857699999999994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8.2940000000000005</v>
      </c>
      <c r="K203">
        <v>4.9806999999999997</v>
      </c>
      <c r="L203">
        <v>13.867599999999999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f t="shared" si="19"/>
        <v>693.02919999999995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1</v>
      </c>
      <c r="AP203">
        <v>0</v>
      </c>
      <c r="AQ203">
        <v>1</v>
      </c>
      <c r="AR203">
        <v>0</v>
      </c>
      <c r="AS203">
        <v>0</v>
      </c>
      <c r="AT203">
        <f t="shared" si="18"/>
        <v>15.262195999999999</v>
      </c>
      <c r="AU203">
        <f t="shared" si="16"/>
        <v>1.3823333333333334</v>
      </c>
      <c r="AV203">
        <f t="shared" si="17"/>
        <v>693.02919999999995</v>
      </c>
      <c r="AW203">
        <v>52</v>
      </c>
      <c r="AX203">
        <v>483</v>
      </c>
      <c r="BB203" t="s">
        <v>499</v>
      </c>
      <c r="BC203" t="s">
        <v>601</v>
      </c>
    </row>
    <row r="204" spans="1:55" x14ac:dyDescent="0.45">
      <c r="A204">
        <v>203</v>
      </c>
      <c r="C204">
        <v>64.622799999999998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35.377200000000002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f t="shared" si="19"/>
        <v>882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f t="shared" si="18"/>
        <v>9.905616000000002</v>
      </c>
      <c r="AU204">
        <f t="shared" si="16"/>
        <v>0</v>
      </c>
      <c r="AV204">
        <f t="shared" si="17"/>
        <v>882</v>
      </c>
      <c r="AW204">
        <v>73</v>
      </c>
      <c r="AX204">
        <v>405</v>
      </c>
      <c r="AY204">
        <v>694</v>
      </c>
      <c r="BA204">
        <v>181</v>
      </c>
      <c r="BB204" t="s">
        <v>500</v>
      </c>
      <c r="BC204" t="s">
        <v>602</v>
      </c>
    </row>
    <row r="205" spans="1:55" x14ac:dyDescent="0.45">
      <c r="A205">
        <v>204</v>
      </c>
      <c r="C205">
        <v>63.267800000000001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35.0852</v>
      </c>
      <c r="L205">
        <v>1.647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f t="shared" si="19"/>
        <v>866.35350000000005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f t="shared" si="18"/>
        <v>11.470856000000001</v>
      </c>
      <c r="AU205">
        <f t="shared" si="16"/>
        <v>0</v>
      </c>
      <c r="AV205">
        <f t="shared" si="17"/>
        <v>866.35350000000005</v>
      </c>
      <c r="AW205">
        <v>87</v>
      </c>
      <c r="AX205">
        <v>452</v>
      </c>
      <c r="AY205">
        <v>763</v>
      </c>
      <c r="BA205">
        <v>190</v>
      </c>
      <c r="BB205" t="s">
        <v>500</v>
      </c>
      <c r="BC205" t="s">
        <v>602</v>
      </c>
    </row>
    <row r="206" spans="1:55" x14ac:dyDescent="0.45">
      <c r="A206">
        <v>205</v>
      </c>
      <c r="C206">
        <v>63.319200000000002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1.5671999999999999</v>
      </c>
      <c r="K206">
        <v>35.113700000000001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f t="shared" si="19"/>
        <v>871.18632000000002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f t="shared" si="18"/>
        <v>9.8318360000000009</v>
      </c>
      <c r="AU206">
        <f t="shared" si="16"/>
        <v>0.26119999999999999</v>
      </c>
      <c r="AV206">
        <f t="shared" si="17"/>
        <v>871.18632000000002</v>
      </c>
      <c r="AW206">
        <v>68</v>
      </c>
      <c r="AX206">
        <v>370</v>
      </c>
      <c r="AY206">
        <v>629</v>
      </c>
      <c r="BA206">
        <v>184</v>
      </c>
      <c r="BB206" t="s">
        <v>500</v>
      </c>
      <c r="BC206" t="s">
        <v>602</v>
      </c>
    </row>
    <row r="207" spans="1:55" x14ac:dyDescent="0.45">
      <c r="A207">
        <v>206</v>
      </c>
      <c r="C207">
        <v>62.357999999999997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34.580599999999997</v>
      </c>
      <c r="L207">
        <v>0</v>
      </c>
      <c r="M207">
        <v>0</v>
      </c>
      <c r="N207">
        <v>0</v>
      </c>
      <c r="O207">
        <v>3.0613999999999999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f t="shared" si="19"/>
        <v>882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AT207">
        <f t="shared" si="18"/>
        <v>10.356076</v>
      </c>
      <c r="AU207">
        <f t="shared" si="16"/>
        <v>0</v>
      </c>
      <c r="AV207">
        <f t="shared" si="17"/>
        <v>882</v>
      </c>
      <c r="AW207">
        <v>72</v>
      </c>
      <c r="AX207">
        <v>401</v>
      </c>
      <c r="AY207">
        <v>617</v>
      </c>
      <c r="BA207">
        <v>189</v>
      </c>
      <c r="BB207" t="s">
        <v>500</v>
      </c>
      <c r="BC207" t="s">
        <v>602</v>
      </c>
    </row>
    <row r="208" spans="1:55" x14ac:dyDescent="0.45">
      <c r="A208">
        <v>207</v>
      </c>
      <c r="C208">
        <v>63.021599999999999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34.948599999999999</v>
      </c>
      <c r="L208">
        <v>0</v>
      </c>
      <c r="M208">
        <v>2.0297999999999998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f t="shared" si="19"/>
        <v>890.52516000000003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0</v>
      </c>
      <c r="AQ208">
        <v>1</v>
      </c>
      <c r="AR208">
        <v>0</v>
      </c>
      <c r="AS208">
        <v>0</v>
      </c>
      <c r="AT208">
        <f t="shared" si="18"/>
        <v>9.7856079999999999</v>
      </c>
      <c r="AU208">
        <f t="shared" si="16"/>
        <v>0.67659999999999998</v>
      </c>
      <c r="AV208">
        <f t="shared" si="17"/>
        <v>890.52516000000003</v>
      </c>
      <c r="AW208">
        <v>65</v>
      </c>
      <c r="AX208">
        <v>503</v>
      </c>
      <c r="AY208">
        <v>633</v>
      </c>
      <c r="BA208">
        <v>203</v>
      </c>
      <c r="BB208" t="s">
        <v>500</v>
      </c>
      <c r="BC208" t="s">
        <v>602</v>
      </c>
    </row>
    <row r="209" spans="1:55" x14ac:dyDescent="0.45">
      <c r="A209">
        <v>208</v>
      </c>
      <c r="C209">
        <v>64.013499999999993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35.498699999999999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0.48780000000000001</v>
      </c>
      <c r="R209">
        <v>0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f t="shared" si="19"/>
        <v>893.36573999999996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1</v>
      </c>
      <c r="AR209">
        <v>0</v>
      </c>
      <c r="AS209">
        <v>0</v>
      </c>
      <c r="AT209">
        <f t="shared" si="18"/>
        <v>9.9396360000000001</v>
      </c>
      <c r="AU209">
        <f t="shared" si="16"/>
        <v>0</v>
      </c>
      <c r="AV209">
        <f t="shared" si="17"/>
        <v>893.36573999999996</v>
      </c>
      <c r="AW209">
        <v>69</v>
      </c>
      <c r="AX209">
        <v>540</v>
      </c>
      <c r="AY209">
        <v>634</v>
      </c>
      <c r="BA209">
        <v>204</v>
      </c>
      <c r="BB209" t="s">
        <v>500</v>
      </c>
      <c r="BC209" t="s">
        <v>602</v>
      </c>
    </row>
    <row r="210" spans="1:55" x14ac:dyDescent="0.45">
      <c r="A210">
        <v>209</v>
      </c>
      <c r="C210">
        <v>63.706400000000002</v>
      </c>
      <c r="D210">
        <v>0</v>
      </c>
      <c r="E210">
        <v>0</v>
      </c>
      <c r="F210">
        <v>0</v>
      </c>
      <c r="G210">
        <v>0</v>
      </c>
      <c r="H210">
        <v>0.96519999999999995</v>
      </c>
      <c r="I210">
        <v>0</v>
      </c>
      <c r="J210">
        <v>0</v>
      </c>
      <c r="K210">
        <v>35.328400000000002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f t="shared" si="19"/>
        <v>867.13592000000006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1</v>
      </c>
      <c r="AR210">
        <v>0</v>
      </c>
      <c r="AS210">
        <v>0</v>
      </c>
      <c r="AT210">
        <f t="shared" si="18"/>
        <v>12.691032000000002</v>
      </c>
      <c r="AU210">
        <f t="shared" si="16"/>
        <v>0</v>
      </c>
      <c r="AV210">
        <f t="shared" si="17"/>
        <v>867.13592000000006</v>
      </c>
      <c r="AW210">
        <v>79</v>
      </c>
      <c r="AX210">
        <v>600</v>
      </c>
      <c r="AY210">
        <v>820</v>
      </c>
      <c r="BA210">
        <v>250</v>
      </c>
      <c r="BB210" t="s">
        <v>500</v>
      </c>
      <c r="BC210" t="s">
        <v>602</v>
      </c>
    </row>
    <row r="211" spans="1:55" x14ac:dyDescent="0.45">
      <c r="A211">
        <v>210</v>
      </c>
      <c r="C211">
        <v>61.999200000000002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38.000799999999998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f t="shared" si="19"/>
        <v>882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f t="shared" si="18"/>
        <v>10.640224</v>
      </c>
      <c r="AU211">
        <f t="shared" si="16"/>
        <v>0</v>
      </c>
      <c r="AV211">
        <f t="shared" si="17"/>
        <v>882</v>
      </c>
      <c r="AW211">
        <v>56</v>
      </c>
      <c r="AX211">
        <v>202</v>
      </c>
      <c r="AY211">
        <v>409</v>
      </c>
      <c r="BB211" t="s">
        <v>501</v>
      </c>
      <c r="BC211" t="s">
        <v>603</v>
      </c>
    </row>
    <row r="212" spans="1:55" x14ac:dyDescent="0.45">
      <c r="A212">
        <v>211</v>
      </c>
      <c r="C212">
        <v>59.488500000000002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3.0640000000000001</v>
      </c>
      <c r="K212">
        <v>37.447400000000002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f t="shared" si="19"/>
        <v>860.85839999999996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f t="shared" si="18"/>
        <v>10.485272000000002</v>
      </c>
      <c r="AU212">
        <f t="shared" si="16"/>
        <v>0.51066666666666671</v>
      </c>
      <c r="AV212">
        <f t="shared" si="17"/>
        <v>860.85839999999996</v>
      </c>
      <c r="AW212">
        <v>59</v>
      </c>
      <c r="AX212">
        <v>249</v>
      </c>
      <c r="AY212">
        <v>487</v>
      </c>
      <c r="BB212" t="s">
        <v>501</v>
      </c>
      <c r="BC212" t="s">
        <v>603</v>
      </c>
    </row>
    <row r="213" spans="1:55" x14ac:dyDescent="0.45">
      <c r="A213">
        <v>212</v>
      </c>
      <c r="C213">
        <v>57.06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6.0403000000000002</v>
      </c>
      <c r="K213">
        <v>36.9099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f t="shared" si="19"/>
        <v>840.32192999999995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f t="shared" si="18"/>
        <v>10.334772000000001</v>
      </c>
      <c r="AU213">
        <f t="shared" si="16"/>
        <v>1.0067166666666667</v>
      </c>
      <c r="AV213">
        <f t="shared" si="17"/>
        <v>840.32192999999995</v>
      </c>
      <c r="AW213">
        <v>60</v>
      </c>
      <c r="AX213">
        <v>417</v>
      </c>
      <c r="AY213">
        <v>542</v>
      </c>
      <c r="BB213" t="s">
        <v>501</v>
      </c>
      <c r="BC213" t="s">
        <v>603</v>
      </c>
    </row>
    <row r="214" spans="1:55" x14ac:dyDescent="0.45">
      <c r="A214">
        <v>213</v>
      </c>
      <c r="C214">
        <v>59.250900000000001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3.0394999999999999</v>
      </c>
      <c r="K214">
        <v>35.599400000000003</v>
      </c>
      <c r="L214">
        <v>0</v>
      </c>
      <c r="M214">
        <v>0</v>
      </c>
      <c r="N214">
        <v>0</v>
      </c>
      <c r="O214">
        <v>2.1101999999999999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f t="shared" si="19"/>
        <v>861.02745000000004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1</v>
      </c>
      <c r="AP214">
        <v>0</v>
      </c>
      <c r="AQ214">
        <v>1</v>
      </c>
      <c r="AR214">
        <v>0</v>
      </c>
      <c r="AS214">
        <v>0</v>
      </c>
      <c r="AT214">
        <f t="shared" si="18"/>
        <v>10.432076000000002</v>
      </c>
      <c r="AU214">
        <f t="shared" si="16"/>
        <v>0.50658333333333327</v>
      </c>
      <c r="AV214">
        <f t="shared" si="17"/>
        <v>861.02745000000004</v>
      </c>
      <c r="AW214">
        <v>55</v>
      </c>
      <c r="AX214">
        <v>280</v>
      </c>
      <c r="AY214">
        <v>400</v>
      </c>
      <c r="BB214" t="s">
        <v>502</v>
      </c>
      <c r="BC214" t="s">
        <v>604</v>
      </c>
    </row>
    <row r="215" spans="1:55" x14ac:dyDescent="0.45">
      <c r="A215">
        <v>214</v>
      </c>
      <c r="C215">
        <v>59.250900000000001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3.0394999999999999</v>
      </c>
      <c r="K215">
        <v>35.599400000000003</v>
      </c>
      <c r="L215">
        <v>0</v>
      </c>
      <c r="M215">
        <v>0</v>
      </c>
      <c r="N215">
        <v>0</v>
      </c>
      <c r="O215">
        <v>2.1101999999999999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f t="shared" si="19"/>
        <v>861.02745000000004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f t="shared" si="18"/>
        <v>10.432076000000002</v>
      </c>
      <c r="AU215">
        <f t="shared" si="16"/>
        <v>0.50658333333333327</v>
      </c>
      <c r="AV215">
        <f t="shared" si="17"/>
        <v>861.02745000000004</v>
      </c>
      <c r="AW215">
        <v>60</v>
      </c>
      <c r="AX215">
        <v>830</v>
      </c>
      <c r="AY215">
        <v>880</v>
      </c>
      <c r="BB215" t="s">
        <v>502</v>
      </c>
      <c r="BC215" t="s">
        <v>604</v>
      </c>
    </row>
    <row r="216" spans="1:55" x14ac:dyDescent="0.45">
      <c r="A216">
        <v>215</v>
      </c>
      <c r="C216">
        <v>47.470999999999997</v>
      </c>
      <c r="D216">
        <v>0</v>
      </c>
      <c r="E216">
        <v>2.1650999999999998</v>
      </c>
      <c r="F216">
        <v>0</v>
      </c>
      <c r="G216">
        <v>0</v>
      </c>
      <c r="H216">
        <v>0</v>
      </c>
      <c r="I216">
        <v>0</v>
      </c>
      <c r="J216">
        <v>7.7545000000000002</v>
      </c>
      <c r="K216">
        <v>11.846299999999999</v>
      </c>
      <c r="L216">
        <v>0</v>
      </c>
      <c r="M216">
        <v>0</v>
      </c>
      <c r="N216">
        <v>0</v>
      </c>
      <c r="O216">
        <v>30.763000000000002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f t="shared" si="19"/>
        <v>802.94577000000004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f t="shared" si="18"/>
        <v>11.535441</v>
      </c>
      <c r="AU216">
        <f t="shared" si="16"/>
        <v>1.2924166666666668</v>
      </c>
      <c r="AV216">
        <f t="shared" si="17"/>
        <v>802.94577000000004</v>
      </c>
      <c r="AW216">
        <v>71.2</v>
      </c>
      <c r="AX216">
        <v>849</v>
      </c>
      <c r="BB216" t="s">
        <v>503</v>
      </c>
      <c r="BC216" t="s">
        <v>605</v>
      </c>
    </row>
    <row r="217" spans="1:55" x14ac:dyDescent="0.45">
      <c r="A217">
        <v>216</v>
      </c>
      <c r="C217">
        <v>94</v>
      </c>
      <c r="D217">
        <v>2</v>
      </c>
      <c r="E217">
        <v>0</v>
      </c>
      <c r="F217">
        <v>0</v>
      </c>
      <c r="G217">
        <v>0</v>
      </c>
      <c r="H217">
        <v>2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f t="shared" si="19"/>
        <v>836.40000000000009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1</v>
      </c>
      <c r="AP217">
        <v>0</v>
      </c>
      <c r="AQ217">
        <v>0</v>
      </c>
      <c r="AR217">
        <v>1</v>
      </c>
      <c r="AS217">
        <v>0</v>
      </c>
      <c r="AT217">
        <f t="shared" si="18"/>
        <v>5.8</v>
      </c>
      <c r="AU217">
        <f t="shared" si="16"/>
        <v>2</v>
      </c>
      <c r="AV217">
        <f t="shared" si="17"/>
        <v>836.40000000000009</v>
      </c>
      <c r="AX217">
        <v>670</v>
      </c>
      <c r="BA217">
        <v>300</v>
      </c>
      <c r="BB217" t="s">
        <v>504</v>
      </c>
      <c r="BC217" t="s">
        <v>606</v>
      </c>
    </row>
    <row r="218" spans="1:55" x14ac:dyDescent="0.45">
      <c r="A218">
        <v>217</v>
      </c>
      <c r="C218">
        <v>91</v>
      </c>
      <c r="D218">
        <v>0</v>
      </c>
      <c r="E218">
        <v>0</v>
      </c>
      <c r="F218">
        <v>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f t="shared" si="19"/>
        <v>822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f t="shared" si="18"/>
        <v>9.6000000000000014</v>
      </c>
      <c r="AU218">
        <f t="shared" si="16"/>
        <v>1</v>
      </c>
      <c r="AV218">
        <f t="shared" si="17"/>
        <v>822</v>
      </c>
      <c r="AX218">
        <v>294</v>
      </c>
      <c r="AY218">
        <v>585</v>
      </c>
      <c r="BA218">
        <v>260</v>
      </c>
      <c r="BB218" t="s">
        <v>505</v>
      </c>
      <c r="BC218" t="s">
        <v>607</v>
      </c>
    </row>
    <row r="219" spans="1:55" x14ac:dyDescent="0.45">
      <c r="A219">
        <v>218</v>
      </c>
      <c r="C219">
        <v>90</v>
      </c>
      <c r="D219">
        <v>0</v>
      </c>
      <c r="E219">
        <v>0</v>
      </c>
      <c r="F219">
        <v>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f t="shared" si="19"/>
        <v>809.9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f t="shared" si="18"/>
        <v>11.200000000000001</v>
      </c>
      <c r="AU219">
        <f t="shared" si="16"/>
        <v>1</v>
      </c>
      <c r="AV219">
        <f t="shared" si="17"/>
        <v>809.9</v>
      </c>
      <c r="AX219">
        <v>390</v>
      </c>
      <c r="AY219">
        <v>639</v>
      </c>
      <c r="BA219">
        <v>270</v>
      </c>
      <c r="BB219" t="s">
        <v>505</v>
      </c>
      <c r="BC219" t="s">
        <v>607</v>
      </c>
    </row>
    <row r="220" spans="1:55" x14ac:dyDescent="0.45">
      <c r="A220">
        <v>219</v>
      </c>
      <c r="C220">
        <v>89</v>
      </c>
      <c r="D220">
        <v>0</v>
      </c>
      <c r="E220">
        <v>0</v>
      </c>
      <c r="F220">
        <v>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f t="shared" si="19"/>
        <v>797.80000000000007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f t="shared" si="18"/>
        <v>12.8</v>
      </c>
      <c r="AU220">
        <f t="shared" si="16"/>
        <v>1</v>
      </c>
      <c r="AV220">
        <f t="shared" si="17"/>
        <v>797.80000000000007</v>
      </c>
      <c r="AX220">
        <v>439</v>
      </c>
      <c r="AY220">
        <v>620</v>
      </c>
      <c r="BA220">
        <v>272</v>
      </c>
      <c r="BB220" t="s">
        <v>505</v>
      </c>
      <c r="BC220" t="s">
        <v>607</v>
      </c>
    </row>
    <row r="221" spans="1:55" x14ac:dyDescent="0.45">
      <c r="A221">
        <v>220</v>
      </c>
      <c r="C221">
        <v>88</v>
      </c>
      <c r="D221">
        <v>0</v>
      </c>
      <c r="E221">
        <v>0</v>
      </c>
      <c r="F221">
        <v>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f t="shared" si="19"/>
        <v>785.7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f t="shared" si="18"/>
        <v>14.4</v>
      </c>
      <c r="AU221">
        <f t="shared" si="16"/>
        <v>1</v>
      </c>
      <c r="AV221">
        <f t="shared" si="17"/>
        <v>785.7</v>
      </c>
      <c r="AX221">
        <v>420</v>
      </c>
      <c r="AY221">
        <v>622</v>
      </c>
      <c r="BA221">
        <v>275</v>
      </c>
      <c r="BB221" t="s">
        <v>505</v>
      </c>
      <c r="BC221" t="s">
        <v>607</v>
      </c>
    </row>
    <row r="222" spans="1:55" x14ac:dyDescent="0.45">
      <c r="A222">
        <v>221</v>
      </c>
      <c r="C222">
        <v>90</v>
      </c>
      <c r="D222">
        <v>0</v>
      </c>
      <c r="E222">
        <v>0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f t="shared" si="19"/>
        <v>779.2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0</v>
      </c>
      <c r="AT222">
        <f t="shared" si="18"/>
        <v>11.8</v>
      </c>
      <c r="AU222">
        <f t="shared" si="16"/>
        <v>0</v>
      </c>
      <c r="AV222">
        <f t="shared" si="17"/>
        <v>779.2</v>
      </c>
      <c r="AX222">
        <v>563</v>
      </c>
      <c r="AY222">
        <v>887</v>
      </c>
      <c r="BB222" t="s">
        <v>250</v>
      </c>
      <c r="BC222" t="s">
        <v>608</v>
      </c>
    </row>
    <row r="223" spans="1:55" x14ac:dyDescent="0.45">
      <c r="A223">
        <v>222</v>
      </c>
      <c r="C223">
        <v>90</v>
      </c>
      <c r="D223">
        <v>0</v>
      </c>
      <c r="E223">
        <v>0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f t="shared" si="19"/>
        <v>779.2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1</v>
      </c>
      <c r="AP223">
        <v>0</v>
      </c>
      <c r="AQ223">
        <v>0</v>
      </c>
      <c r="AR223">
        <v>1</v>
      </c>
      <c r="AS223">
        <v>0</v>
      </c>
      <c r="AT223">
        <f t="shared" si="18"/>
        <v>11.8</v>
      </c>
      <c r="AU223">
        <f t="shared" si="16"/>
        <v>0</v>
      </c>
      <c r="AV223">
        <f t="shared" si="17"/>
        <v>779.2</v>
      </c>
      <c r="AX223">
        <v>961</v>
      </c>
      <c r="AY223">
        <v>961</v>
      </c>
      <c r="BB223" t="s">
        <v>250</v>
      </c>
      <c r="BC223" t="s">
        <v>608</v>
      </c>
    </row>
    <row r="224" spans="1:55" x14ac:dyDescent="0.45">
      <c r="A224">
        <v>223</v>
      </c>
      <c r="C224">
        <v>89</v>
      </c>
      <c r="D224">
        <v>0</v>
      </c>
      <c r="E224">
        <v>0</v>
      </c>
      <c r="F224">
        <v>3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f t="shared" si="19"/>
        <v>763.80000000000007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1</v>
      </c>
      <c r="AP224">
        <v>0</v>
      </c>
      <c r="AQ224">
        <v>0</v>
      </c>
      <c r="AR224">
        <v>1</v>
      </c>
      <c r="AS224">
        <v>0</v>
      </c>
      <c r="AT224">
        <f t="shared" si="18"/>
        <v>14.700000000000001</v>
      </c>
      <c r="AU224">
        <f t="shared" si="16"/>
        <v>0</v>
      </c>
      <c r="AV224">
        <f t="shared" si="17"/>
        <v>763.80000000000007</v>
      </c>
      <c r="AX224">
        <v>648</v>
      </c>
      <c r="AY224">
        <v>924</v>
      </c>
      <c r="BB224" t="s">
        <v>250</v>
      </c>
      <c r="BC224" t="s">
        <v>608</v>
      </c>
    </row>
    <row r="225" spans="1:55" x14ac:dyDescent="0.45">
      <c r="A225">
        <v>224</v>
      </c>
      <c r="C225">
        <v>89</v>
      </c>
      <c r="D225">
        <v>0</v>
      </c>
      <c r="E225">
        <v>0</v>
      </c>
      <c r="F225">
        <v>3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f t="shared" si="19"/>
        <v>763.80000000000007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0</v>
      </c>
      <c r="AQ225">
        <v>0</v>
      </c>
      <c r="AR225">
        <v>1</v>
      </c>
      <c r="AS225">
        <v>0</v>
      </c>
      <c r="AT225">
        <f t="shared" si="18"/>
        <v>14.700000000000001</v>
      </c>
      <c r="AU225">
        <f t="shared" si="16"/>
        <v>0</v>
      </c>
      <c r="AV225">
        <f t="shared" si="17"/>
        <v>763.80000000000007</v>
      </c>
      <c r="AX225">
        <v>1210</v>
      </c>
      <c r="AY225">
        <v>1245</v>
      </c>
      <c r="BB225" t="s">
        <v>250</v>
      </c>
      <c r="BC225" t="s">
        <v>608</v>
      </c>
    </row>
    <row r="226" spans="1:55" x14ac:dyDescent="0.45">
      <c r="A226">
        <v>225</v>
      </c>
      <c r="C226">
        <v>57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8</v>
      </c>
      <c r="K226">
        <v>34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f t="shared" si="19"/>
        <v>811.4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f t="shared" si="18"/>
        <v>12.420000000000002</v>
      </c>
      <c r="AU226">
        <f t="shared" si="16"/>
        <v>1.3333333333333333</v>
      </c>
      <c r="AV226">
        <f t="shared" si="17"/>
        <v>811.4</v>
      </c>
      <c r="AW226">
        <v>49</v>
      </c>
      <c r="AX226">
        <v>552</v>
      </c>
      <c r="AY226">
        <v>760</v>
      </c>
      <c r="BB226" t="s">
        <v>506</v>
      </c>
      <c r="BC226" t="s">
        <v>609</v>
      </c>
    </row>
    <row r="227" spans="1:55" x14ac:dyDescent="0.45">
      <c r="A227">
        <v>226</v>
      </c>
      <c r="C227">
        <v>88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f t="shared" si="19"/>
        <v>768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1</v>
      </c>
      <c r="AP227">
        <v>0</v>
      </c>
      <c r="AQ227">
        <v>0</v>
      </c>
      <c r="AR227">
        <v>1</v>
      </c>
      <c r="AS227">
        <v>0</v>
      </c>
      <c r="AT227">
        <f t="shared" si="18"/>
        <v>12</v>
      </c>
      <c r="AU227">
        <f t="shared" si="16"/>
        <v>0</v>
      </c>
      <c r="AV227">
        <f t="shared" si="17"/>
        <v>768</v>
      </c>
      <c r="AW227">
        <v>84</v>
      </c>
      <c r="AX227">
        <v>480</v>
      </c>
      <c r="AY227">
        <v>974</v>
      </c>
      <c r="BB227" t="s">
        <v>507</v>
      </c>
      <c r="BC227" t="s">
        <v>610</v>
      </c>
    </row>
    <row r="228" spans="1:55" x14ac:dyDescent="0.45">
      <c r="A228">
        <v>227</v>
      </c>
      <c r="C228">
        <v>24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13</v>
      </c>
      <c r="K228">
        <v>0</v>
      </c>
      <c r="L228">
        <v>0</v>
      </c>
      <c r="M228">
        <v>0</v>
      </c>
      <c r="N228">
        <v>26</v>
      </c>
      <c r="O228">
        <v>37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0</v>
      </c>
      <c r="AQ228">
        <v>0</v>
      </c>
      <c r="AR228">
        <v>1</v>
      </c>
      <c r="AS228">
        <v>0</v>
      </c>
      <c r="AT228">
        <f t="shared" si="18"/>
        <v>8.14</v>
      </c>
      <c r="AU228">
        <f t="shared" si="16"/>
        <v>2.1666666666666665</v>
      </c>
      <c r="AV228">
        <f t="shared" si="17"/>
        <v>792.3</v>
      </c>
      <c r="AW228">
        <v>79</v>
      </c>
      <c r="AX228">
        <v>1001</v>
      </c>
      <c r="AY228">
        <v>1001</v>
      </c>
      <c r="BA228">
        <v>381</v>
      </c>
      <c r="BB228" t="s">
        <v>508</v>
      </c>
      <c r="BC228" t="s">
        <v>611</v>
      </c>
    </row>
    <row r="229" spans="1:55" x14ac:dyDescent="0.45">
      <c r="A229">
        <v>228</v>
      </c>
      <c r="C229">
        <v>26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12</v>
      </c>
      <c r="K229">
        <v>0</v>
      </c>
      <c r="L229">
        <v>0</v>
      </c>
      <c r="M229">
        <v>0</v>
      </c>
      <c r="N229">
        <v>22</v>
      </c>
      <c r="O229">
        <v>40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0</v>
      </c>
      <c r="AQ229">
        <v>0</v>
      </c>
      <c r="AR229">
        <v>1</v>
      </c>
      <c r="AS229">
        <v>0</v>
      </c>
      <c r="AT229">
        <f t="shared" si="18"/>
        <v>8.8000000000000007</v>
      </c>
      <c r="AU229">
        <f t="shared" si="16"/>
        <v>2</v>
      </c>
      <c r="AV229">
        <f t="shared" si="17"/>
        <v>799.2</v>
      </c>
      <c r="AW229">
        <v>72</v>
      </c>
      <c r="AX229">
        <v>1132</v>
      </c>
      <c r="AY229">
        <v>1160</v>
      </c>
      <c r="BA229">
        <v>375</v>
      </c>
      <c r="BB229" t="s">
        <v>508</v>
      </c>
      <c r="BC229" t="s">
        <v>611</v>
      </c>
    </row>
    <row r="230" spans="1:55" x14ac:dyDescent="0.45">
      <c r="A230">
        <v>229</v>
      </c>
      <c r="C230">
        <v>27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10</v>
      </c>
      <c r="K230">
        <v>0</v>
      </c>
      <c r="L230">
        <v>0</v>
      </c>
      <c r="M230">
        <v>0</v>
      </c>
      <c r="N230">
        <v>18</v>
      </c>
      <c r="O230">
        <v>45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f t="shared" si="18"/>
        <v>9.9</v>
      </c>
      <c r="AU230">
        <f t="shared" si="16"/>
        <v>1.6666666666666667</v>
      </c>
      <c r="AV230">
        <f t="shared" si="17"/>
        <v>813</v>
      </c>
      <c r="AW230">
        <v>77</v>
      </c>
      <c r="AX230">
        <v>1114</v>
      </c>
      <c r="AY230">
        <v>1173</v>
      </c>
      <c r="BA230">
        <v>360</v>
      </c>
      <c r="BB230" t="s">
        <v>508</v>
      </c>
      <c r="BC230" t="s">
        <v>611</v>
      </c>
    </row>
    <row r="231" spans="1:55" x14ac:dyDescent="0.45">
      <c r="A231">
        <v>230</v>
      </c>
      <c r="C231">
        <v>85</v>
      </c>
      <c r="D231">
        <v>3</v>
      </c>
      <c r="E231">
        <v>10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f>(AV231)+0</f>
        <v>739.5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1</v>
      </c>
      <c r="AP231">
        <v>1</v>
      </c>
      <c r="AQ231">
        <v>1</v>
      </c>
      <c r="AR231">
        <v>0</v>
      </c>
      <c r="AS231">
        <v>0</v>
      </c>
      <c r="AT231">
        <f t="shared" si="18"/>
        <v>9.5</v>
      </c>
      <c r="AU231">
        <f t="shared" si="16"/>
        <v>3</v>
      </c>
      <c r="AV231">
        <f t="shared" si="17"/>
        <v>739.5</v>
      </c>
      <c r="AX231">
        <v>1050</v>
      </c>
      <c r="AY231">
        <v>1300</v>
      </c>
      <c r="BB231" t="s">
        <v>509</v>
      </c>
      <c r="BC231" t="s">
        <v>612</v>
      </c>
    </row>
    <row r="232" spans="1:55" x14ac:dyDescent="0.45">
      <c r="A232">
        <v>231</v>
      </c>
      <c r="C232">
        <v>85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9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f>(AV232)+0</f>
        <v>796.5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f t="shared" si="18"/>
        <v>11.64</v>
      </c>
      <c r="AU232">
        <f t="shared" si="16"/>
        <v>0</v>
      </c>
      <c r="AV232">
        <f t="shared" si="17"/>
        <v>796.5</v>
      </c>
      <c r="AX232">
        <v>692</v>
      </c>
      <c r="AY232">
        <v>1115</v>
      </c>
      <c r="BB232" t="s">
        <v>510</v>
      </c>
      <c r="BC232" t="s">
        <v>613</v>
      </c>
    </row>
    <row r="233" spans="1:55" x14ac:dyDescent="0.45">
      <c r="A233">
        <v>232</v>
      </c>
      <c r="C233">
        <v>88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f>(AV233)+0</f>
        <v>768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1</v>
      </c>
      <c r="AP233">
        <v>0</v>
      </c>
      <c r="AQ233">
        <v>0</v>
      </c>
      <c r="AR233">
        <v>1</v>
      </c>
      <c r="AS233">
        <v>0</v>
      </c>
      <c r="AT233">
        <f t="shared" si="18"/>
        <v>12</v>
      </c>
      <c r="AU233">
        <f t="shared" si="16"/>
        <v>0</v>
      </c>
      <c r="AV233">
        <f t="shared" si="17"/>
        <v>768</v>
      </c>
      <c r="AX233">
        <v>400</v>
      </c>
      <c r="AY233">
        <v>550</v>
      </c>
      <c r="BB233" t="s">
        <v>511</v>
      </c>
      <c r="BC233" t="s">
        <v>614</v>
      </c>
    </row>
    <row r="234" spans="1:55" x14ac:dyDescent="0.45">
      <c r="A234">
        <v>233</v>
      </c>
      <c r="C234">
        <v>95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f t="shared" si="18"/>
        <v>0</v>
      </c>
      <c r="AU234">
        <f t="shared" si="16"/>
        <v>0</v>
      </c>
      <c r="AV234">
        <f t="shared" si="17"/>
        <v>882</v>
      </c>
      <c r="AW234">
        <v>115</v>
      </c>
      <c r="AX234">
        <v>791</v>
      </c>
      <c r="AY234">
        <v>890</v>
      </c>
      <c r="BA234">
        <v>318</v>
      </c>
      <c r="BB234" t="s">
        <v>512</v>
      </c>
      <c r="BC234" t="s">
        <v>615</v>
      </c>
    </row>
    <row r="235" spans="1:55" x14ac:dyDescent="0.45">
      <c r="A235">
        <v>234</v>
      </c>
      <c r="C235">
        <v>95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f>(AV235)+0</f>
        <v>882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f t="shared" si="18"/>
        <v>0</v>
      </c>
      <c r="AU235">
        <f t="shared" si="16"/>
        <v>0</v>
      </c>
      <c r="AV235">
        <f t="shared" si="17"/>
        <v>882</v>
      </c>
      <c r="AW235">
        <v>120</v>
      </c>
      <c r="AX235">
        <v>592</v>
      </c>
      <c r="AY235">
        <v>648</v>
      </c>
      <c r="BA235">
        <v>239</v>
      </c>
      <c r="BB235" t="s">
        <v>512</v>
      </c>
      <c r="BC235" t="s">
        <v>615</v>
      </c>
    </row>
    <row r="236" spans="1:55" x14ac:dyDescent="0.45">
      <c r="A236">
        <v>235</v>
      </c>
      <c r="C236">
        <v>93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f t="shared" si="18"/>
        <v>0</v>
      </c>
      <c r="AU236">
        <f t="shared" si="16"/>
        <v>0</v>
      </c>
      <c r="AV236">
        <f t="shared" si="17"/>
        <v>882</v>
      </c>
      <c r="AW236">
        <v>118</v>
      </c>
      <c r="AX236">
        <v>863</v>
      </c>
      <c r="AY236">
        <v>895</v>
      </c>
      <c r="BA236">
        <v>333</v>
      </c>
      <c r="BB236" t="s">
        <v>512</v>
      </c>
      <c r="BC236" t="s">
        <v>615</v>
      </c>
    </row>
    <row r="237" spans="1:55" x14ac:dyDescent="0.45">
      <c r="A237">
        <v>236</v>
      </c>
      <c r="C237">
        <v>93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f>(AV237)+0</f>
        <v>882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f t="shared" si="18"/>
        <v>0</v>
      </c>
      <c r="AU237">
        <f t="shared" si="16"/>
        <v>0</v>
      </c>
      <c r="AV237">
        <f t="shared" si="17"/>
        <v>882</v>
      </c>
      <c r="AW237">
        <v>112</v>
      </c>
      <c r="AX237">
        <v>522</v>
      </c>
      <c r="AY237">
        <v>660</v>
      </c>
      <c r="BA237">
        <v>224</v>
      </c>
      <c r="BB237" t="s">
        <v>512</v>
      </c>
      <c r="BC237" t="s">
        <v>615</v>
      </c>
    </row>
    <row r="238" spans="1:55" x14ac:dyDescent="0.45">
      <c r="A238">
        <v>237</v>
      </c>
      <c r="C238">
        <v>85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f t="shared" si="18"/>
        <v>0</v>
      </c>
      <c r="AU238">
        <f t="shared" si="16"/>
        <v>0</v>
      </c>
      <c r="AV238">
        <f t="shared" si="17"/>
        <v>882</v>
      </c>
      <c r="AW238">
        <v>120</v>
      </c>
      <c r="AX238">
        <v>666</v>
      </c>
      <c r="AY238">
        <v>666</v>
      </c>
      <c r="BA238">
        <v>382</v>
      </c>
      <c r="BB238" t="s">
        <v>512</v>
      </c>
      <c r="BC238" t="s">
        <v>615</v>
      </c>
    </row>
    <row r="239" spans="1:55" x14ac:dyDescent="0.45">
      <c r="A239">
        <v>238</v>
      </c>
      <c r="C239">
        <v>85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f t="shared" ref="AC239:AC246" si="20">(AV239)+0</f>
        <v>882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f t="shared" si="18"/>
        <v>0</v>
      </c>
      <c r="AU239">
        <f t="shared" si="16"/>
        <v>0</v>
      </c>
      <c r="AV239">
        <f t="shared" si="17"/>
        <v>882</v>
      </c>
      <c r="AW239">
        <v>121</v>
      </c>
      <c r="AX239">
        <v>541</v>
      </c>
      <c r="AY239">
        <v>676</v>
      </c>
      <c r="BA239">
        <v>224</v>
      </c>
      <c r="BB239" t="s">
        <v>512</v>
      </c>
      <c r="BC239" t="s">
        <v>615</v>
      </c>
    </row>
    <row r="240" spans="1:55" x14ac:dyDescent="0.45">
      <c r="A240">
        <v>239</v>
      </c>
      <c r="C240">
        <v>85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f t="shared" si="20"/>
        <v>739.5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1</v>
      </c>
      <c r="AP240">
        <v>0</v>
      </c>
      <c r="AQ240">
        <v>0</v>
      </c>
      <c r="AR240">
        <v>1</v>
      </c>
      <c r="AS240">
        <v>0</v>
      </c>
      <c r="AT240">
        <f t="shared" si="18"/>
        <v>15</v>
      </c>
      <c r="AU240">
        <f t="shared" si="16"/>
        <v>0</v>
      </c>
      <c r="AV240">
        <f t="shared" si="17"/>
        <v>739.5</v>
      </c>
      <c r="AX240">
        <v>439</v>
      </c>
      <c r="AY240">
        <v>714</v>
      </c>
      <c r="BB240" t="s">
        <v>513</v>
      </c>
      <c r="BC240" t="s">
        <v>616</v>
      </c>
    </row>
    <row r="241" spans="1:55" x14ac:dyDescent="0.45">
      <c r="A241">
        <v>240</v>
      </c>
      <c r="C241">
        <v>84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f t="shared" si="20"/>
        <v>724.1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1</v>
      </c>
      <c r="AP241">
        <v>0</v>
      </c>
      <c r="AQ241">
        <v>0</v>
      </c>
      <c r="AR241">
        <v>1</v>
      </c>
      <c r="AS241">
        <v>0</v>
      </c>
      <c r="AT241">
        <f t="shared" si="18"/>
        <v>17.899999999999999</v>
      </c>
      <c r="AU241">
        <f t="shared" si="16"/>
        <v>0</v>
      </c>
      <c r="AV241">
        <f t="shared" si="17"/>
        <v>724.1</v>
      </c>
      <c r="AX241">
        <v>837</v>
      </c>
      <c r="AY241">
        <v>837</v>
      </c>
      <c r="BB241" t="s">
        <v>513</v>
      </c>
      <c r="BC241" t="s">
        <v>616</v>
      </c>
    </row>
    <row r="242" spans="1:55" x14ac:dyDescent="0.45">
      <c r="A242">
        <v>241</v>
      </c>
      <c r="C242">
        <v>80</v>
      </c>
      <c r="D242">
        <v>4</v>
      </c>
      <c r="E242">
        <v>5</v>
      </c>
      <c r="F242">
        <v>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f t="shared" si="20"/>
        <v>711.3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f t="shared" si="18"/>
        <v>13.950000000000003</v>
      </c>
      <c r="AU242">
        <f t="shared" si="16"/>
        <v>4</v>
      </c>
      <c r="AV242">
        <f t="shared" si="17"/>
        <v>711.3</v>
      </c>
      <c r="AX242">
        <v>873</v>
      </c>
      <c r="AY242">
        <v>875</v>
      </c>
      <c r="BB242" t="s">
        <v>514</v>
      </c>
      <c r="BC242" t="s">
        <v>617</v>
      </c>
    </row>
    <row r="243" spans="1:55" x14ac:dyDescent="0.45">
      <c r="A243">
        <v>242</v>
      </c>
      <c r="C243">
        <v>52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5</v>
      </c>
      <c r="K243">
        <v>30</v>
      </c>
      <c r="L243">
        <v>0</v>
      </c>
      <c r="M243">
        <v>0</v>
      </c>
      <c r="N243">
        <v>0</v>
      </c>
      <c r="O243">
        <v>13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f t="shared" si="20"/>
        <v>847.5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f t="shared" si="18"/>
        <v>11.26</v>
      </c>
      <c r="AU243">
        <f t="shared" si="16"/>
        <v>0.83333333333333337</v>
      </c>
      <c r="AV243">
        <f t="shared" si="17"/>
        <v>847.5</v>
      </c>
      <c r="AW243">
        <v>61</v>
      </c>
      <c r="AX243">
        <v>521</v>
      </c>
      <c r="AY243">
        <v>554</v>
      </c>
      <c r="BA243">
        <v>175</v>
      </c>
      <c r="BB243" t="s">
        <v>515</v>
      </c>
      <c r="BC243" t="s">
        <v>618</v>
      </c>
    </row>
    <row r="244" spans="1:55" x14ac:dyDescent="0.45">
      <c r="A244">
        <v>243</v>
      </c>
      <c r="C244">
        <v>73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24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f t="shared" si="20"/>
        <v>872.40000000000009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f t="shared" si="18"/>
        <v>6.7200000000000006</v>
      </c>
      <c r="AU244">
        <f t="shared" si="16"/>
        <v>0.66666666666666663</v>
      </c>
      <c r="AV244">
        <f t="shared" si="17"/>
        <v>872.40000000000009</v>
      </c>
      <c r="AW244">
        <v>75</v>
      </c>
      <c r="AX244">
        <v>499</v>
      </c>
      <c r="AY244">
        <v>646</v>
      </c>
      <c r="BB244" t="s">
        <v>516</v>
      </c>
      <c r="BC244" t="s">
        <v>619</v>
      </c>
    </row>
    <row r="245" spans="1:55" x14ac:dyDescent="0.45">
      <c r="A245">
        <v>244</v>
      </c>
      <c r="C245">
        <v>68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</v>
      </c>
      <c r="K245">
        <v>24</v>
      </c>
      <c r="L245">
        <v>3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f t="shared" si="20"/>
        <v>841.19999999999993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f t="shared" si="18"/>
        <v>9.7200000000000006</v>
      </c>
      <c r="AU245">
        <f t="shared" si="16"/>
        <v>1.1666666666666665</v>
      </c>
      <c r="AV245">
        <f t="shared" si="17"/>
        <v>841.19999999999993</v>
      </c>
      <c r="AW245">
        <v>72</v>
      </c>
      <c r="AX245">
        <v>534</v>
      </c>
      <c r="AY245">
        <v>673</v>
      </c>
      <c r="BB245" t="s">
        <v>516</v>
      </c>
      <c r="BC245" t="s">
        <v>619</v>
      </c>
    </row>
    <row r="246" spans="1:55" x14ac:dyDescent="0.45">
      <c r="A246">
        <v>245</v>
      </c>
      <c r="C246">
        <v>65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</v>
      </c>
      <c r="K246">
        <v>25</v>
      </c>
      <c r="L246">
        <v>5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f t="shared" si="20"/>
        <v>822.19999999999993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f t="shared" si="18"/>
        <v>12</v>
      </c>
      <c r="AU246">
        <f t="shared" si="16"/>
        <v>1.1666666666666665</v>
      </c>
      <c r="AV246">
        <f t="shared" si="17"/>
        <v>822.19999999999993</v>
      </c>
      <c r="AW246">
        <v>68</v>
      </c>
      <c r="AX246">
        <v>491</v>
      </c>
      <c r="AY246">
        <v>618</v>
      </c>
      <c r="BB246" t="s">
        <v>516</v>
      </c>
      <c r="BC246" t="s">
        <v>619</v>
      </c>
    </row>
    <row r="247" spans="1:55" x14ac:dyDescent="0.45">
      <c r="A247">
        <v>246</v>
      </c>
      <c r="C247">
        <v>87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0</v>
      </c>
      <c r="J247">
        <v>0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0</v>
      </c>
      <c r="AQ247">
        <v>0</v>
      </c>
      <c r="AR247">
        <v>1</v>
      </c>
      <c r="AS247">
        <v>0</v>
      </c>
      <c r="AT247">
        <f t="shared" si="18"/>
        <v>11.5</v>
      </c>
      <c r="AU247">
        <f t="shared" si="16"/>
        <v>0</v>
      </c>
      <c r="AV247">
        <f t="shared" si="17"/>
        <v>835.8</v>
      </c>
      <c r="AW247">
        <v>77</v>
      </c>
      <c r="BA247">
        <v>479</v>
      </c>
      <c r="BB247" t="s">
        <v>517</v>
      </c>
      <c r="BC247" t="s">
        <v>620</v>
      </c>
    </row>
    <row r="248" spans="1:55" x14ac:dyDescent="0.45">
      <c r="A248">
        <v>247</v>
      </c>
      <c r="C248">
        <v>82</v>
      </c>
      <c r="D248">
        <v>0</v>
      </c>
      <c r="E248">
        <v>0</v>
      </c>
      <c r="F248">
        <v>0</v>
      </c>
      <c r="G248">
        <v>0</v>
      </c>
      <c r="H248">
        <v>3</v>
      </c>
      <c r="I248">
        <v>0</v>
      </c>
      <c r="J248">
        <v>0</v>
      </c>
      <c r="K248">
        <v>15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>
        <v>1</v>
      </c>
      <c r="AS248">
        <v>0</v>
      </c>
      <c r="AT248">
        <f t="shared" si="18"/>
        <v>12.899999999999999</v>
      </c>
      <c r="AU248">
        <f t="shared" si="16"/>
        <v>0</v>
      </c>
      <c r="AV248">
        <f t="shared" si="17"/>
        <v>835.8</v>
      </c>
      <c r="AW248">
        <v>71</v>
      </c>
      <c r="BA248">
        <v>411</v>
      </c>
      <c r="BB248" t="s">
        <v>517</v>
      </c>
      <c r="BC248" t="s">
        <v>620</v>
      </c>
    </row>
    <row r="249" spans="1:55" x14ac:dyDescent="0.45">
      <c r="A249">
        <v>248</v>
      </c>
      <c r="C249">
        <v>77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0</v>
      </c>
      <c r="J249">
        <v>0</v>
      </c>
      <c r="K249">
        <v>20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1</v>
      </c>
      <c r="AS249">
        <v>0</v>
      </c>
      <c r="AT249">
        <f t="shared" si="18"/>
        <v>14.3</v>
      </c>
      <c r="AU249">
        <f t="shared" si="16"/>
        <v>0</v>
      </c>
      <c r="AV249">
        <f t="shared" si="17"/>
        <v>835.8</v>
      </c>
      <c r="AW249">
        <v>67</v>
      </c>
      <c r="BA249">
        <v>326</v>
      </c>
      <c r="BB249" t="s">
        <v>517</v>
      </c>
      <c r="BC249" t="s">
        <v>620</v>
      </c>
    </row>
    <row r="250" spans="1:55" x14ac:dyDescent="0.45">
      <c r="A250">
        <v>249</v>
      </c>
      <c r="C250">
        <v>72</v>
      </c>
      <c r="D250">
        <v>0</v>
      </c>
      <c r="E250">
        <v>0</v>
      </c>
      <c r="F250">
        <v>0</v>
      </c>
      <c r="G250">
        <v>0</v>
      </c>
      <c r="H250">
        <v>3</v>
      </c>
      <c r="I250">
        <v>0</v>
      </c>
      <c r="J250">
        <v>0</v>
      </c>
      <c r="K250">
        <v>25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1</v>
      </c>
      <c r="AS250">
        <v>0</v>
      </c>
      <c r="AT250">
        <f t="shared" si="18"/>
        <v>15.7</v>
      </c>
      <c r="AU250">
        <f t="shared" si="16"/>
        <v>0</v>
      </c>
      <c r="AV250">
        <f t="shared" si="17"/>
        <v>835.8</v>
      </c>
      <c r="AW250">
        <v>65</v>
      </c>
      <c r="BA250">
        <v>289</v>
      </c>
      <c r="BB250" t="s">
        <v>517</v>
      </c>
      <c r="BC250" t="s">
        <v>620</v>
      </c>
    </row>
    <row r="251" spans="1:55" x14ac:dyDescent="0.45">
      <c r="A251">
        <v>250</v>
      </c>
      <c r="C251">
        <v>92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1</v>
      </c>
      <c r="AS251">
        <v>0</v>
      </c>
      <c r="AT251">
        <f t="shared" si="18"/>
        <v>9.9</v>
      </c>
      <c r="AU251">
        <f t="shared" si="16"/>
        <v>0</v>
      </c>
      <c r="AV251">
        <f t="shared" si="17"/>
        <v>800.1</v>
      </c>
      <c r="AW251">
        <v>111</v>
      </c>
      <c r="AY251">
        <v>1902</v>
      </c>
      <c r="BA251">
        <v>435</v>
      </c>
      <c r="BB251" t="s">
        <v>518</v>
      </c>
      <c r="BC251" t="s">
        <v>621</v>
      </c>
    </row>
    <row r="252" spans="1:55" x14ac:dyDescent="0.45">
      <c r="A252">
        <v>251</v>
      </c>
      <c r="C252">
        <v>90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f t="shared" si="18"/>
        <v>15.7</v>
      </c>
      <c r="AU252">
        <f t="shared" si="16"/>
        <v>0</v>
      </c>
      <c r="AV252">
        <f t="shared" si="17"/>
        <v>769.3</v>
      </c>
      <c r="AW252">
        <v>85</v>
      </c>
      <c r="AY252">
        <v>2201</v>
      </c>
      <c r="BA252">
        <v>382</v>
      </c>
      <c r="BB252" t="s">
        <v>518</v>
      </c>
      <c r="BC252" t="s">
        <v>621</v>
      </c>
    </row>
    <row r="253" spans="1:55" x14ac:dyDescent="0.45">
      <c r="A253">
        <v>252</v>
      </c>
      <c r="C253">
        <v>88</v>
      </c>
      <c r="D253">
        <v>0</v>
      </c>
      <c r="E253">
        <v>0</v>
      </c>
      <c r="F253">
        <v>0</v>
      </c>
      <c r="G253">
        <v>0</v>
      </c>
      <c r="H253">
        <v>5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1</v>
      </c>
      <c r="AS253">
        <v>0</v>
      </c>
      <c r="AT253">
        <f t="shared" si="18"/>
        <v>21.5</v>
      </c>
      <c r="AU253">
        <f t="shared" si="16"/>
        <v>0</v>
      </c>
      <c r="AV253">
        <f t="shared" si="17"/>
        <v>738.5</v>
      </c>
      <c r="AW253">
        <v>89</v>
      </c>
      <c r="AY253">
        <v>1994</v>
      </c>
      <c r="BA253">
        <v>347</v>
      </c>
      <c r="BB253" t="s">
        <v>518</v>
      </c>
      <c r="BC253" t="s">
        <v>621</v>
      </c>
    </row>
    <row r="254" spans="1:55" x14ac:dyDescent="0.45">
      <c r="A254">
        <v>253</v>
      </c>
      <c r="C254">
        <v>86</v>
      </c>
      <c r="D254">
        <v>0</v>
      </c>
      <c r="E254">
        <v>0</v>
      </c>
      <c r="F254">
        <v>0</v>
      </c>
      <c r="G254">
        <v>0</v>
      </c>
      <c r="H254">
        <v>7</v>
      </c>
      <c r="I254">
        <v>0</v>
      </c>
      <c r="J254">
        <v>0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1</v>
      </c>
      <c r="AP254">
        <v>0</v>
      </c>
      <c r="AQ254">
        <v>0</v>
      </c>
      <c r="AR254">
        <v>1</v>
      </c>
      <c r="AS254">
        <v>0</v>
      </c>
      <c r="AT254">
        <f t="shared" si="18"/>
        <v>27.3</v>
      </c>
      <c r="AU254">
        <f t="shared" si="16"/>
        <v>0</v>
      </c>
      <c r="AV254">
        <f t="shared" si="17"/>
        <v>707.7</v>
      </c>
      <c r="AW254">
        <v>98</v>
      </c>
      <c r="AY254">
        <v>1851</v>
      </c>
      <c r="BA254">
        <v>367</v>
      </c>
      <c r="BB254" t="s">
        <v>518</v>
      </c>
      <c r="BC254" t="s">
        <v>621</v>
      </c>
    </row>
    <row r="255" spans="1:55" x14ac:dyDescent="0.45">
      <c r="A255">
        <v>254</v>
      </c>
      <c r="C255">
        <v>84</v>
      </c>
      <c r="D255">
        <v>0</v>
      </c>
      <c r="E255">
        <v>0</v>
      </c>
      <c r="F255">
        <v>0</v>
      </c>
      <c r="G255">
        <v>0</v>
      </c>
      <c r="H255">
        <v>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f>(AV255)+0</f>
        <v>758.8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f t="shared" si="18"/>
        <v>24.96</v>
      </c>
      <c r="AU255">
        <f t="shared" si="16"/>
        <v>0</v>
      </c>
      <c r="AV255">
        <f t="shared" si="17"/>
        <v>758.8</v>
      </c>
      <c r="AX255">
        <v>914</v>
      </c>
      <c r="AY255">
        <v>1058</v>
      </c>
      <c r="BA255">
        <v>327</v>
      </c>
      <c r="BB255" t="s">
        <v>519</v>
      </c>
      <c r="BC255" t="s">
        <v>622</v>
      </c>
    </row>
    <row r="256" spans="1:55" x14ac:dyDescent="0.45">
      <c r="A256">
        <v>255</v>
      </c>
      <c r="C256">
        <v>80</v>
      </c>
      <c r="D256">
        <v>0</v>
      </c>
      <c r="E256">
        <v>0</v>
      </c>
      <c r="F256">
        <v>0</v>
      </c>
      <c r="G256">
        <v>0</v>
      </c>
      <c r="H256">
        <v>8</v>
      </c>
      <c r="I256">
        <v>0</v>
      </c>
      <c r="J256">
        <v>4</v>
      </c>
      <c r="K256">
        <v>0</v>
      </c>
      <c r="L256">
        <v>0</v>
      </c>
      <c r="M256">
        <v>0</v>
      </c>
      <c r="N256">
        <v>0</v>
      </c>
      <c r="O256">
        <v>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f>(AV256)+0</f>
        <v>731.19999999999993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f t="shared" si="18"/>
        <v>24.96</v>
      </c>
      <c r="AU256">
        <f t="shared" si="16"/>
        <v>0.66666666666666663</v>
      </c>
      <c r="AV256">
        <f t="shared" si="17"/>
        <v>731.19999999999993</v>
      </c>
      <c r="AX256">
        <v>934</v>
      </c>
      <c r="AY256">
        <v>1054</v>
      </c>
      <c r="BA256">
        <v>331</v>
      </c>
      <c r="BB256" t="s">
        <v>519</v>
      </c>
      <c r="BC256" t="s">
        <v>622</v>
      </c>
    </row>
    <row r="257" spans="1:55" x14ac:dyDescent="0.45">
      <c r="A257">
        <v>256</v>
      </c>
      <c r="C257">
        <v>76</v>
      </c>
      <c r="D257">
        <v>0</v>
      </c>
      <c r="E257">
        <v>0</v>
      </c>
      <c r="F257">
        <v>0</v>
      </c>
      <c r="G257">
        <v>0</v>
      </c>
      <c r="H257">
        <v>10</v>
      </c>
      <c r="I257">
        <v>0</v>
      </c>
      <c r="J257">
        <v>4</v>
      </c>
      <c r="K257">
        <v>0</v>
      </c>
      <c r="L257">
        <v>0</v>
      </c>
      <c r="M257">
        <v>0</v>
      </c>
      <c r="N257">
        <v>0</v>
      </c>
      <c r="O257">
        <v>10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f>(AV257)+0</f>
        <v>700.4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f t="shared" si="18"/>
        <v>31.2</v>
      </c>
      <c r="AU257">
        <f t="shared" si="16"/>
        <v>0.66666666666666663</v>
      </c>
      <c r="AV257">
        <f t="shared" si="17"/>
        <v>700.4</v>
      </c>
      <c r="AX257">
        <v>966</v>
      </c>
      <c r="AY257">
        <v>1086</v>
      </c>
      <c r="BA257">
        <v>338</v>
      </c>
      <c r="BB257" t="s">
        <v>519</v>
      </c>
      <c r="BC257" t="s">
        <v>622</v>
      </c>
    </row>
    <row r="258" spans="1:55" x14ac:dyDescent="0.45">
      <c r="A258">
        <v>257</v>
      </c>
      <c r="C258">
        <v>64.8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25</v>
      </c>
      <c r="L258">
        <v>5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0.2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f t="shared" si="18"/>
        <v>17.8</v>
      </c>
      <c r="AU258">
        <f t="shared" ref="AU258:AU284" si="21">D258+J258/6+M258/3+(T258+S258)/10</f>
        <v>1.02</v>
      </c>
      <c r="AV258">
        <f t="shared" ref="AV258:AV284" si="22">882+2.1*D258-9.5*L258+4.2*M258-6.9*J258-11.8*E258-12.1*F258-15.4*H258+23.3*Q258+123*T258</f>
        <v>840.90000000000009</v>
      </c>
      <c r="AW258">
        <v>72</v>
      </c>
      <c r="AY258">
        <v>621</v>
      </c>
      <c r="BB258" t="s">
        <v>520</v>
      </c>
      <c r="BC258" t="s">
        <v>623</v>
      </c>
    </row>
    <row r="259" spans="1:55" x14ac:dyDescent="0.45">
      <c r="A259">
        <v>258</v>
      </c>
      <c r="C259">
        <v>64.7</v>
      </c>
      <c r="D259">
        <v>0</v>
      </c>
      <c r="E259">
        <v>0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25</v>
      </c>
      <c r="L259">
        <v>5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0.3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f t="shared" ref="AT259:AT284" si="23">L259+0.67*E259+0.44*P259+0.28*K259+0.22*O259+2.9*H259+1.6*F259+1.7*G259-D259</f>
        <v>17.8</v>
      </c>
      <c r="AU259">
        <f t="shared" si="21"/>
        <v>1.03</v>
      </c>
      <c r="AV259">
        <f t="shared" si="22"/>
        <v>853.2</v>
      </c>
      <c r="AW259">
        <v>75</v>
      </c>
      <c r="AY259">
        <v>682</v>
      </c>
      <c r="BB259" t="s">
        <v>520</v>
      </c>
      <c r="BC259" t="s">
        <v>623</v>
      </c>
    </row>
    <row r="260" spans="1:55" x14ac:dyDescent="0.45">
      <c r="A260">
        <v>259</v>
      </c>
      <c r="C260">
        <v>64.400000000000006</v>
      </c>
      <c r="D260">
        <v>0</v>
      </c>
      <c r="E260">
        <v>0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25</v>
      </c>
      <c r="L260">
        <v>5</v>
      </c>
      <c r="M260">
        <v>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0.6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f t="shared" si="23"/>
        <v>17.8</v>
      </c>
      <c r="AU260">
        <f t="shared" si="21"/>
        <v>1.06</v>
      </c>
      <c r="AV260">
        <f t="shared" si="22"/>
        <v>890.1</v>
      </c>
      <c r="AW260">
        <v>74</v>
      </c>
      <c r="AY260">
        <v>610</v>
      </c>
      <c r="BB260" t="s">
        <v>520</v>
      </c>
      <c r="BC260" t="s">
        <v>623</v>
      </c>
    </row>
    <row r="261" spans="1:55" x14ac:dyDescent="0.45">
      <c r="A261">
        <v>260</v>
      </c>
      <c r="C261">
        <v>81</v>
      </c>
      <c r="D261">
        <v>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f t="shared" ref="AC261:AC269" si="24">(AV261)+0</f>
        <v>868.8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f t="shared" si="23"/>
        <v>12</v>
      </c>
      <c r="AU261">
        <f t="shared" si="21"/>
        <v>3.1</v>
      </c>
      <c r="AV261">
        <f t="shared" si="22"/>
        <v>868.8</v>
      </c>
      <c r="AX261">
        <v>1203</v>
      </c>
      <c r="BA261">
        <v>376</v>
      </c>
      <c r="BB261" t="s">
        <v>521</v>
      </c>
      <c r="BC261" t="s">
        <v>561</v>
      </c>
    </row>
    <row r="262" spans="1:55" x14ac:dyDescent="0.45">
      <c r="A262">
        <v>261</v>
      </c>
      <c r="C262">
        <v>63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6</v>
      </c>
      <c r="K262">
        <v>29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f t="shared" si="24"/>
        <v>821.6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1</v>
      </c>
      <c r="AP262">
        <v>0</v>
      </c>
      <c r="AQ262">
        <v>1</v>
      </c>
      <c r="AR262">
        <v>0</v>
      </c>
      <c r="AS262">
        <v>0</v>
      </c>
      <c r="AT262">
        <f t="shared" si="23"/>
        <v>10.120000000000001</v>
      </c>
      <c r="AU262">
        <f t="shared" si="21"/>
        <v>1</v>
      </c>
      <c r="AV262">
        <f t="shared" si="22"/>
        <v>821.6</v>
      </c>
      <c r="AW262">
        <v>79</v>
      </c>
      <c r="BA262">
        <v>297</v>
      </c>
      <c r="BB262" t="s">
        <v>522</v>
      </c>
      <c r="BC262" t="s">
        <v>624</v>
      </c>
    </row>
    <row r="263" spans="1:55" x14ac:dyDescent="0.45">
      <c r="A263">
        <v>262</v>
      </c>
      <c r="C263">
        <v>85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12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f t="shared" si="24"/>
        <v>768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f t="shared" si="23"/>
        <v>12.84</v>
      </c>
      <c r="AU263">
        <f t="shared" si="21"/>
        <v>0</v>
      </c>
      <c r="AV263">
        <f t="shared" si="22"/>
        <v>768</v>
      </c>
      <c r="AW263">
        <v>105</v>
      </c>
      <c r="AX263">
        <v>449</v>
      </c>
      <c r="AY263">
        <v>747</v>
      </c>
      <c r="BB263" t="s">
        <v>523</v>
      </c>
      <c r="BC263" t="s">
        <v>625</v>
      </c>
    </row>
    <row r="264" spans="1:55" x14ac:dyDescent="0.45">
      <c r="A264">
        <v>263</v>
      </c>
      <c r="C264">
        <v>52.9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7</v>
      </c>
      <c r="K264">
        <v>35</v>
      </c>
      <c r="L264">
        <v>0</v>
      </c>
      <c r="M264">
        <v>0</v>
      </c>
      <c r="N264">
        <v>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0.1</v>
      </c>
      <c r="U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f t="shared" si="24"/>
        <v>846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f t="shared" si="23"/>
        <v>10.9</v>
      </c>
      <c r="AU264">
        <f t="shared" si="21"/>
        <v>1.1766666666666667</v>
      </c>
      <c r="AV264">
        <f t="shared" si="22"/>
        <v>846</v>
      </c>
      <c r="AX264">
        <v>530</v>
      </c>
      <c r="AY264">
        <v>590</v>
      </c>
      <c r="BB264" t="s">
        <v>524</v>
      </c>
      <c r="BC264" t="s">
        <v>626</v>
      </c>
    </row>
    <row r="265" spans="1:55" x14ac:dyDescent="0.45">
      <c r="A265">
        <v>264</v>
      </c>
      <c r="C265">
        <v>52.5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7</v>
      </c>
      <c r="K265">
        <v>35</v>
      </c>
      <c r="L265">
        <v>0</v>
      </c>
      <c r="M265">
        <v>0</v>
      </c>
      <c r="N265">
        <v>0</v>
      </c>
      <c r="O265">
        <v>5</v>
      </c>
      <c r="P265">
        <v>0</v>
      </c>
      <c r="Q265">
        <v>0</v>
      </c>
      <c r="R265">
        <v>0</v>
      </c>
      <c r="S265">
        <v>0</v>
      </c>
      <c r="T265">
        <v>0.5</v>
      </c>
      <c r="U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f t="shared" si="24"/>
        <v>895.2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f t="shared" si="23"/>
        <v>10.9</v>
      </c>
      <c r="AU265">
        <f t="shared" si="21"/>
        <v>1.2166666666666668</v>
      </c>
      <c r="AV265">
        <f t="shared" si="22"/>
        <v>895.2</v>
      </c>
      <c r="AX265">
        <v>937</v>
      </c>
      <c r="AY265">
        <v>1014</v>
      </c>
      <c r="BB265" t="s">
        <v>524</v>
      </c>
      <c r="BC265" t="s">
        <v>626</v>
      </c>
    </row>
    <row r="266" spans="1:55" x14ac:dyDescent="0.45">
      <c r="A266">
        <v>265</v>
      </c>
      <c r="C266">
        <v>52.3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7</v>
      </c>
      <c r="K266">
        <v>35</v>
      </c>
      <c r="L266">
        <v>0</v>
      </c>
      <c r="M266">
        <v>0</v>
      </c>
      <c r="N266">
        <v>0</v>
      </c>
      <c r="O266">
        <v>5</v>
      </c>
      <c r="P266">
        <v>0</v>
      </c>
      <c r="Q266">
        <v>0</v>
      </c>
      <c r="R266">
        <v>0</v>
      </c>
      <c r="S266">
        <v>0</v>
      </c>
      <c r="T266">
        <v>0.7</v>
      </c>
      <c r="U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f t="shared" si="24"/>
        <v>919.80000000000007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f t="shared" si="23"/>
        <v>10.9</v>
      </c>
      <c r="AU266">
        <f t="shared" si="21"/>
        <v>1.2366666666666668</v>
      </c>
      <c r="AV266">
        <f t="shared" si="22"/>
        <v>919.80000000000007</v>
      </c>
      <c r="AX266">
        <v>1081</v>
      </c>
      <c r="AY266">
        <v>1097</v>
      </c>
      <c r="BB266" t="s">
        <v>524</v>
      </c>
      <c r="BC266" t="s">
        <v>626</v>
      </c>
    </row>
    <row r="267" spans="1:55" x14ac:dyDescent="0.45">
      <c r="A267">
        <v>266</v>
      </c>
      <c r="C267">
        <v>65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30</v>
      </c>
      <c r="K267">
        <v>0</v>
      </c>
      <c r="L267">
        <v>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f t="shared" si="24"/>
        <v>627.5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f t="shared" si="23"/>
        <v>5</v>
      </c>
      <c r="AU267">
        <f t="shared" si="21"/>
        <v>5</v>
      </c>
      <c r="AV267">
        <f t="shared" si="22"/>
        <v>627.5</v>
      </c>
      <c r="AW267">
        <v>75</v>
      </c>
      <c r="AX267">
        <v>383</v>
      </c>
      <c r="AY267">
        <v>762</v>
      </c>
      <c r="BB267" t="s">
        <v>301</v>
      </c>
      <c r="BC267" t="s">
        <v>627</v>
      </c>
    </row>
    <row r="268" spans="1:55" x14ac:dyDescent="0.45">
      <c r="A268">
        <v>267</v>
      </c>
      <c r="C268">
        <v>64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30</v>
      </c>
      <c r="K268">
        <v>0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f t="shared" si="24"/>
        <v>618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f t="shared" si="23"/>
        <v>6</v>
      </c>
      <c r="AU268">
        <f t="shared" si="21"/>
        <v>5</v>
      </c>
      <c r="AV268">
        <f t="shared" si="22"/>
        <v>618</v>
      </c>
      <c r="AW268">
        <v>63</v>
      </c>
      <c r="AX268">
        <v>459</v>
      </c>
      <c r="AY268">
        <v>723</v>
      </c>
      <c r="BB268" t="s">
        <v>301</v>
      </c>
      <c r="BC268" t="s">
        <v>627</v>
      </c>
    </row>
    <row r="269" spans="1:55" x14ac:dyDescent="0.45">
      <c r="A269">
        <v>268</v>
      </c>
      <c r="C269">
        <v>63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30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f t="shared" si="24"/>
        <v>608.5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f t="shared" si="23"/>
        <v>7</v>
      </c>
      <c r="AU269">
        <f t="shared" si="21"/>
        <v>5</v>
      </c>
      <c r="AV269">
        <f t="shared" si="22"/>
        <v>608.5</v>
      </c>
      <c r="AW269">
        <v>66</v>
      </c>
      <c r="AX269">
        <v>674</v>
      </c>
      <c r="AY269">
        <v>784</v>
      </c>
      <c r="BB269" t="s">
        <v>301</v>
      </c>
      <c r="BC269" t="s">
        <v>627</v>
      </c>
    </row>
    <row r="270" spans="1:55" x14ac:dyDescent="0.45">
      <c r="A270">
        <v>269</v>
      </c>
      <c r="C270">
        <v>59.454900000000002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40.545099999999998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1</v>
      </c>
      <c r="AP270">
        <v>0</v>
      </c>
      <c r="AQ270">
        <v>1</v>
      </c>
      <c r="AR270">
        <v>0</v>
      </c>
      <c r="AS270">
        <v>0</v>
      </c>
      <c r="AT270">
        <f t="shared" si="23"/>
        <v>11.352628000000001</v>
      </c>
      <c r="AU270">
        <f t="shared" si="21"/>
        <v>0</v>
      </c>
      <c r="AV270">
        <f t="shared" si="22"/>
        <v>882</v>
      </c>
      <c r="AW270">
        <v>75</v>
      </c>
      <c r="AX270">
        <v>447</v>
      </c>
      <c r="BA270">
        <v>227</v>
      </c>
      <c r="BB270" t="s">
        <v>525</v>
      </c>
      <c r="BC270" t="s">
        <v>628</v>
      </c>
    </row>
    <row r="271" spans="1:55" x14ac:dyDescent="0.45">
      <c r="A271">
        <v>270</v>
      </c>
      <c r="C271">
        <v>56.929099999999998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39.901000000000003</v>
      </c>
      <c r="L271">
        <v>3.1699000000000002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f t="shared" si="23"/>
        <v>14.342180000000003</v>
      </c>
      <c r="AU271">
        <f t="shared" si="21"/>
        <v>0</v>
      </c>
      <c r="AV271">
        <f t="shared" si="22"/>
        <v>851.88594999999998</v>
      </c>
      <c r="AW271">
        <v>67</v>
      </c>
      <c r="AX271">
        <v>535</v>
      </c>
      <c r="BA271">
        <v>189</v>
      </c>
      <c r="BB271" t="s">
        <v>525</v>
      </c>
      <c r="BC271" t="s">
        <v>628</v>
      </c>
    </row>
    <row r="272" spans="1:55" x14ac:dyDescent="0.45">
      <c r="A272">
        <v>271</v>
      </c>
      <c r="C272">
        <v>54.482300000000002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39.277099999999997</v>
      </c>
      <c r="L272">
        <v>6.2405999999999997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f t="shared" si="23"/>
        <v>17.238188000000001</v>
      </c>
      <c r="AU272">
        <f t="shared" si="21"/>
        <v>0</v>
      </c>
      <c r="AV272">
        <f t="shared" si="22"/>
        <v>822.71429999999998</v>
      </c>
      <c r="AW272">
        <v>64</v>
      </c>
      <c r="AX272">
        <v>621</v>
      </c>
      <c r="BA272">
        <v>211</v>
      </c>
      <c r="BB272" t="s">
        <v>525</v>
      </c>
      <c r="BC272" t="s">
        <v>628</v>
      </c>
    </row>
    <row r="273" spans="1:55" x14ac:dyDescent="0.45">
      <c r="A273">
        <v>272</v>
      </c>
      <c r="C273">
        <v>52.110799999999998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38.672400000000003</v>
      </c>
      <c r="L273">
        <v>9.2167999999999992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f t="shared" si="23"/>
        <v>20.045072000000001</v>
      </c>
      <c r="AU273">
        <f t="shared" si="21"/>
        <v>0</v>
      </c>
      <c r="AV273">
        <f t="shared" si="22"/>
        <v>794.44039999999995</v>
      </c>
      <c r="AW273">
        <v>56</v>
      </c>
      <c r="AX273">
        <v>634</v>
      </c>
      <c r="BA273">
        <v>218</v>
      </c>
      <c r="BB273" t="s">
        <v>525</v>
      </c>
      <c r="BC273" t="s">
        <v>628</v>
      </c>
    </row>
    <row r="274" spans="1:55" x14ac:dyDescent="0.45">
      <c r="A274">
        <v>273</v>
      </c>
      <c r="C274">
        <v>49.811300000000003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38.085999999999999</v>
      </c>
      <c r="L274">
        <v>12.1027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f t="shared" si="23"/>
        <v>22.766780000000001</v>
      </c>
      <c r="AU274">
        <f t="shared" si="21"/>
        <v>0</v>
      </c>
      <c r="AV274">
        <f t="shared" si="22"/>
        <v>767.02435000000003</v>
      </c>
      <c r="AW274">
        <v>55</v>
      </c>
      <c r="AX274">
        <v>663</v>
      </c>
      <c r="BA274">
        <v>242</v>
      </c>
      <c r="BB274" t="s">
        <v>525</v>
      </c>
      <c r="BC274" t="s">
        <v>628</v>
      </c>
    </row>
    <row r="275" spans="1:55" x14ac:dyDescent="0.45">
      <c r="A275">
        <v>274</v>
      </c>
      <c r="C275">
        <v>22.3386</v>
      </c>
      <c r="D275">
        <v>13.344200000000001</v>
      </c>
      <c r="E275">
        <v>23.205100000000002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41.112000000000002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f>(AV275)+0</f>
        <v>636.20263999999997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f t="shared" si="23"/>
        <v>13.714577000000002</v>
      </c>
      <c r="AU275">
        <f t="shared" si="21"/>
        <v>13.344200000000001</v>
      </c>
      <c r="AV275">
        <f t="shared" si="22"/>
        <v>636.20263999999997</v>
      </c>
      <c r="AX275">
        <v>1020</v>
      </c>
      <c r="AY275">
        <v>1318</v>
      </c>
      <c r="BA275">
        <v>448</v>
      </c>
      <c r="BB275" t="s">
        <v>526</v>
      </c>
      <c r="BC275" t="s">
        <v>629</v>
      </c>
    </row>
    <row r="276" spans="1:55" x14ac:dyDescent="0.45">
      <c r="A276">
        <v>275</v>
      </c>
      <c r="C276">
        <v>11.661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22.223299999999998</v>
      </c>
      <c r="K276">
        <v>22.633199999999999</v>
      </c>
      <c r="L276">
        <v>0</v>
      </c>
      <c r="M276">
        <v>0</v>
      </c>
      <c r="N276">
        <v>43.482500000000002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f>(AV276)+0</f>
        <v>728.65922999999998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f t="shared" si="23"/>
        <v>6.3372960000000003</v>
      </c>
      <c r="AU276">
        <f t="shared" si="21"/>
        <v>3.7038833333333332</v>
      </c>
      <c r="AV276">
        <f t="shared" si="22"/>
        <v>728.65922999999998</v>
      </c>
      <c r="AX276">
        <v>879</v>
      </c>
      <c r="AY276">
        <v>969</v>
      </c>
      <c r="BB276" t="s">
        <v>527</v>
      </c>
      <c r="BC276" t="s">
        <v>630</v>
      </c>
    </row>
    <row r="277" spans="1:55" x14ac:dyDescent="0.45">
      <c r="A277">
        <v>276</v>
      </c>
      <c r="C277">
        <v>7.9566999999999997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16.3415</v>
      </c>
      <c r="K277">
        <v>14.8398</v>
      </c>
      <c r="L277">
        <v>0</v>
      </c>
      <c r="M277">
        <v>0</v>
      </c>
      <c r="N277">
        <v>30.814299999999999</v>
      </c>
      <c r="O277">
        <v>30.047699999999999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f>(AV277)+0</f>
        <v>769.24365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f t="shared" si="23"/>
        <v>10.765638000000001</v>
      </c>
      <c r="AU277">
        <f t="shared" si="21"/>
        <v>2.7235833333333335</v>
      </c>
      <c r="AV277">
        <f t="shared" si="22"/>
        <v>769.24365</v>
      </c>
      <c r="AX277">
        <v>929</v>
      </c>
      <c r="BA277">
        <v>390</v>
      </c>
      <c r="BB277" t="s">
        <v>528</v>
      </c>
      <c r="BC277" t="s">
        <v>631</v>
      </c>
    </row>
    <row r="278" spans="1:55" x14ac:dyDescent="0.45">
      <c r="A278">
        <v>277</v>
      </c>
      <c r="C278">
        <v>77.419499999999999</v>
      </c>
      <c r="D278">
        <v>0</v>
      </c>
      <c r="E278">
        <v>0</v>
      </c>
      <c r="F278">
        <v>0</v>
      </c>
      <c r="G278">
        <v>0</v>
      </c>
      <c r="H278">
        <v>22.580500000000001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f t="shared" si="23"/>
        <v>65.483450000000005</v>
      </c>
      <c r="AU278">
        <f t="shared" si="21"/>
        <v>0</v>
      </c>
      <c r="AV278">
        <f t="shared" si="22"/>
        <v>534.26029999999992</v>
      </c>
      <c r="AX278">
        <v>1389</v>
      </c>
      <c r="AY278">
        <v>1566</v>
      </c>
      <c r="BA278">
        <v>484</v>
      </c>
      <c r="BB278" t="s">
        <v>529</v>
      </c>
      <c r="BC278" t="s">
        <v>632</v>
      </c>
    </row>
    <row r="279" spans="1:55" x14ac:dyDescent="0.45">
      <c r="A279">
        <v>278</v>
      </c>
      <c r="C279">
        <v>75.372200000000007</v>
      </c>
      <c r="D279">
        <v>0</v>
      </c>
      <c r="E279">
        <v>0</v>
      </c>
      <c r="F279">
        <v>0</v>
      </c>
      <c r="G279">
        <v>0</v>
      </c>
      <c r="H279">
        <v>22.261700000000001</v>
      </c>
      <c r="I279">
        <v>0</v>
      </c>
      <c r="J279">
        <v>0</v>
      </c>
      <c r="K279">
        <v>0</v>
      </c>
      <c r="L279">
        <v>0</v>
      </c>
      <c r="M279">
        <v>2.3660999999999999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f t="shared" si="23"/>
        <v>64.558930000000004</v>
      </c>
      <c r="AU279">
        <f t="shared" si="21"/>
        <v>0.78869999999999996</v>
      </c>
      <c r="AV279">
        <f t="shared" si="22"/>
        <v>549.10744</v>
      </c>
      <c r="AX279">
        <v>1531</v>
      </c>
      <c r="AY279">
        <v>1679</v>
      </c>
      <c r="BA279">
        <v>495</v>
      </c>
      <c r="BB279" t="s">
        <v>529</v>
      </c>
      <c r="BC279" t="s">
        <v>632</v>
      </c>
    </row>
    <row r="280" spans="1:55" x14ac:dyDescent="0.45">
      <c r="A280">
        <v>279</v>
      </c>
      <c r="C280">
        <v>71.446299999999994</v>
      </c>
      <c r="D280">
        <v>0</v>
      </c>
      <c r="E280">
        <v>0</v>
      </c>
      <c r="F280">
        <v>0</v>
      </c>
      <c r="G280">
        <v>0</v>
      </c>
      <c r="H280">
        <v>21.650300000000001</v>
      </c>
      <c r="I280">
        <v>0</v>
      </c>
      <c r="J280">
        <v>0</v>
      </c>
      <c r="K280">
        <v>0</v>
      </c>
      <c r="L280">
        <v>0</v>
      </c>
      <c r="M280">
        <v>6.9034000000000004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1</v>
      </c>
      <c r="AT280">
        <f t="shared" si="23"/>
        <v>62.785870000000003</v>
      </c>
      <c r="AU280">
        <f t="shared" si="21"/>
        <v>2.3011333333333335</v>
      </c>
      <c r="AV280">
        <f t="shared" si="22"/>
        <v>577.57965999999999</v>
      </c>
      <c r="AX280">
        <v>1574</v>
      </c>
      <c r="AY280">
        <v>1732</v>
      </c>
      <c r="BA280">
        <v>513</v>
      </c>
      <c r="BB280" t="s">
        <v>529</v>
      </c>
      <c r="BC280" t="s">
        <v>632</v>
      </c>
    </row>
    <row r="281" spans="1:55" x14ac:dyDescent="0.45">
      <c r="A281">
        <v>280</v>
      </c>
      <c r="C281">
        <v>67.730400000000003</v>
      </c>
      <c r="D281">
        <v>0</v>
      </c>
      <c r="E281">
        <v>0</v>
      </c>
      <c r="F281">
        <v>0</v>
      </c>
      <c r="G281">
        <v>0</v>
      </c>
      <c r="H281">
        <v>21.0715</v>
      </c>
      <c r="I281">
        <v>0</v>
      </c>
      <c r="J281">
        <v>0</v>
      </c>
      <c r="K281">
        <v>0</v>
      </c>
      <c r="L281">
        <v>0</v>
      </c>
      <c r="M281">
        <v>11.1981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1</v>
      </c>
      <c r="AT281">
        <f t="shared" si="23"/>
        <v>61.107349999999997</v>
      </c>
      <c r="AU281">
        <f t="shared" si="21"/>
        <v>3.7326999999999999</v>
      </c>
      <c r="AV281">
        <f t="shared" si="22"/>
        <v>604.53091999999992</v>
      </c>
      <c r="AX281">
        <v>1700</v>
      </c>
      <c r="AY281">
        <v>2332</v>
      </c>
      <c r="BA281">
        <v>558</v>
      </c>
      <c r="BB281" t="s">
        <v>529</v>
      </c>
      <c r="BC281" t="s">
        <v>632</v>
      </c>
    </row>
    <row r="282" spans="1:55" x14ac:dyDescent="0.45">
      <c r="A282">
        <v>281</v>
      </c>
      <c r="C282">
        <v>77.114199999999997</v>
      </c>
      <c r="D282">
        <v>0</v>
      </c>
      <c r="E282">
        <v>0</v>
      </c>
      <c r="F282">
        <v>0</v>
      </c>
      <c r="G282">
        <v>0</v>
      </c>
      <c r="H282">
        <v>10.7102</v>
      </c>
      <c r="I282">
        <v>0</v>
      </c>
      <c r="J282">
        <v>0</v>
      </c>
      <c r="K282">
        <v>5.3455000000000004</v>
      </c>
      <c r="L282">
        <v>0</v>
      </c>
      <c r="M282">
        <v>6.8300999999999998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1</v>
      </c>
      <c r="AP282">
        <v>0</v>
      </c>
      <c r="AQ282">
        <v>1</v>
      </c>
      <c r="AR282">
        <v>0</v>
      </c>
      <c r="AS282">
        <v>0</v>
      </c>
      <c r="AT282">
        <f t="shared" si="23"/>
        <v>32.556319999999999</v>
      </c>
      <c r="AU282">
        <f t="shared" si="21"/>
        <v>2.2766999999999999</v>
      </c>
      <c r="AV282">
        <f t="shared" si="22"/>
        <v>745.74933999999996</v>
      </c>
      <c r="AX282">
        <v>1470</v>
      </c>
      <c r="AY282">
        <v>1950</v>
      </c>
      <c r="BB282" t="s">
        <v>530</v>
      </c>
      <c r="BC282" t="s">
        <v>633</v>
      </c>
    </row>
    <row r="283" spans="1:55" x14ac:dyDescent="0.45">
      <c r="A283">
        <v>282</v>
      </c>
      <c r="C283">
        <v>75.048500000000004</v>
      </c>
      <c r="D283">
        <v>0</v>
      </c>
      <c r="E283">
        <v>0</v>
      </c>
      <c r="F283">
        <v>0</v>
      </c>
      <c r="G283">
        <v>0</v>
      </c>
      <c r="H283">
        <v>12.8131</v>
      </c>
      <c r="I283">
        <v>0</v>
      </c>
      <c r="J283">
        <v>0</v>
      </c>
      <c r="K283">
        <v>5.3292000000000002</v>
      </c>
      <c r="L283">
        <v>0</v>
      </c>
      <c r="M283">
        <v>6.8093000000000004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f t="shared" si="23"/>
        <v>38.650165999999999</v>
      </c>
      <c r="AU283">
        <f t="shared" si="21"/>
        <v>2.2697666666666669</v>
      </c>
      <c r="AV283">
        <f t="shared" si="22"/>
        <v>713.27732000000003</v>
      </c>
      <c r="AX283">
        <v>1600</v>
      </c>
      <c r="AY283">
        <v>2080</v>
      </c>
      <c r="BB283" t="s">
        <v>530</v>
      </c>
      <c r="BC283" t="s">
        <v>633</v>
      </c>
    </row>
    <row r="284" spans="1:55" x14ac:dyDescent="0.45">
      <c r="A284">
        <v>283</v>
      </c>
      <c r="C284">
        <v>72.995400000000004</v>
      </c>
      <c r="D284">
        <v>0</v>
      </c>
      <c r="E284">
        <v>0</v>
      </c>
      <c r="F284">
        <v>0</v>
      </c>
      <c r="G284">
        <v>0</v>
      </c>
      <c r="H284">
        <v>14.9031</v>
      </c>
      <c r="I284">
        <v>0</v>
      </c>
      <c r="J284">
        <v>0</v>
      </c>
      <c r="K284">
        <v>5.3129</v>
      </c>
      <c r="L284">
        <v>0</v>
      </c>
      <c r="M284">
        <v>6.7885999999999997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f t="shared" si="23"/>
        <v>44.706601999999997</v>
      </c>
      <c r="AU284">
        <f t="shared" si="21"/>
        <v>2.2628666666666666</v>
      </c>
      <c r="AV284">
        <f t="shared" si="22"/>
        <v>681.00437999999997</v>
      </c>
      <c r="AX284">
        <v>1880</v>
      </c>
      <c r="AY284">
        <v>2400</v>
      </c>
      <c r="BB284" t="s">
        <v>530</v>
      </c>
      <c r="BC284" t="s">
        <v>633</v>
      </c>
    </row>
  </sheetData>
  <sortState xmlns:xlrd2="http://schemas.microsoft.com/office/spreadsheetml/2017/richdata2" ref="B2:U284">
    <sortCondition ref="B2:B284"/>
  </sortState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Combined</vt:lpstr>
      <vt:lpstr>Xue</vt:lpstr>
      <vt:lpstr>Bio_Ti_clean</vt:lpstr>
      <vt:lpstr>dax-ti-static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高森浩</dc:creator>
  <cp:lastModifiedBy>高森浩</cp:lastModifiedBy>
  <dcterms:created xsi:type="dcterms:W3CDTF">2026-01-03T07:05:36Z</dcterms:created>
  <dcterms:modified xsi:type="dcterms:W3CDTF">2026-03-12T07:33:19Z</dcterms:modified>
</cp:coreProperties>
</file>