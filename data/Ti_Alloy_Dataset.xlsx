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work\Mat\data\"/>
    </mc:Choice>
  </mc:AlternateContent>
  <xr:revisionPtr revIDLastSave="0" documentId="13_ncr:1_{E4BBCF64-8525-4FA6-B9F9-9106561933BD}" xr6:coauthVersionLast="47" xr6:coauthVersionMax="47" xr10:uidLastSave="{00000000-0000-0000-0000-000000000000}"/>
  <bookViews>
    <workbookView xWindow="-110" yWindow="-110" windowWidth="25820" windowHeight="13900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Combined!$A$1:$BD$1727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I781" i="4"/>
  <c r="AI780" i="4"/>
  <c r="AI779" i="4"/>
  <c r="AI778" i="4"/>
  <c r="AI373" i="4"/>
  <c r="AI371" i="4"/>
  <c r="AI293" i="4"/>
  <c r="AI290" i="4"/>
  <c r="AI287" i="4"/>
  <c r="AD115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882" i="4"/>
  <c r="AD881" i="4"/>
  <c r="AD880" i="4"/>
  <c r="AD879" i="4"/>
  <c r="AD878" i="4"/>
  <c r="AD752" i="4"/>
  <c r="AD720" i="4"/>
  <c r="AD705" i="4"/>
  <c r="AD634" i="4"/>
  <c r="AD546" i="4"/>
  <c r="AD545" i="4"/>
  <c r="AD544" i="4"/>
  <c r="AD543" i="4"/>
  <c r="AD542" i="4"/>
  <c r="AD427" i="4"/>
  <c r="AD426" i="4"/>
  <c r="AD370" i="4"/>
  <c r="AD331" i="4"/>
  <c r="AD940" i="4"/>
  <c r="AD939" i="4"/>
  <c r="AD937" i="4"/>
  <c r="AD754" i="4"/>
  <c r="AD753" i="4"/>
  <c r="AD721" i="4"/>
  <c r="AD712" i="4"/>
  <c r="AD711" i="4"/>
  <c r="AD710" i="4"/>
  <c r="AD708" i="4"/>
  <c r="AD707" i="4"/>
  <c r="AD706" i="4"/>
  <c r="AD704" i="4"/>
  <c r="AD703" i="4"/>
  <c r="AD702" i="4"/>
  <c r="AD701" i="4"/>
  <c r="AD700" i="4"/>
  <c r="AD699" i="4"/>
  <c r="AD698" i="4"/>
  <c r="AD697" i="4"/>
  <c r="AD638" i="4"/>
  <c r="AD637" i="4"/>
  <c r="AD636" i="4"/>
  <c r="AD635" i="4"/>
  <c r="AD613" i="4"/>
  <c r="AD599" i="4"/>
  <c r="AD598" i="4"/>
  <c r="AD597" i="4"/>
  <c r="AD577" i="4"/>
  <c r="AD576" i="4"/>
  <c r="AD575" i="4"/>
  <c r="AD574" i="4"/>
  <c r="AD573" i="4"/>
  <c r="AD547" i="4"/>
  <c r="AD541" i="4"/>
  <c r="AD540" i="4"/>
  <c r="AD429" i="4"/>
  <c r="AD428" i="4"/>
  <c r="AD425" i="4"/>
  <c r="AD424" i="4"/>
  <c r="AD423" i="4"/>
  <c r="AD422" i="4"/>
  <c r="AD421" i="4"/>
  <c r="AD420" i="4"/>
  <c r="AD405" i="4"/>
  <c r="AD402" i="4"/>
  <c r="AD401" i="4"/>
  <c r="AD400" i="4"/>
  <c r="AD399" i="4"/>
  <c r="AD398" i="4"/>
  <c r="AD397" i="4"/>
  <c r="AD396" i="4"/>
  <c r="AD395" i="4"/>
  <c r="AD394" i="4"/>
  <c r="AD393" i="4"/>
  <c r="AD392" i="4"/>
  <c r="AD391" i="4"/>
  <c r="AD384" i="4"/>
  <c r="AD383" i="4"/>
  <c r="AD380" i="4"/>
  <c r="AD379" i="4"/>
  <c r="AD378" i="4"/>
  <c r="AD341" i="4"/>
  <c r="AD340" i="4"/>
  <c r="AD339" i="4"/>
  <c r="AD309" i="4"/>
  <c r="AD308" i="4"/>
  <c r="AD307" i="4"/>
  <c r="AD306" i="4"/>
  <c r="AD305" i="4"/>
  <c r="AD304" i="4"/>
  <c r="AD303" i="4"/>
  <c r="AD284" i="4"/>
  <c r="AD275" i="4"/>
  <c r="AD274" i="4"/>
  <c r="AD273" i="4"/>
  <c r="AD272" i="4"/>
  <c r="AD271" i="4"/>
  <c r="AD270" i="4"/>
  <c r="AD269" i="4"/>
  <c r="AD268" i="4"/>
  <c r="AD267" i="4"/>
  <c r="AD266" i="4"/>
  <c r="AD259" i="4"/>
  <c r="AD258" i="4"/>
  <c r="AD257" i="4"/>
  <c r="AD256" i="4"/>
  <c r="AD235" i="4"/>
  <c r="AD234" i="4"/>
  <c r="AD231" i="4"/>
  <c r="AD191" i="4"/>
  <c r="AD190" i="4"/>
  <c r="AD189" i="4"/>
  <c r="AD188" i="4"/>
  <c r="AD116" i="4"/>
  <c r="AD114" i="4"/>
  <c r="AD113" i="4"/>
  <c r="AD112" i="4"/>
  <c r="AD91" i="4"/>
  <c r="AD90" i="4"/>
  <c r="AD89" i="4"/>
  <c r="AD88" i="4"/>
  <c r="AD47" i="4"/>
  <c r="AD46" i="4"/>
  <c r="AD45" i="4"/>
  <c r="AD44" i="4"/>
  <c r="AD43" i="4"/>
  <c r="AD42" i="4"/>
  <c r="AD41" i="4"/>
  <c r="AD28" i="4"/>
  <c r="AD27" i="4"/>
  <c r="AD26" i="4"/>
  <c r="AD25" i="4"/>
  <c r="AD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22F9E08E-1644-494E-85CF-4097F1B89E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W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X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Y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Z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AA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B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C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<sst xmlns="http://schemas.openxmlformats.org/spreadsheetml/2006/main" count="4375" uniqueCount="644">
  <si>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</si>
  <si>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</si>
  <si>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</si>
  <si>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</si>
  <si>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</si>
  <si>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</si>
  <si>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</si>
  <si>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</si>
  <si>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</si>
  <si>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</si>
  <si>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</si>
  <si>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</si>
  <si>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</si>
  <si>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</si>
  <si>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</si>
  <si>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</si>
  <si>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</si>
  <si>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</si>
  <si>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</si>
  <si>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</si>
  <si>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</si>
  <si>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</si>
  <si>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</si>
  <si>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</si>
  <si>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</si>
  <si>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</si>
  <si>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</si>
  <si>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</si>
  <si>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</si>
  <si>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</si>
  <si>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</si>
  <si>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</si>
  <si>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</si>
  <si>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</si>
  <si>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</si>
  <si>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</si>
  <si>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</si>
  <si>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</si>
  <si>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</si>
  <si>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</si>
  <si>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</si>
  <si>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</si>
  <si>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</si>
  <si>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</si>
  <si>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</si>
  <si>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</si>
  <si>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</si>
  <si>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</si>
  <si>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</si>
  <si>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</si>
  <si>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</si>
  <si>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</si>
  <si>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</si>
  <si>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</si>
  <si>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</si>
  <si>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</si>
  <si>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</si>
  <si>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</si>
  <si>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</si>
  <si>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</si>
  <si>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</si>
  <si>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</si>
  <si>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</si>
  <si>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</si>
  <si>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</si>
  <si>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</si>
  <si>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</si>
  <si>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</si>
  <si>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</si>
  <si>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</si>
  <si>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</si>
  <si>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</si>
  <si>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</si>
  <si>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</si>
  <si>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</si>
  <si>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</si>
  <si>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</si>
  <si>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</si>
  <si>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</si>
  <si>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</si>
  <si>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</si>
  <si>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</si>
  <si>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</si>
  <si>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</si>
  <si>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</si>
  <si>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</si>
  <si>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</si>
  <si>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</si>
  <si>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</si>
  <si>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</si>
  <si>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</si>
  <si>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</si>
  <si>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</si>
  <si>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</si>
  <si>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</si>
  <si>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</si>
  <si>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</si>
  <si>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</si>
  <si>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</si>
  <si>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</si>
  <si>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</si>
  <si>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</si>
  <si>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</si>
  <si>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</si>
  <si>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</si>
  <si>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</si>
  <si>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</si>
  <si>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</si>
  <si>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</si>
  <si>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</si>
  <si>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</si>
  <si>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</si>
  <si>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</si>
  <si>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</si>
  <si>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</si>
  <si>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</si>
  <si>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</si>
  <si>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</si>
  <si>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</si>
  <si>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</si>
  <si>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</si>
  <si>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</si>
  <si>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</si>
  <si>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</si>
  <si>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</si>
  <si>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</si>
  <si>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</si>
  <si>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</si>
  <si>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</si>
  <si>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</si>
  <si>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</si>
  <si>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</si>
  <si>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</si>
  <si>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</si>
  <si>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</si>
  <si>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</si>
  <si>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</si>
  <si>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</si>
  <si>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</si>
  <si>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</si>
  <si>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</si>
  <si>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</si>
  <si>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</si>
  <si>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</si>
  <si>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</si>
  <si>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</si>
  <si>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</si>
  <si>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</si>
  <si>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</si>
  <si>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</si>
  <si>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</si>
  <si>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</si>
  <si>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</si>
  <si>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</si>
  <si>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</si>
  <si>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</si>
  <si>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</si>
  <si>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</si>
  <si>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</si>
  <si>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</si>
  <si>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</si>
  <si>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</si>
  <si>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</si>
  <si>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</si>
  <si>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</si>
  <si>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</si>
  <si>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</si>
  <si>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</si>
  <si>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</si>
  <si>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</si>
  <si>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</si>
  <si>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</si>
  <si>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</si>
  <si>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</si>
  <si>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</si>
  <si>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</si>
  <si>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</si>
  <si>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</si>
  <si>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</si>
  <si>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</si>
  <si>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</si>
  <si>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</si>
  <si>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</si>
  <si>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</si>
  <si>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</si>
  <si>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</si>
  <si>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</si>
  <si>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</si>
  <si>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</si>
  <si>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</si>
  <si>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</si>
  <si>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</si>
  <si>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</si>
  <si>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</si>
  <si>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</si>
  <si>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</si>
  <si>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</si>
  <si>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</si>
  <si>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</si>
  <si>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</si>
  <si>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</si>
  <si>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</si>
  <si>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</si>
  <si>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</si>
  <si>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</si>
  <si>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</si>
  <si>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</si>
  <si>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</si>
  <si>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</si>
  <si>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</si>
  <si>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</si>
  <si>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</si>
  <si>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</si>
  <si>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</si>
  <si>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</si>
  <si>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</si>
  <si>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</si>
  <si>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</si>
  <si>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</si>
  <si>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</si>
  <si>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</si>
  <si>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</si>
  <si>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</si>
  <si>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</si>
  <si>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</si>
  <si>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</si>
  <si>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</si>
  <si>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</si>
  <si>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</si>
  <si>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</si>
  <si>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</si>
  <si>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</si>
  <si>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</si>
  <si>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</si>
  <si>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</si>
  <si>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</si>
  <si>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</si>
  <si>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</si>
  <si>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</si>
  <si>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</si>
  <si>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</si>
  <si>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</si>
  <si>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</si>
  <si>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</si>
  <si>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</si>
  <si>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</si>
  <si>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</si>
  <si>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</si>
  <si>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</si>
  <si>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</si>
  <si>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</si>
  <si>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</si>
  <si>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</si>
  <si>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</si>
  <si>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</si>
  <si>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</si>
  <si>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</si>
  <si>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</si>
  <si>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</si>
  <si>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</si>
  <si>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</si>
  <si>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</si>
  <si>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</si>
  <si>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</si>
  <si>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</si>
  <si>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</si>
  <si>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</si>
  <si>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</si>
  <si>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</si>
  <si>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</si>
  <si>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</si>
  <si>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</si>
  <si>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</si>
  <si>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</si>
  <si>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</si>
  <si>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</si>
  <si>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</si>
  <si>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</si>
  <si>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</si>
  <si>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</si>
  <si>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</si>
  <si>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</si>
  <si>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</si>
  <si>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</si>
  <si>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</si>
  <si>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</si>
  <si>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</si>
  <si>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</si>
  <si>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</si>
  <si>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</si>
  <si>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</si>
  <si>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</si>
  <si>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</si>
  <si>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</si>
  <si>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</si>
  <si>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</si>
  <si>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</si>
  <si>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</si>
  <si>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</si>
  <si>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</si>
  <si>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</si>
  <si>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</si>
  <si>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</si>
  <si>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</si>
  <si>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</si>
  <si>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</si>
  <si>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</si>
  <si>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</si>
  <si>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</si>
  <si>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</si>
  <si>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</si>
  <si>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</si>
  <si>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</si>
  <si>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</si>
  <si>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</si>
  <si>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</si>
  <si>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</si>
  <si>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</si>
  <si>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</si>
  <si>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</si>
  <si>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</si>
  <si>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</si>
  <si>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</si>
  <si>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</si>
  <si>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</si>
  <si>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</si>
  <si>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</si>
  <si>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</si>
  <si>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</si>
  <si>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</si>
  <si>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</si>
  <si>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</si>
  <si>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</si>
  <si>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</si>
  <si>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</si>
  <si>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</si>
  <si>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</si>
  <si>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</si>
  <si>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</si>
  <si>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</si>
  <si>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</si>
  <si>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</si>
  <si>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</si>
  <si>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</si>
  <si>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</si>
  <si>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</si>
  <si>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</si>
  <si>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</si>
  <si>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</si>
  <si>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</si>
  <si>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</si>
  <si>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</si>
  <si>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</si>
  <si>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</si>
  <si>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</si>
  <si>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</si>
  <si>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</si>
  <si>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</si>
  <si>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</si>
  <si>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</si>
  <si>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</si>
  <si>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</si>
  <si>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</si>
  <si>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</si>
  <si>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</si>
  <si>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</si>
  <si>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</si>
  <si>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</si>
  <si>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</si>
  <si>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</si>
  <si>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</si>
  <si>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</si>
  <si>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</si>
  <si>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</si>
  <si>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</si>
  <si>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</si>
  <si>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</si>
  <si>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</si>
  <si>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</si>
  <si>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</si>
  <si>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</si>
  <si>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</si>
  <si>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</si>
  <si>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</si>
  <si>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</si>
  <si>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</si>
  <si>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</si>
  <si>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</si>
  <si>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</si>
  <si>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</si>
  <si>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</si>
  <si>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</si>
  <si>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</si>
  <si>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</si>
  <si>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</si>
  <si>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</si>
  <si>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</si>
  <si>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</si>
  <si>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</si>
  <si>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</si>
  <si>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</si>
  <si>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</si>
  <si>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</si>
  <si>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</si>
  <si>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</si>
  <si>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</si>
  <si>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</si>
  <si>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</si>
  <si>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</si>
  <si>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</si>
  <si>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</si>
  <si>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</si>
  <si>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</si>
  <si>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</si>
  <si>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</si>
  <si>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</si>
  <si>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</si>
  <si>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</si>
  <si>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</si>
  <si>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</si>
  <si>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</si>
  <si>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</si>
  <si>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</si>
  <si>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</si>
  <si>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</si>
  <si>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</si>
  <si>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</si>
  <si>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</si>
  <si>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</si>
  <si>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</si>
  <si>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</si>
  <si>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</si>
  <si>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</si>
  <si>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</si>
  <si>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</si>
  <si>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</si>
  <si>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</si>
  <si>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</si>
  <si>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</si>
  <si>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</si>
  <si>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</si>
  <si>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</si>
  <si>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</si>
  <si>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</si>
  <si>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</si>
  <si>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</si>
  <si>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</si>
  <si>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</si>
  <si>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</si>
  <si>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</si>
  <si>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</si>
  <si>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</si>
  <si>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</si>
  <si>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</si>
  <si>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</si>
  <si>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</si>
  <si>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</si>
  <si>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</si>
  <si>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</si>
  <si>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</si>
  <si>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</si>
  <si>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</si>
  <si>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</si>
  <si>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</si>
  <si>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</si>
  <si>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</si>
  <si>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</si>
  <si>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</si>
  <si>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</si>
  <si>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</si>
  <si>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</si>
  <si>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</si>
  <si>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</si>
  <si>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</si>
  <si>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</si>
  <si>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</si>
  <si>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</si>
  <si>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</si>
  <si>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</si>
  <si>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</si>
  <si>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</si>
  <si>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</si>
  <si>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</si>
  <si>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</si>
  <si>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</si>
  <si>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</si>
  <si>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</si>
  <si>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</si>
  <si>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</si>
  <si>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</si>
  <si>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</si>
  <si>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</si>
  <si>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</si>
  <si>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</si>
  <si>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</si>
  <si>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</si>
  <si>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</si>
  <si>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</si>
  <si>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</si>
  <si>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</si>
  <si>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</si>
  <si>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</si>
  <si>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</si>
  <si>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</si>
  <si>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</si>
  <si>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</si>
  <si>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</si>
  <si>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</si>
  <si>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</si>
  <si>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</si>
  <si>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</si>
  <si>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</si>
  <si>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</si>
  <si>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</si>
  <si>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</si>
  <si>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</si>
  <si>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</si>
  <si>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</si>
  <si>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</si>
  <si>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</si>
  <si>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</si>
  <si>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</si>
  <si>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</si>
  <si>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</si>
  <si>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</si>
  <si>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</si>
  <si>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</si>
  <si>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</si>
  <si>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</si>
  <si>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</si>
  <si>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</si>
  <si>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</si>
  <si>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</si>
  <si>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</si>
  <si>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</si>
  <si>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</si>
  <si>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</si>
  <si>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</si>
  <si>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</si>
  <si>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</si>
  <si>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</si>
  <si>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</si>
  <si>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</si>
  <si>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</si>
  <si>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</si>
  <si>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</si>
  <si>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</si>
  <si>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</si>
  <si>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</si>
  <si>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</si>
  <si>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</si>
  <si>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</si>
  <si>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</si>
  <si>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</si>
  <si>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</si>
  <si>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</si>
  <si>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</si>
  <si>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</si>
  <si>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</si>
  <si>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</si>
  <si>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</si>
  <si>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</si>
  <si>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</si>
  <si>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</si>
  <si>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</si>
  <si>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</si>
  <si>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</si>
  <si>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</si>
  <si>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</si>
  <si>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</si>
  <si>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</si>
  <si>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</si>
  <si>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</si>
  <si>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</si>
  <si>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</si>
  <si>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</si>
  <si>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</si>
  <si>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</si>
  <si>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</si>
  <si>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</si>
  <si>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</si>
  <si>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</si>
  <si>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</si>
  <si>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</si>
  <si>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</si>
  <si>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</si>
  <si>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</si>
  <si>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</si>
  <si>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</si>
  <si>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</si>
  <si>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</si>
  <si>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</si>
  <si>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</si>
  <si>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</si>
  <si>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</si>
  <si>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</si>
  <si>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</si>
  <si>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</si>
  <si>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</si>
  <si>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</si>
  <si>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</si>
  <si>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</si>
  <si>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</si>
  <si>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</si>
  <si>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</si>
  <si>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</si>
  <si>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</si>
  <si>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</si>
  <si>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</si>
  <si>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</si>
  <si>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</si>
  <si>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</si>
  <si>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</si>
  <si>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</si>
  <si>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</si>
  <si>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</si>
  <si>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</si>
  <si>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</si>
  <si>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</si>
  <si>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</si>
  <si>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</si>
  <si>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</si>
  <si>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</si>
  <si>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</si>
  <si>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</si>
  <si>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</si>
  <si>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</si>
  <si>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</si>
  <si>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</si>
  <si>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</si>
  <si>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</si>
  <si>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</si>
  <si>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</si>
  <si>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</si>
  <si>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</si>
  <si>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</si>
  <si>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</si>
  <si>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</si>
  <si>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</si>
  <si>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</si>
  <si>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</si>
  <si>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</si>
  <si>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</si>
  <si>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Is_Not_Wrought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</si>
</sst>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BD1727"/>
  <sheetViews>
    <sheetView tabSelected="1"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6.5" bestFit="1" customWidth="1"/>
    <col min="2" max="2" width="9.25" bestFit="1" customWidth="1"/>
    <col min="3" max="5" width="8.5" bestFit="1" customWidth="1"/>
    <col min="6" max="6" width="5.5" bestFit="1" customWidth="1"/>
    <col min="7" max="7" width="6.5" bestFit="1" customWidth="1"/>
    <col min="8" max="8" width="8.5" bestFit="1" customWidth="1"/>
    <col min="9" max="9" width="5.58203125" bestFit="1" customWidth="1"/>
    <col min="10" max="15" width="8.5" bestFit="1" customWidth="1"/>
    <col min="16" max="16" width="5.25" bestFit="1" customWidth="1"/>
    <col min="17" max="20" width="7.5" bestFit="1" customWidth="1"/>
    <col min="21" max="21" width="5.33203125" bestFit="1" customWidth="1"/>
    <col min="22" max="22" width="17.08203125" bestFit="1" customWidth="1"/>
    <col min="23" max="23" width="12.83203125" bestFit="1" customWidth="1"/>
    <col min="24" max="24" width="11.75" bestFit="1" customWidth="1"/>
    <col min="25" max="25" width="12.75" bestFit="1" customWidth="1"/>
    <col min="26" max="26" width="19.58203125" bestFit="1" customWidth="1"/>
    <col min="27" max="27" width="17.83203125" bestFit="1" customWidth="1"/>
    <col min="28" max="28" width="18.58203125" bestFit="1" customWidth="1"/>
    <col min="29" max="29" width="19.83203125" bestFit="1" customWidth="1"/>
    <col min="30" max="31" width="12.75" bestFit="1" customWidth="1"/>
    <col min="32" max="32" width="13.83203125" bestFit="1" customWidth="1"/>
    <col min="33" max="33" width="9.75" bestFit="1" customWidth="1"/>
    <col min="34" max="34" width="14.08203125" bestFit="1" customWidth="1"/>
    <col min="35" max="35" width="12.25" bestFit="1" customWidth="1"/>
    <col min="36" max="36" width="12.75" bestFit="1" customWidth="1"/>
    <col min="37" max="37" width="13.83203125" bestFit="1" customWidth="1"/>
    <col min="38" max="38" width="9.75" bestFit="1" customWidth="1"/>
    <col min="39" max="39" width="14.08203125" bestFit="1" customWidth="1"/>
    <col min="40" max="40" width="12.08203125" customWidth="1"/>
    <col min="41" max="41" width="13.83203125" bestFit="1" customWidth="1"/>
    <col min="42" max="42" width="12.58203125" bestFit="1" customWidth="1"/>
    <col min="43" max="43" width="19.83203125" bestFit="1" customWidth="1"/>
    <col min="44" max="44" width="27.25" bestFit="1" customWidth="1"/>
    <col min="45" max="45" width="15.5" bestFit="1" customWidth="1"/>
    <col min="46" max="46" width="19.75" bestFit="1" customWidth="1"/>
    <col min="47" max="48" width="12.75" bestFit="1" customWidth="1"/>
    <col min="49" max="49" width="18.25" bestFit="1" customWidth="1"/>
    <col min="50" max="50" width="7.5" bestFit="1" customWidth="1"/>
    <col min="51" max="51" width="9.5" bestFit="1" customWidth="1"/>
    <col min="52" max="53" width="10.5" bestFit="1" customWidth="1"/>
    <col min="54" max="54" width="7.5" bestFit="1" customWidth="1"/>
    <col min="55" max="55" width="7.5" customWidth="1"/>
  </cols>
  <sheetData>
    <row r="1" spans="1:56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643</v>
      </c>
      <c r="W1" s="7" t="s">
        <v>640</v>
      </c>
      <c r="X1" s="3" t="s">
        <v>20</v>
      </c>
      <c r="Y1" s="3" t="s">
        <v>21</v>
      </c>
      <c r="Z1" s="3" t="s">
        <v>637</v>
      </c>
      <c r="AA1" s="3" t="s">
        <v>636</v>
      </c>
      <c r="AB1" s="3" t="s">
        <v>23</v>
      </c>
      <c r="AC1" s="3" t="s">
        <v>24</v>
      </c>
      <c r="AD1" s="6" t="s">
        <v>25</v>
      </c>
      <c r="AE1" s="6" t="s">
        <v>26</v>
      </c>
      <c r="AF1" s="6" t="s">
        <v>29</v>
      </c>
      <c r="AG1" s="6" t="s">
        <v>30</v>
      </c>
      <c r="AH1" s="6" t="s">
        <v>31</v>
      </c>
      <c r="AI1" s="6" t="s">
        <v>27</v>
      </c>
      <c r="AJ1" s="6" t="s">
        <v>28</v>
      </c>
      <c r="AK1" s="6" t="s">
        <v>32</v>
      </c>
      <c r="AL1" s="6" t="s">
        <v>33</v>
      </c>
      <c r="AM1" s="6" t="s">
        <v>34</v>
      </c>
      <c r="AN1" s="4" t="s">
        <v>641</v>
      </c>
      <c r="AO1" s="4" t="s">
        <v>35</v>
      </c>
      <c r="AP1" s="4" t="s">
        <v>36</v>
      </c>
      <c r="AQ1" s="4" t="s">
        <v>37</v>
      </c>
      <c r="AR1" s="4" t="s">
        <v>38</v>
      </c>
      <c r="AS1" s="4" t="s">
        <v>39</v>
      </c>
      <c r="AT1" s="4" t="s">
        <v>40</v>
      </c>
      <c r="AU1" s="4" t="s">
        <v>358</v>
      </c>
      <c r="AV1" s="4" t="s">
        <v>634</v>
      </c>
      <c r="AW1" s="4" t="s">
        <v>638</v>
      </c>
      <c r="AX1" s="5" t="s">
        <v>41</v>
      </c>
      <c r="AY1" s="5" t="s">
        <v>43</v>
      </c>
      <c r="AZ1" s="5" t="s">
        <v>45</v>
      </c>
      <c r="BA1" s="5" t="s">
        <v>46</v>
      </c>
      <c r="BB1" s="5" t="s">
        <v>218</v>
      </c>
      <c r="BC1" t="s">
        <v>219</v>
      </c>
      <c r="BD1" t="s">
        <v>48</v>
      </c>
    </row>
    <row r="2" spans="1:56" x14ac:dyDescent="0.3">
      <c r="A2">
        <v>10001</v>
      </c>
      <c r="B2">
        <v>1</v>
      </c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800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882</v>
      </c>
      <c r="AZ2">
        <v>500</v>
      </c>
      <c r="BD2" t="s">
        <v>49</v>
      </c>
    </row>
    <row r="3" spans="1:56" x14ac:dyDescent="0.3">
      <c r="A3">
        <v>10002</v>
      </c>
      <c r="B3">
        <v>1</v>
      </c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800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882</v>
      </c>
      <c r="AZ3">
        <v>257</v>
      </c>
      <c r="BD3" t="s">
        <v>49</v>
      </c>
    </row>
    <row r="4" spans="1:56" x14ac:dyDescent="0.3">
      <c r="A4">
        <v>10003</v>
      </c>
      <c r="B4">
        <v>1</v>
      </c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850</v>
      </c>
      <c r="AE4">
        <v>1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10.998400000000002</v>
      </c>
      <c r="AV4">
        <v>0</v>
      </c>
      <c r="AW4">
        <v>882</v>
      </c>
      <c r="AZ4">
        <v>581.4</v>
      </c>
      <c r="BA4">
        <v>22.32</v>
      </c>
      <c r="BD4" t="s">
        <v>51</v>
      </c>
    </row>
    <row r="5" spans="1:56" x14ac:dyDescent="0.3">
      <c r="A5">
        <v>10004</v>
      </c>
      <c r="B5">
        <v>1</v>
      </c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20</v>
      </c>
      <c r="Y5">
        <v>99</v>
      </c>
      <c r="Z5">
        <v>0</v>
      </c>
      <c r="AA5">
        <v>1</v>
      </c>
      <c r="AB5">
        <v>0</v>
      </c>
      <c r="AC5">
        <v>0</v>
      </c>
      <c r="AD5">
        <v>900</v>
      </c>
      <c r="AE5">
        <v>0.5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11.354000000000001</v>
      </c>
      <c r="AV5">
        <v>0</v>
      </c>
      <c r="AW5">
        <v>882</v>
      </c>
      <c r="AZ5">
        <v>352</v>
      </c>
      <c r="BA5">
        <v>9.08</v>
      </c>
      <c r="BD5" t="s">
        <v>52</v>
      </c>
    </row>
    <row r="6" spans="1:56" x14ac:dyDescent="0.3">
      <c r="A6">
        <v>10005</v>
      </c>
      <c r="B6">
        <v>1</v>
      </c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20</v>
      </c>
      <c r="Y6">
        <v>99</v>
      </c>
      <c r="Z6">
        <v>0</v>
      </c>
      <c r="AA6">
        <v>1</v>
      </c>
      <c r="AB6">
        <v>0</v>
      </c>
      <c r="AC6">
        <v>0</v>
      </c>
      <c r="AD6">
        <v>900</v>
      </c>
      <c r="AE6">
        <v>0.5</v>
      </c>
      <c r="AF6">
        <v>1</v>
      </c>
      <c r="AG6">
        <v>0</v>
      </c>
      <c r="AH6">
        <v>0</v>
      </c>
      <c r="AI6">
        <v>200</v>
      </c>
      <c r="AJ6">
        <v>1</v>
      </c>
      <c r="AK6">
        <v>1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11.354000000000001</v>
      </c>
      <c r="AV6">
        <v>0</v>
      </c>
      <c r="AW6">
        <v>882</v>
      </c>
      <c r="AZ6">
        <v>392</v>
      </c>
      <c r="BA6">
        <v>8.07</v>
      </c>
      <c r="BD6" t="s">
        <v>52</v>
      </c>
    </row>
    <row r="7" spans="1:56" x14ac:dyDescent="0.3">
      <c r="A7">
        <v>10006</v>
      </c>
      <c r="B7">
        <v>1</v>
      </c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20</v>
      </c>
      <c r="Y7">
        <v>99</v>
      </c>
      <c r="Z7">
        <v>0</v>
      </c>
      <c r="AA7">
        <v>1</v>
      </c>
      <c r="AB7">
        <v>0</v>
      </c>
      <c r="AC7">
        <v>0</v>
      </c>
      <c r="AD7">
        <v>900</v>
      </c>
      <c r="AE7">
        <v>0.5</v>
      </c>
      <c r="AF7">
        <v>1</v>
      </c>
      <c r="AG7">
        <v>0</v>
      </c>
      <c r="AH7">
        <v>0</v>
      </c>
      <c r="AI7">
        <v>300</v>
      </c>
      <c r="AJ7">
        <v>1</v>
      </c>
      <c r="AK7">
        <v>1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11.354000000000001</v>
      </c>
      <c r="AV7">
        <v>0</v>
      </c>
      <c r="AW7">
        <v>882</v>
      </c>
      <c r="AZ7">
        <v>506</v>
      </c>
      <c r="BA7">
        <v>9.58</v>
      </c>
      <c r="BD7" t="s">
        <v>52</v>
      </c>
    </row>
    <row r="8" spans="1:56" x14ac:dyDescent="0.3">
      <c r="A8">
        <v>10007</v>
      </c>
      <c r="B8">
        <v>1</v>
      </c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20</v>
      </c>
      <c r="Y8">
        <v>99</v>
      </c>
      <c r="Z8">
        <v>0</v>
      </c>
      <c r="AA8">
        <v>1</v>
      </c>
      <c r="AB8">
        <v>0</v>
      </c>
      <c r="AC8">
        <v>0</v>
      </c>
      <c r="AD8">
        <v>900</v>
      </c>
      <c r="AE8">
        <v>0.5</v>
      </c>
      <c r="AF8">
        <v>1</v>
      </c>
      <c r="AG8">
        <v>0</v>
      </c>
      <c r="AH8">
        <v>0</v>
      </c>
      <c r="AI8">
        <v>400</v>
      </c>
      <c r="AJ8">
        <v>1</v>
      </c>
      <c r="AK8">
        <v>1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11.354000000000001</v>
      </c>
      <c r="AV8">
        <v>0</v>
      </c>
      <c r="AW8">
        <v>882</v>
      </c>
      <c r="AZ8">
        <v>435</v>
      </c>
      <c r="BA8">
        <v>8.9499999999999993</v>
      </c>
      <c r="BD8" t="s">
        <v>52</v>
      </c>
    </row>
    <row r="9" spans="1:56" x14ac:dyDescent="0.3">
      <c r="A9">
        <v>10008</v>
      </c>
      <c r="B9">
        <v>1</v>
      </c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20</v>
      </c>
      <c r="Y9">
        <v>99</v>
      </c>
      <c r="Z9">
        <v>0</v>
      </c>
      <c r="AA9">
        <v>1</v>
      </c>
      <c r="AB9">
        <v>0</v>
      </c>
      <c r="AC9">
        <v>0</v>
      </c>
      <c r="AD9">
        <v>900</v>
      </c>
      <c r="AE9">
        <v>0.5</v>
      </c>
      <c r="AF9">
        <v>1</v>
      </c>
      <c r="AG9">
        <v>0</v>
      </c>
      <c r="AH9">
        <v>0</v>
      </c>
      <c r="AI9">
        <v>600</v>
      </c>
      <c r="AJ9">
        <v>1</v>
      </c>
      <c r="AK9">
        <v>1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11.354000000000001</v>
      </c>
      <c r="AV9">
        <v>0</v>
      </c>
      <c r="AW9">
        <v>882</v>
      </c>
      <c r="AZ9">
        <v>370</v>
      </c>
      <c r="BA9">
        <v>10.02</v>
      </c>
      <c r="BD9" t="s">
        <v>52</v>
      </c>
    </row>
    <row r="10" spans="1:56" x14ac:dyDescent="0.3">
      <c r="A10">
        <v>10009</v>
      </c>
      <c r="B10">
        <v>1</v>
      </c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20</v>
      </c>
      <c r="Y10">
        <v>85</v>
      </c>
      <c r="Z10">
        <v>0</v>
      </c>
      <c r="AA10">
        <v>1</v>
      </c>
      <c r="AB10">
        <v>0</v>
      </c>
      <c r="AC10">
        <v>0</v>
      </c>
      <c r="AD10">
        <v>800</v>
      </c>
      <c r="AE10">
        <v>1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10.64</v>
      </c>
      <c r="AV10">
        <v>0</v>
      </c>
      <c r="AW10">
        <v>882</v>
      </c>
      <c r="AZ10">
        <v>411</v>
      </c>
      <c r="BA10">
        <v>36.700000000000003</v>
      </c>
      <c r="BD10" t="s">
        <v>53</v>
      </c>
    </row>
    <row r="11" spans="1:56" x14ac:dyDescent="0.3">
      <c r="A11">
        <v>10010</v>
      </c>
      <c r="B11">
        <v>1</v>
      </c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20</v>
      </c>
      <c r="Y11">
        <v>90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9.1476000000000006</v>
      </c>
      <c r="AV11">
        <v>0</v>
      </c>
      <c r="AW11">
        <v>882</v>
      </c>
      <c r="AZ11">
        <v>779</v>
      </c>
      <c r="BA11">
        <v>6.2</v>
      </c>
      <c r="BD11" t="s">
        <v>54</v>
      </c>
    </row>
    <row r="12" spans="1:56" x14ac:dyDescent="0.3">
      <c r="A12">
        <v>10011</v>
      </c>
      <c r="B12">
        <v>1</v>
      </c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20</v>
      </c>
      <c r="Y12">
        <v>90</v>
      </c>
      <c r="Z12">
        <v>0</v>
      </c>
      <c r="AA12">
        <v>1</v>
      </c>
      <c r="AB12">
        <v>0</v>
      </c>
      <c r="AC12">
        <v>0</v>
      </c>
      <c r="AD12">
        <v>750</v>
      </c>
      <c r="AE12">
        <v>1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9.1476000000000006</v>
      </c>
      <c r="AV12">
        <v>0</v>
      </c>
      <c r="AW12">
        <v>882</v>
      </c>
      <c r="AZ12">
        <v>503</v>
      </c>
      <c r="BA12">
        <v>25.8</v>
      </c>
      <c r="BD12" t="s">
        <v>54</v>
      </c>
    </row>
    <row r="13" spans="1:56" x14ac:dyDescent="0.3">
      <c r="A13">
        <v>10012</v>
      </c>
      <c r="B13">
        <v>1</v>
      </c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20</v>
      </c>
      <c r="Y13">
        <v>90</v>
      </c>
      <c r="Z13">
        <v>0</v>
      </c>
      <c r="AA13">
        <v>1</v>
      </c>
      <c r="AB13">
        <v>0</v>
      </c>
      <c r="AC13">
        <v>0</v>
      </c>
      <c r="AD13">
        <v>850</v>
      </c>
      <c r="AE13">
        <v>1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9.1476000000000006</v>
      </c>
      <c r="AV13">
        <v>0</v>
      </c>
      <c r="AW13">
        <v>882</v>
      </c>
      <c r="AZ13">
        <v>608</v>
      </c>
      <c r="BA13">
        <v>24.9</v>
      </c>
      <c r="BD13" t="s">
        <v>54</v>
      </c>
    </row>
    <row r="14" spans="1:56" x14ac:dyDescent="0.3">
      <c r="A14">
        <v>10013</v>
      </c>
      <c r="B14">
        <v>1</v>
      </c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20</v>
      </c>
      <c r="Y14">
        <v>90</v>
      </c>
      <c r="Z14">
        <v>0</v>
      </c>
      <c r="AA14">
        <v>1</v>
      </c>
      <c r="AB14">
        <v>0</v>
      </c>
      <c r="AC14">
        <v>0</v>
      </c>
      <c r="AD14">
        <v>950</v>
      </c>
      <c r="AE14">
        <v>1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9.1476000000000006</v>
      </c>
      <c r="AV14">
        <v>0</v>
      </c>
      <c r="AW14">
        <v>882</v>
      </c>
      <c r="AZ14">
        <v>623</v>
      </c>
      <c r="BA14">
        <v>16.899999999999999</v>
      </c>
      <c r="BD14" t="s">
        <v>54</v>
      </c>
    </row>
    <row r="15" spans="1:56" x14ac:dyDescent="0.3">
      <c r="A15">
        <v>10014</v>
      </c>
      <c r="B15">
        <v>1</v>
      </c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20</v>
      </c>
      <c r="Y15">
        <v>90</v>
      </c>
      <c r="Z15">
        <v>0</v>
      </c>
      <c r="AA15">
        <v>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12.7148</v>
      </c>
      <c r="AV15">
        <v>0</v>
      </c>
      <c r="AW15">
        <v>882</v>
      </c>
      <c r="AZ15">
        <v>561</v>
      </c>
      <c r="BA15">
        <v>3.5</v>
      </c>
      <c r="BD15" t="s">
        <v>54</v>
      </c>
    </row>
    <row r="16" spans="1:56" x14ac:dyDescent="0.3">
      <c r="A16">
        <v>10015</v>
      </c>
      <c r="B16">
        <v>1</v>
      </c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20</v>
      </c>
      <c r="Y16">
        <v>90</v>
      </c>
      <c r="Z16">
        <v>0</v>
      </c>
      <c r="AA16">
        <v>1</v>
      </c>
      <c r="AB16">
        <v>0</v>
      </c>
      <c r="AC16">
        <v>0</v>
      </c>
      <c r="AD16">
        <v>750</v>
      </c>
      <c r="AE16">
        <v>1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12.7148</v>
      </c>
      <c r="AV16">
        <v>0</v>
      </c>
      <c r="AW16">
        <v>882</v>
      </c>
      <c r="AZ16">
        <v>449</v>
      </c>
      <c r="BA16">
        <v>24</v>
      </c>
      <c r="BD16" t="s">
        <v>54</v>
      </c>
    </row>
    <row r="17" spans="1:56" x14ac:dyDescent="0.3">
      <c r="A17">
        <v>10016</v>
      </c>
      <c r="B17">
        <v>1</v>
      </c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20</v>
      </c>
      <c r="Y17">
        <v>90</v>
      </c>
      <c r="Z17">
        <v>0</v>
      </c>
      <c r="AA17">
        <v>1</v>
      </c>
      <c r="AB17">
        <v>0</v>
      </c>
      <c r="AC17">
        <v>0</v>
      </c>
      <c r="AD17">
        <v>850</v>
      </c>
      <c r="AE17">
        <v>1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12.7148</v>
      </c>
      <c r="AV17">
        <v>0</v>
      </c>
      <c r="AW17">
        <v>882</v>
      </c>
      <c r="AZ17">
        <v>493</v>
      </c>
      <c r="BA17">
        <v>21.1</v>
      </c>
      <c r="BD17" t="s">
        <v>54</v>
      </c>
    </row>
    <row r="18" spans="1:56" x14ac:dyDescent="0.3">
      <c r="A18">
        <v>10017</v>
      </c>
      <c r="B18">
        <v>1</v>
      </c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20</v>
      </c>
      <c r="Y18">
        <v>90</v>
      </c>
      <c r="Z18">
        <v>0</v>
      </c>
      <c r="AA18">
        <v>1</v>
      </c>
      <c r="AB18">
        <v>0</v>
      </c>
      <c r="AC18">
        <v>0</v>
      </c>
      <c r="AD18">
        <v>950</v>
      </c>
      <c r="AE18">
        <v>1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12.7148</v>
      </c>
      <c r="AV18">
        <v>0</v>
      </c>
      <c r="AW18">
        <v>882</v>
      </c>
      <c r="AZ18">
        <v>587</v>
      </c>
      <c r="BA18">
        <v>17.100000000000001</v>
      </c>
      <c r="BD18" t="s">
        <v>54</v>
      </c>
    </row>
    <row r="19" spans="1:56" x14ac:dyDescent="0.3">
      <c r="A19">
        <v>10018</v>
      </c>
      <c r="B19">
        <v>1</v>
      </c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3.6400000000000006</v>
      </c>
      <c r="AV19">
        <v>0</v>
      </c>
      <c r="AW19">
        <v>882</v>
      </c>
      <c r="AY19">
        <v>672.97</v>
      </c>
      <c r="AZ19">
        <v>799.98</v>
      </c>
      <c r="BA19">
        <v>5.1100000000000003</v>
      </c>
      <c r="BD19" t="s">
        <v>55</v>
      </c>
    </row>
    <row r="20" spans="1:56" x14ac:dyDescent="0.3">
      <c r="A20">
        <v>10019</v>
      </c>
      <c r="B20">
        <v>1</v>
      </c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7.8400000000000007</v>
      </c>
      <c r="AV20">
        <v>0</v>
      </c>
      <c r="AW20">
        <v>882</v>
      </c>
      <c r="AY20">
        <v>616.5</v>
      </c>
      <c r="AZ20">
        <v>778.33</v>
      </c>
      <c r="BA20">
        <v>3.03</v>
      </c>
      <c r="BD20" t="s">
        <v>55</v>
      </c>
    </row>
    <row r="21" spans="1:56" x14ac:dyDescent="0.3">
      <c r="A21">
        <v>10020</v>
      </c>
      <c r="B21">
        <v>1</v>
      </c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20</v>
      </c>
      <c r="Y21">
        <v>85</v>
      </c>
      <c r="Z21">
        <v>0</v>
      </c>
      <c r="AA21">
        <v>1</v>
      </c>
      <c r="AB21">
        <v>0</v>
      </c>
      <c r="AC21">
        <v>0</v>
      </c>
      <c r="AD21">
        <v>900</v>
      </c>
      <c r="AE21">
        <v>0.5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4.2</v>
      </c>
      <c r="AV21">
        <v>0</v>
      </c>
      <c r="AW21">
        <v>882</v>
      </c>
      <c r="AX21">
        <v>56</v>
      </c>
      <c r="AY21">
        <v>462</v>
      </c>
      <c r="AZ21">
        <v>648</v>
      </c>
      <c r="BA21">
        <v>16</v>
      </c>
      <c r="BB21">
        <v>241</v>
      </c>
      <c r="BD21" t="s">
        <v>56</v>
      </c>
    </row>
    <row r="22" spans="1:56" x14ac:dyDescent="0.3">
      <c r="A22">
        <v>10021</v>
      </c>
      <c r="B22">
        <v>1</v>
      </c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20</v>
      </c>
      <c r="Y22">
        <v>85</v>
      </c>
      <c r="Z22">
        <v>0</v>
      </c>
      <c r="AA22">
        <v>1</v>
      </c>
      <c r="AB22">
        <v>0</v>
      </c>
      <c r="AC22">
        <v>0</v>
      </c>
      <c r="AD22">
        <v>900</v>
      </c>
      <c r="AE22">
        <v>0.5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8.9600000000000009</v>
      </c>
      <c r="AV22">
        <v>0</v>
      </c>
      <c r="AW22">
        <v>882</v>
      </c>
      <c r="AX22">
        <v>65</v>
      </c>
      <c r="AY22">
        <v>325</v>
      </c>
      <c r="AZ22">
        <v>550</v>
      </c>
      <c r="BA22">
        <v>22</v>
      </c>
      <c r="BB22">
        <v>158</v>
      </c>
      <c r="BD22" t="s">
        <v>57</v>
      </c>
    </row>
    <row r="23" spans="1:56" x14ac:dyDescent="0.3">
      <c r="A23">
        <v>10022</v>
      </c>
      <c r="B23">
        <v>1</v>
      </c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20</v>
      </c>
      <c r="Y23">
        <v>85</v>
      </c>
      <c r="Z23">
        <v>0</v>
      </c>
      <c r="AA23">
        <v>1</v>
      </c>
      <c r="AB23">
        <v>0</v>
      </c>
      <c r="AC23">
        <v>0</v>
      </c>
      <c r="AD23">
        <v>900</v>
      </c>
      <c r="AE23">
        <v>0.5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10.64</v>
      </c>
      <c r="AV23">
        <v>0</v>
      </c>
      <c r="AW23">
        <v>882</v>
      </c>
      <c r="AX23">
        <v>60</v>
      </c>
      <c r="AY23">
        <v>220</v>
      </c>
      <c r="AZ23">
        <v>479</v>
      </c>
      <c r="BA23">
        <v>41</v>
      </c>
      <c r="BB23">
        <v>167</v>
      </c>
      <c r="BD23" t="s">
        <v>58</v>
      </c>
    </row>
    <row r="24" spans="1:56" x14ac:dyDescent="0.3">
      <c r="A24">
        <v>10023</v>
      </c>
      <c r="B24">
        <v>1</v>
      </c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1</v>
      </c>
      <c r="AB24">
        <v>0</v>
      </c>
      <c r="AC24">
        <v>0</v>
      </c>
      <c r="AD24">
        <f t="shared" ref="AD24:AD47" si="0">AW24</f>
        <v>882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5.0848000000000004</v>
      </c>
      <c r="AV24">
        <v>0</v>
      </c>
      <c r="AW24">
        <v>882</v>
      </c>
      <c r="AX24">
        <v>79</v>
      </c>
      <c r="AY24">
        <v>348</v>
      </c>
      <c r="BC24" t="s">
        <v>335</v>
      </c>
      <c r="BD24" t="s">
        <v>60</v>
      </c>
    </row>
    <row r="25" spans="1:56" x14ac:dyDescent="0.3">
      <c r="A25">
        <v>10024</v>
      </c>
      <c r="B25">
        <v>1</v>
      </c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1</v>
      </c>
      <c r="AB25">
        <v>0</v>
      </c>
      <c r="AC25">
        <v>0</v>
      </c>
      <c r="AD25">
        <f t="shared" si="0"/>
        <v>882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6.7200000000000006</v>
      </c>
      <c r="AV25">
        <v>0</v>
      </c>
      <c r="AW25">
        <v>882</v>
      </c>
      <c r="AX25">
        <v>56</v>
      </c>
      <c r="AY25">
        <v>203</v>
      </c>
      <c r="BC25" t="s">
        <v>336</v>
      </c>
      <c r="BD25" t="s">
        <v>60</v>
      </c>
    </row>
    <row r="26" spans="1:56" x14ac:dyDescent="0.3">
      <c r="A26">
        <v>10025</v>
      </c>
      <c r="B26">
        <v>1</v>
      </c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f t="shared" si="0"/>
        <v>882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6.7200000000000006</v>
      </c>
      <c r="AV26">
        <v>0</v>
      </c>
      <c r="AW26">
        <v>882</v>
      </c>
      <c r="AX26">
        <v>58</v>
      </c>
      <c r="AY26">
        <v>301</v>
      </c>
      <c r="BC26" t="s">
        <v>336</v>
      </c>
      <c r="BD26" t="s">
        <v>60</v>
      </c>
    </row>
    <row r="27" spans="1:56" x14ac:dyDescent="0.3">
      <c r="A27">
        <v>10026</v>
      </c>
      <c r="B27">
        <v>1</v>
      </c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1</v>
      </c>
      <c r="AB27">
        <v>0</v>
      </c>
      <c r="AC27">
        <v>0</v>
      </c>
      <c r="AD27">
        <f t="shared" si="0"/>
        <v>882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6.7200000000000006</v>
      </c>
      <c r="AV27">
        <v>0</v>
      </c>
      <c r="AW27">
        <v>882</v>
      </c>
      <c r="AX27">
        <v>62</v>
      </c>
      <c r="AY27">
        <v>575</v>
      </c>
      <c r="BC27" t="s">
        <v>336</v>
      </c>
      <c r="BD27" t="s">
        <v>60</v>
      </c>
    </row>
    <row r="28" spans="1:56" x14ac:dyDescent="0.3">
      <c r="A28">
        <v>10027</v>
      </c>
      <c r="B28">
        <v>1</v>
      </c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1</v>
      </c>
      <c r="AB28">
        <v>0</v>
      </c>
      <c r="AC28">
        <v>0</v>
      </c>
      <c r="AD28">
        <f t="shared" si="0"/>
        <v>882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6.7200000000000006</v>
      </c>
      <c r="AV28">
        <v>0</v>
      </c>
      <c r="AW28">
        <v>882</v>
      </c>
      <c r="AX28">
        <v>60</v>
      </c>
      <c r="AY28">
        <v>300</v>
      </c>
      <c r="BC28" t="s">
        <v>336</v>
      </c>
      <c r="BD28" t="s">
        <v>60</v>
      </c>
    </row>
    <row r="29" spans="1:56" x14ac:dyDescent="0.3">
      <c r="A29">
        <v>10028</v>
      </c>
      <c r="B29">
        <v>1</v>
      </c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1</v>
      </c>
      <c r="AB29">
        <v>0</v>
      </c>
      <c r="AC29">
        <v>0</v>
      </c>
      <c r="AD29">
        <f t="shared" si="0"/>
        <v>882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2.3324000000000003</v>
      </c>
      <c r="AV29">
        <v>0</v>
      </c>
      <c r="AW29">
        <v>882</v>
      </c>
      <c r="AX29">
        <v>96</v>
      </c>
      <c r="AY29">
        <v>558</v>
      </c>
      <c r="BC29" t="s">
        <v>336</v>
      </c>
      <c r="BD29" t="s">
        <v>60</v>
      </c>
    </row>
    <row r="30" spans="1:56" x14ac:dyDescent="0.3">
      <c r="A30">
        <v>10029</v>
      </c>
      <c r="B30">
        <v>1</v>
      </c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1</v>
      </c>
      <c r="AB30">
        <v>0</v>
      </c>
      <c r="AC30">
        <v>0</v>
      </c>
      <c r="AD30">
        <f t="shared" si="0"/>
        <v>882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2.3324000000000003</v>
      </c>
      <c r="AV30">
        <v>0</v>
      </c>
      <c r="AW30">
        <v>882</v>
      </c>
      <c r="AX30">
        <v>103</v>
      </c>
      <c r="AY30">
        <v>744</v>
      </c>
      <c r="BC30" t="s">
        <v>337</v>
      </c>
      <c r="BD30" t="s">
        <v>60</v>
      </c>
    </row>
    <row r="31" spans="1:56" x14ac:dyDescent="0.3">
      <c r="A31">
        <v>10030</v>
      </c>
      <c r="B31">
        <v>1</v>
      </c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f t="shared" si="0"/>
        <v>882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2.3324000000000003</v>
      </c>
      <c r="AV31">
        <v>0</v>
      </c>
      <c r="AW31">
        <v>882</v>
      </c>
      <c r="AX31">
        <v>102</v>
      </c>
      <c r="AY31">
        <v>962</v>
      </c>
      <c r="BC31" t="s">
        <v>338</v>
      </c>
      <c r="BD31" t="s">
        <v>60</v>
      </c>
    </row>
    <row r="32" spans="1:56" x14ac:dyDescent="0.3">
      <c r="A32">
        <v>10031</v>
      </c>
      <c r="B32">
        <v>1</v>
      </c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1</v>
      </c>
      <c r="AB32">
        <v>0</v>
      </c>
      <c r="AC32">
        <v>0</v>
      </c>
      <c r="AD32">
        <f t="shared" si="0"/>
        <v>882</v>
      </c>
      <c r="AE32">
        <v>0</v>
      </c>
      <c r="AF32">
        <v>0</v>
      </c>
      <c r="AG32">
        <v>0</v>
      </c>
      <c r="AH32">
        <v>1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2.758</v>
      </c>
      <c r="AV32">
        <v>0</v>
      </c>
      <c r="AW32">
        <v>882</v>
      </c>
      <c r="AX32">
        <v>89</v>
      </c>
      <c r="AY32">
        <v>628</v>
      </c>
      <c r="BC32" t="s">
        <v>338</v>
      </c>
      <c r="BD32" t="s">
        <v>60</v>
      </c>
    </row>
    <row r="33" spans="1:56" x14ac:dyDescent="0.3">
      <c r="A33">
        <v>10032</v>
      </c>
      <c r="B33">
        <v>1</v>
      </c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1</v>
      </c>
      <c r="AB33">
        <v>0</v>
      </c>
      <c r="AC33">
        <v>0</v>
      </c>
      <c r="AD33">
        <f t="shared" si="0"/>
        <v>882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2.758</v>
      </c>
      <c r="AV33">
        <v>0</v>
      </c>
      <c r="AW33">
        <v>882</v>
      </c>
      <c r="AX33">
        <v>91</v>
      </c>
      <c r="AY33">
        <v>822</v>
      </c>
      <c r="BC33" t="s">
        <v>338</v>
      </c>
      <c r="BD33" t="s">
        <v>60</v>
      </c>
    </row>
    <row r="34" spans="1:56" x14ac:dyDescent="0.3">
      <c r="A34">
        <v>10033</v>
      </c>
      <c r="B34">
        <v>1</v>
      </c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1</v>
      </c>
      <c r="AB34">
        <v>0</v>
      </c>
      <c r="AC34">
        <v>0</v>
      </c>
      <c r="AD34">
        <f t="shared" si="0"/>
        <v>882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2.758</v>
      </c>
      <c r="AV34">
        <v>0</v>
      </c>
      <c r="AW34">
        <v>882</v>
      </c>
      <c r="AX34">
        <v>92</v>
      </c>
      <c r="AY34">
        <v>893</v>
      </c>
      <c r="BC34" t="s">
        <v>338</v>
      </c>
      <c r="BD34" t="s">
        <v>60</v>
      </c>
    </row>
    <row r="35" spans="1:56" x14ac:dyDescent="0.3">
      <c r="A35">
        <v>10034</v>
      </c>
      <c r="B35">
        <v>1</v>
      </c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1</v>
      </c>
      <c r="AB35">
        <v>0</v>
      </c>
      <c r="AC35">
        <v>0</v>
      </c>
      <c r="AD35">
        <f t="shared" si="0"/>
        <v>882</v>
      </c>
      <c r="AE35">
        <v>0</v>
      </c>
      <c r="AF35">
        <v>0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3.1948000000000003</v>
      </c>
      <c r="AV35">
        <v>0</v>
      </c>
      <c r="AW35">
        <v>882</v>
      </c>
      <c r="AX35">
        <v>89</v>
      </c>
      <c r="AY35">
        <v>655</v>
      </c>
      <c r="BC35" t="s">
        <v>338</v>
      </c>
      <c r="BD35" t="s">
        <v>60</v>
      </c>
    </row>
    <row r="36" spans="1:56" x14ac:dyDescent="0.3">
      <c r="A36">
        <v>10035</v>
      </c>
      <c r="B36">
        <v>1</v>
      </c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v>1</v>
      </c>
      <c r="AB36">
        <v>0</v>
      </c>
      <c r="AC36">
        <v>0</v>
      </c>
      <c r="AD36">
        <f t="shared" si="0"/>
        <v>882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3.1948000000000003</v>
      </c>
      <c r="AV36">
        <v>0</v>
      </c>
      <c r="AW36">
        <v>882</v>
      </c>
      <c r="AX36">
        <v>87</v>
      </c>
      <c r="AY36">
        <v>818</v>
      </c>
      <c r="BC36" t="s">
        <v>338</v>
      </c>
      <c r="BD36" t="s">
        <v>60</v>
      </c>
    </row>
    <row r="37" spans="1:56" x14ac:dyDescent="0.3">
      <c r="A37">
        <v>10036</v>
      </c>
      <c r="B37">
        <v>1</v>
      </c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v>1</v>
      </c>
      <c r="AB37">
        <v>0</v>
      </c>
      <c r="AC37">
        <v>0</v>
      </c>
      <c r="AD37">
        <f t="shared" si="0"/>
        <v>882</v>
      </c>
      <c r="AE37">
        <v>0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3.1948000000000003</v>
      </c>
      <c r="AV37">
        <v>0</v>
      </c>
      <c r="AW37">
        <v>882</v>
      </c>
      <c r="AX37">
        <v>94</v>
      </c>
      <c r="AY37">
        <v>906</v>
      </c>
      <c r="BC37" t="s">
        <v>338</v>
      </c>
      <c r="BD37" t="s">
        <v>60</v>
      </c>
    </row>
    <row r="38" spans="1:56" x14ac:dyDescent="0.3">
      <c r="A38">
        <v>10037</v>
      </c>
      <c r="B38">
        <v>1</v>
      </c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v>1</v>
      </c>
      <c r="AB38">
        <v>0</v>
      </c>
      <c r="AC38">
        <v>0</v>
      </c>
      <c r="AD38">
        <f t="shared" si="0"/>
        <v>882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3.6428000000000003</v>
      </c>
      <c r="AV38">
        <v>0</v>
      </c>
      <c r="AW38">
        <v>882</v>
      </c>
      <c r="AX38">
        <v>89</v>
      </c>
      <c r="AY38">
        <v>734</v>
      </c>
      <c r="BC38" t="s">
        <v>338</v>
      </c>
      <c r="BD38" t="s">
        <v>60</v>
      </c>
    </row>
    <row r="39" spans="1:56" x14ac:dyDescent="0.3">
      <c r="A39">
        <v>10038</v>
      </c>
      <c r="B39">
        <v>1</v>
      </c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v>1</v>
      </c>
      <c r="AB39">
        <v>0</v>
      </c>
      <c r="AC39">
        <v>0</v>
      </c>
      <c r="AD39">
        <f t="shared" si="0"/>
        <v>882</v>
      </c>
      <c r="AE39">
        <v>0</v>
      </c>
      <c r="AF39">
        <v>0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3.6428000000000003</v>
      </c>
      <c r="AV39">
        <v>0</v>
      </c>
      <c r="AW39">
        <v>882</v>
      </c>
      <c r="AX39">
        <v>99</v>
      </c>
      <c r="AY39">
        <v>854</v>
      </c>
      <c r="BC39" t="s">
        <v>220</v>
      </c>
      <c r="BD39" t="s">
        <v>60</v>
      </c>
    </row>
    <row r="40" spans="1:56" x14ac:dyDescent="0.3">
      <c r="A40">
        <v>10039</v>
      </c>
      <c r="B40">
        <v>1</v>
      </c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1</v>
      </c>
      <c r="AB40">
        <v>0</v>
      </c>
      <c r="AC40">
        <v>0</v>
      </c>
      <c r="AD40">
        <f t="shared" si="0"/>
        <v>882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3.6428000000000003</v>
      </c>
      <c r="AV40">
        <v>0</v>
      </c>
      <c r="AW40">
        <v>882</v>
      </c>
      <c r="AX40">
        <v>100</v>
      </c>
      <c r="AY40">
        <v>930</v>
      </c>
      <c r="BC40" t="s">
        <v>221</v>
      </c>
      <c r="BD40" t="s">
        <v>60</v>
      </c>
    </row>
    <row r="41" spans="1:56" x14ac:dyDescent="0.3">
      <c r="A41">
        <v>10040</v>
      </c>
      <c r="B41">
        <v>1</v>
      </c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v>1</v>
      </c>
      <c r="AB41">
        <v>0</v>
      </c>
      <c r="AC41">
        <v>0</v>
      </c>
      <c r="AD41">
        <f t="shared" si="0"/>
        <v>882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6.0815999999999999</v>
      </c>
      <c r="AV41">
        <v>0</v>
      </c>
      <c r="AW41">
        <v>882</v>
      </c>
      <c r="AX41">
        <v>73.900000000000006</v>
      </c>
      <c r="AY41">
        <v>289</v>
      </c>
      <c r="BC41" t="s">
        <v>222</v>
      </c>
      <c r="BD41" t="s">
        <v>60</v>
      </c>
    </row>
    <row r="42" spans="1:56" x14ac:dyDescent="0.3">
      <c r="A42">
        <v>10041</v>
      </c>
      <c r="B42">
        <v>1</v>
      </c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v>1</v>
      </c>
      <c r="AB42">
        <v>0</v>
      </c>
      <c r="AC42">
        <v>0</v>
      </c>
      <c r="AD42">
        <f t="shared" si="0"/>
        <v>882</v>
      </c>
      <c r="AE42">
        <v>0</v>
      </c>
      <c r="AF42">
        <v>1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6.0815999999999999</v>
      </c>
      <c r="AV42">
        <v>0</v>
      </c>
      <c r="AW42">
        <v>882</v>
      </c>
      <c r="AX42">
        <v>85</v>
      </c>
      <c r="AY42">
        <v>338</v>
      </c>
      <c r="BC42" t="s">
        <v>223</v>
      </c>
      <c r="BD42" t="s">
        <v>60</v>
      </c>
    </row>
    <row r="43" spans="1:56" x14ac:dyDescent="0.3">
      <c r="A43">
        <v>10042</v>
      </c>
      <c r="B43">
        <v>1</v>
      </c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  <c r="AA43">
        <v>1</v>
      </c>
      <c r="AB43">
        <v>0</v>
      </c>
      <c r="AC43">
        <v>0</v>
      </c>
      <c r="AD43">
        <f t="shared" si="0"/>
        <v>882</v>
      </c>
      <c r="AE43">
        <v>0</v>
      </c>
      <c r="AF43">
        <v>1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6.0815999999999999</v>
      </c>
      <c r="AV43">
        <v>0</v>
      </c>
      <c r="AW43">
        <v>882</v>
      </c>
      <c r="AX43">
        <v>72</v>
      </c>
      <c r="AY43">
        <v>382</v>
      </c>
      <c r="BC43" t="s">
        <v>224</v>
      </c>
      <c r="BD43" t="s">
        <v>60</v>
      </c>
    </row>
    <row r="44" spans="1:56" x14ac:dyDescent="0.3">
      <c r="A44">
        <v>10043</v>
      </c>
      <c r="B44">
        <v>1</v>
      </c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  <c r="AA44">
        <v>1</v>
      </c>
      <c r="AB44">
        <v>0</v>
      </c>
      <c r="AC44">
        <v>0</v>
      </c>
      <c r="AD44">
        <f t="shared" si="0"/>
        <v>882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4.1048</v>
      </c>
      <c r="AV44">
        <v>0</v>
      </c>
      <c r="AW44">
        <v>882</v>
      </c>
      <c r="AX44">
        <v>64</v>
      </c>
      <c r="AY44">
        <v>456</v>
      </c>
      <c r="BD44" t="s">
        <v>60</v>
      </c>
    </row>
    <row r="45" spans="1:56" x14ac:dyDescent="0.3">
      <c r="A45">
        <v>10044</v>
      </c>
      <c r="B45">
        <v>1</v>
      </c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1</v>
      </c>
      <c r="AB45">
        <v>0</v>
      </c>
      <c r="AC45">
        <v>0</v>
      </c>
      <c r="AD45">
        <f t="shared" si="0"/>
        <v>882</v>
      </c>
      <c r="AE45">
        <v>0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5.0652000000000008</v>
      </c>
      <c r="AV45">
        <v>0</v>
      </c>
      <c r="AW45">
        <v>882</v>
      </c>
      <c r="AX45">
        <v>79</v>
      </c>
      <c r="AY45">
        <v>327</v>
      </c>
      <c r="BD45" t="s">
        <v>60</v>
      </c>
    </row>
    <row r="46" spans="1:56" x14ac:dyDescent="0.3">
      <c r="A46">
        <v>10045</v>
      </c>
      <c r="B46">
        <v>1</v>
      </c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  <c r="AA46">
        <v>1</v>
      </c>
      <c r="AB46">
        <v>0</v>
      </c>
      <c r="AC46">
        <v>0</v>
      </c>
      <c r="AD46">
        <f t="shared" si="0"/>
        <v>882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6.16</v>
      </c>
      <c r="AV46">
        <v>0</v>
      </c>
      <c r="AW46">
        <v>882</v>
      </c>
      <c r="AX46">
        <v>73</v>
      </c>
      <c r="AY46">
        <v>405</v>
      </c>
      <c r="BD46" t="s">
        <v>60</v>
      </c>
    </row>
    <row r="47" spans="1:56" x14ac:dyDescent="0.3">
      <c r="A47">
        <v>10046</v>
      </c>
      <c r="B47">
        <v>1</v>
      </c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v>0</v>
      </c>
      <c r="AA47">
        <v>1</v>
      </c>
      <c r="AB47">
        <v>0</v>
      </c>
      <c r="AC47">
        <v>0</v>
      </c>
      <c r="AD47">
        <f t="shared" si="0"/>
        <v>882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7.2800000000000011</v>
      </c>
      <c r="AV47">
        <v>0</v>
      </c>
      <c r="AW47">
        <v>882</v>
      </c>
      <c r="AX47">
        <v>50</v>
      </c>
      <c r="AY47">
        <v>290</v>
      </c>
      <c r="BD47" t="s">
        <v>60</v>
      </c>
    </row>
    <row r="48" spans="1:56" x14ac:dyDescent="0.3">
      <c r="A48">
        <v>10047</v>
      </c>
      <c r="B48">
        <v>1</v>
      </c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7.2800000000000011</v>
      </c>
      <c r="AV48">
        <v>0</v>
      </c>
      <c r="AW48">
        <v>882</v>
      </c>
      <c r="AX48">
        <v>75</v>
      </c>
      <c r="AY48">
        <v>447</v>
      </c>
      <c r="BD48" t="s">
        <v>60</v>
      </c>
    </row>
    <row r="49" spans="1:50" x14ac:dyDescent="0.3">
      <c r="A49">
        <v>10048</v>
      </c>
      <c r="B49">
        <v>1</v>
      </c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6.7200000000000006</v>
      </c>
      <c r="AV49">
        <v>0</v>
      </c>
      <c r="AW49">
        <v>882</v>
      </c>
      <c r="AX49">
        <v>66.7</v>
      </c>
    </row>
    <row r="50" spans="1:50" x14ac:dyDescent="0.3">
      <c r="A50">
        <v>10049</v>
      </c>
      <c r="B50">
        <v>1</v>
      </c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2.0020000000000002</v>
      </c>
      <c r="AV50">
        <v>0</v>
      </c>
      <c r="AW50">
        <v>882</v>
      </c>
      <c r="AX50">
        <v>81.25</v>
      </c>
    </row>
    <row r="51" spans="1:50" x14ac:dyDescent="0.3">
      <c r="A51">
        <v>10050</v>
      </c>
      <c r="B51">
        <v>1</v>
      </c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4.6732000000000005</v>
      </c>
      <c r="AV51">
        <v>0</v>
      </c>
      <c r="AW51">
        <v>882</v>
      </c>
      <c r="AX51">
        <v>80.989999999999995</v>
      </c>
    </row>
    <row r="52" spans="1:50" x14ac:dyDescent="0.3">
      <c r="A52">
        <v>10051</v>
      </c>
      <c r="B52">
        <v>1</v>
      </c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2.548</v>
      </c>
      <c r="AV52">
        <v>0</v>
      </c>
      <c r="AW52">
        <v>882</v>
      </c>
      <c r="AX52">
        <v>92.7</v>
      </c>
    </row>
    <row r="53" spans="1:50" x14ac:dyDescent="0.3">
      <c r="A53">
        <v>10052</v>
      </c>
      <c r="B53">
        <v>1</v>
      </c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2.5760000000000001</v>
      </c>
      <c r="AV53">
        <v>0</v>
      </c>
      <c r="AW53">
        <v>882</v>
      </c>
      <c r="AX53">
        <v>93.11</v>
      </c>
    </row>
    <row r="54" spans="1:50" x14ac:dyDescent="0.3">
      <c r="A54">
        <v>10053</v>
      </c>
      <c r="B54">
        <v>1</v>
      </c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4.8580000000000005</v>
      </c>
      <c r="AV54">
        <v>0</v>
      </c>
      <c r="AW54">
        <v>882</v>
      </c>
      <c r="AX54">
        <v>98.88</v>
      </c>
    </row>
    <row r="55" spans="1:50" x14ac:dyDescent="0.3">
      <c r="A55">
        <v>10054</v>
      </c>
      <c r="B55">
        <v>1</v>
      </c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7.7000000000000011</v>
      </c>
      <c r="AV55">
        <v>0</v>
      </c>
      <c r="AW55">
        <v>882</v>
      </c>
      <c r="AX55">
        <v>77.31</v>
      </c>
    </row>
    <row r="56" spans="1:50" x14ac:dyDescent="0.3">
      <c r="A56">
        <v>10055</v>
      </c>
      <c r="B56">
        <v>1</v>
      </c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8.0220000000000002</v>
      </c>
      <c r="AV56">
        <v>0</v>
      </c>
      <c r="AW56">
        <v>882</v>
      </c>
      <c r="AX56">
        <v>95.22</v>
      </c>
    </row>
    <row r="57" spans="1:50" x14ac:dyDescent="0.3">
      <c r="A57">
        <v>10056</v>
      </c>
      <c r="B57">
        <v>1</v>
      </c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0.36400000000000005</v>
      </c>
      <c r="AV57">
        <v>0</v>
      </c>
      <c r="AW57">
        <v>882</v>
      </c>
      <c r="AX57">
        <v>112.5</v>
      </c>
    </row>
    <row r="58" spans="1:50" x14ac:dyDescent="0.3">
      <c r="A58">
        <v>10057</v>
      </c>
      <c r="B58">
        <v>1</v>
      </c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0.58800000000000008</v>
      </c>
      <c r="AV58">
        <v>0</v>
      </c>
      <c r="AW58">
        <v>882</v>
      </c>
      <c r="AX58">
        <v>108</v>
      </c>
    </row>
    <row r="59" spans="1:50" x14ac:dyDescent="0.3">
      <c r="A59">
        <v>10058</v>
      </c>
      <c r="B59">
        <v>1</v>
      </c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0</v>
      </c>
      <c r="Z59">
        <v>1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1.5148000000000001</v>
      </c>
      <c r="AV59">
        <v>0</v>
      </c>
      <c r="AW59">
        <v>882</v>
      </c>
      <c r="AX59">
        <v>78.5</v>
      </c>
    </row>
    <row r="60" spans="1:50" x14ac:dyDescent="0.3">
      <c r="A60">
        <v>10059</v>
      </c>
      <c r="B60">
        <v>1</v>
      </c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1</v>
      </c>
      <c r="W60">
        <v>0</v>
      </c>
      <c r="X60">
        <v>0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2.3324000000000003</v>
      </c>
      <c r="AV60">
        <v>0</v>
      </c>
      <c r="AW60">
        <v>882</v>
      </c>
      <c r="AX60">
        <v>66.5</v>
      </c>
    </row>
    <row r="61" spans="1:50" x14ac:dyDescent="0.3">
      <c r="A61">
        <v>10060</v>
      </c>
      <c r="B61">
        <v>1</v>
      </c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2.6740000000000004</v>
      </c>
      <c r="AV61">
        <v>0</v>
      </c>
      <c r="AW61">
        <v>882</v>
      </c>
      <c r="AX61">
        <v>66</v>
      </c>
    </row>
    <row r="62" spans="1:50" x14ac:dyDescent="0.3">
      <c r="A62">
        <v>10061</v>
      </c>
      <c r="B62">
        <v>1</v>
      </c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3.1948000000000003</v>
      </c>
      <c r="AV62">
        <v>0</v>
      </c>
      <c r="AW62">
        <v>882</v>
      </c>
      <c r="AX62">
        <v>78.5</v>
      </c>
    </row>
    <row r="63" spans="1:50" x14ac:dyDescent="0.3">
      <c r="A63">
        <v>10062</v>
      </c>
      <c r="B63">
        <v>1</v>
      </c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5.0652000000000008</v>
      </c>
      <c r="AV63">
        <v>0</v>
      </c>
      <c r="AW63">
        <v>882</v>
      </c>
      <c r="AX63">
        <v>93.5</v>
      </c>
    </row>
    <row r="64" spans="1:50" x14ac:dyDescent="0.3">
      <c r="A64">
        <v>10063</v>
      </c>
      <c r="B64">
        <v>1</v>
      </c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7.1596000000000011</v>
      </c>
      <c r="AV64">
        <v>0</v>
      </c>
      <c r="AW64">
        <v>882</v>
      </c>
      <c r="AX64">
        <v>67</v>
      </c>
    </row>
    <row r="65" spans="1:50" x14ac:dyDescent="0.3">
      <c r="A65">
        <v>10064</v>
      </c>
      <c r="B65">
        <v>1</v>
      </c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1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8.3019999999999996</v>
      </c>
      <c r="AV65">
        <v>0</v>
      </c>
      <c r="AW65">
        <v>882</v>
      </c>
      <c r="AX65">
        <v>67.5</v>
      </c>
    </row>
    <row r="66" spans="1:50" x14ac:dyDescent="0.3">
      <c r="A66">
        <v>10065</v>
      </c>
      <c r="B66">
        <v>1</v>
      </c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1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9.5200000000000014</v>
      </c>
      <c r="AV66">
        <v>0</v>
      </c>
      <c r="AW66">
        <v>882</v>
      </c>
      <c r="AX66">
        <v>74.5</v>
      </c>
    </row>
    <row r="67" spans="1:50" x14ac:dyDescent="0.3">
      <c r="A67">
        <v>10066</v>
      </c>
      <c r="B67">
        <v>1</v>
      </c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12.205200000000001</v>
      </c>
      <c r="AV67">
        <v>0</v>
      </c>
      <c r="AW67">
        <v>882</v>
      </c>
      <c r="AX67">
        <v>84</v>
      </c>
    </row>
    <row r="68" spans="1:50" x14ac:dyDescent="0.3">
      <c r="A68">
        <v>10067</v>
      </c>
      <c r="B68">
        <v>1</v>
      </c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6.2915999999999999</v>
      </c>
      <c r="AV68">
        <v>0</v>
      </c>
      <c r="AW68">
        <v>882</v>
      </c>
      <c r="AX68">
        <v>72</v>
      </c>
    </row>
    <row r="69" spans="1:50" x14ac:dyDescent="0.3">
      <c r="A69">
        <v>10068</v>
      </c>
      <c r="B69">
        <v>1</v>
      </c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7.1596000000000011</v>
      </c>
      <c r="AV69">
        <v>0</v>
      </c>
      <c r="AW69">
        <v>882</v>
      </c>
      <c r="AX69">
        <v>61</v>
      </c>
    </row>
    <row r="70" spans="1:50" x14ac:dyDescent="0.3">
      <c r="A70">
        <v>10069</v>
      </c>
      <c r="B70">
        <v>1</v>
      </c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7.6076000000000015</v>
      </c>
      <c r="AV70">
        <v>0</v>
      </c>
      <c r="AW70">
        <v>882</v>
      </c>
      <c r="AX70">
        <v>62</v>
      </c>
    </row>
    <row r="71" spans="1:50" x14ac:dyDescent="0.3">
      <c r="A71">
        <v>10070</v>
      </c>
      <c r="B71">
        <v>1</v>
      </c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8.33</v>
      </c>
      <c r="AV71">
        <v>0</v>
      </c>
      <c r="AW71">
        <v>882</v>
      </c>
      <c r="AX71">
        <v>65</v>
      </c>
    </row>
    <row r="72" spans="1:50" x14ac:dyDescent="0.3">
      <c r="A72">
        <v>10071</v>
      </c>
      <c r="B72">
        <v>1</v>
      </c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  <c r="Y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8.3496000000000006</v>
      </c>
      <c r="AV72">
        <v>0</v>
      </c>
      <c r="AW72">
        <v>882</v>
      </c>
      <c r="AX72">
        <v>64.3</v>
      </c>
    </row>
    <row r="73" spans="1:50" x14ac:dyDescent="0.3">
      <c r="A73">
        <v>10072</v>
      </c>
      <c r="B73">
        <v>1</v>
      </c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5.6000000000000005</v>
      </c>
      <c r="AV73">
        <v>0</v>
      </c>
      <c r="AW73">
        <v>882</v>
      </c>
      <c r="AX73">
        <v>61.4</v>
      </c>
    </row>
    <row r="74" spans="1:50" x14ac:dyDescent="0.3">
      <c r="A74">
        <v>10073</v>
      </c>
      <c r="B74">
        <v>1</v>
      </c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7.1428000000000011</v>
      </c>
      <c r="AV74">
        <v>0</v>
      </c>
      <c r="AW74">
        <v>882</v>
      </c>
      <c r="AX74">
        <v>65</v>
      </c>
    </row>
    <row r="75" spans="1:50" x14ac:dyDescent="0.3">
      <c r="A75">
        <v>10074</v>
      </c>
      <c r="B75">
        <v>1</v>
      </c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X75">
        <v>0</v>
      </c>
      <c r="Y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15.7948</v>
      </c>
      <c r="AV75">
        <v>0</v>
      </c>
      <c r="AW75">
        <v>882</v>
      </c>
      <c r="AX75">
        <v>54</v>
      </c>
    </row>
    <row r="76" spans="1:50" x14ac:dyDescent="0.3">
      <c r="A76">
        <v>10075</v>
      </c>
      <c r="B76">
        <v>1</v>
      </c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7.5600000000000005</v>
      </c>
      <c r="AV76">
        <v>0</v>
      </c>
      <c r="AW76">
        <v>882</v>
      </c>
      <c r="AX76">
        <v>67.099999999999994</v>
      </c>
    </row>
    <row r="77" spans="1:50" x14ac:dyDescent="0.3">
      <c r="A77">
        <v>10076</v>
      </c>
      <c r="B77">
        <v>1</v>
      </c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7.6328000000000014</v>
      </c>
      <c r="AV77">
        <v>0</v>
      </c>
      <c r="AW77">
        <v>882</v>
      </c>
      <c r="AX77">
        <v>55</v>
      </c>
    </row>
    <row r="78" spans="1:50" x14ac:dyDescent="0.3">
      <c r="A78">
        <v>10077</v>
      </c>
      <c r="B78">
        <v>1</v>
      </c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6.4820000000000002</v>
      </c>
      <c r="AV78">
        <v>0</v>
      </c>
      <c r="AW78">
        <v>882</v>
      </c>
      <c r="AX78">
        <v>65</v>
      </c>
    </row>
    <row r="79" spans="1:50" x14ac:dyDescent="0.3">
      <c r="A79">
        <v>10078</v>
      </c>
      <c r="B79">
        <v>1</v>
      </c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8.0696000000000012</v>
      </c>
      <c r="AV79">
        <v>0</v>
      </c>
      <c r="AW79">
        <v>882</v>
      </c>
      <c r="AX79">
        <v>62</v>
      </c>
    </row>
    <row r="80" spans="1:50" x14ac:dyDescent="0.3">
      <c r="A80">
        <v>10079</v>
      </c>
      <c r="B80">
        <v>1</v>
      </c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1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6.0815999999999999</v>
      </c>
      <c r="AV80">
        <v>0</v>
      </c>
      <c r="AW80">
        <v>882</v>
      </c>
      <c r="AX80">
        <v>69</v>
      </c>
    </row>
    <row r="81" spans="1:56" x14ac:dyDescent="0.3">
      <c r="A81">
        <v>10080</v>
      </c>
      <c r="B81">
        <v>1</v>
      </c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6.4820000000000002</v>
      </c>
      <c r="AV81">
        <v>0</v>
      </c>
      <c r="AW81">
        <v>882</v>
      </c>
      <c r="AX81">
        <v>65</v>
      </c>
    </row>
    <row r="82" spans="1:56" x14ac:dyDescent="0.3">
      <c r="A82">
        <v>10081</v>
      </c>
      <c r="B82">
        <v>1</v>
      </c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950</v>
      </c>
      <c r="AE82">
        <v>1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6.6</v>
      </c>
      <c r="AV82">
        <v>0</v>
      </c>
      <c r="AW82">
        <v>882</v>
      </c>
      <c r="AZ82">
        <v>587</v>
      </c>
      <c r="BA82">
        <v>20.97</v>
      </c>
      <c r="BD82" t="s">
        <v>109</v>
      </c>
    </row>
    <row r="83" spans="1:56" x14ac:dyDescent="0.3">
      <c r="A83">
        <v>10082</v>
      </c>
      <c r="B83">
        <v>1</v>
      </c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950</v>
      </c>
      <c r="AE83">
        <v>1</v>
      </c>
      <c r="AF83">
        <v>1</v>
      </c>
      <c r="AG83">
        <v>0</v>
      </c>
      <c r="AH83">
        <v>0</v>
      </c>
      <c r="AI83">
        <v>500</v>
      </c>
      <c r="AJ83">
        <v>72</v>
      </c>
      <c r="AK83">
        <v>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6.6</v>
      </c>
      <c r="AV83">
        <v>0</v>
      </c>
      <c r="AW83">
        <v>882</v>
      </c>
      <c r="AZ83">
        <v>891</v>
      </c>
      <c r="BA83">
        <v>9.32</v>
      </c>
      <c r="BD83" t="s">
        <v>109</v>
      </c>
    </row>
    <row r="84" spans="1:56" x14ac:dyDescent="0.3">
      <c r="A84">
        <v>10083</v>
      </c>
      <c r="B84">
        <v>1</v>
      </c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X84">
        <v>0</v>
      </c>
      <c r="Y84">
        <v>0</v>
      </c>
      <c r="Z84">
        <v>1</v>
      </c>
      <c r="AA84">
        <v>0</v>
      </c>
      <c r="AB84">
        <v>0</v>
      </c>
      <c r="AC84">
        <v>0</v>
      </c>
      <c r="AD84">
        <v>950</v>
      </c>
      <c r="AE84">
        <v>1</v>
      </c>
      <c r="AF84">
        <v>1</v>
      </c>
      <c r="AG84">
        <v>0</v>
      </c>
      <c r="AH84">
        <v>0</v>
      </c>
      <c r="AI84">
        <v>600</v>
      </c>
      <c r="AJ84">
        <v>72</v>
      </c>
      <c r="AK84">
        <v>1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6.6</v>
      </c>
      <c r="AV84">
        <v>0</v>
      </c>
      <c r="AW84">
        <v>882</v>
      </c>
      <c r="AZ84">
        <v>761</v>
      </c>
      <c r="BA84">
        <v>11.93</v>
      </c>
      <c r="BD84" t="s">
        <v>109</v>
      </c>
    </row>
    <row r="85" spans="1:56" x14ac:dyDescent="0.3">
      <c r="A85">
        <v>10084</v>
      </c>
      <c r="B85">
        <v>1</v>
      </c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  <c r="Y85">
        <v>0</v>
      </c>
      <c r="Z85">
        <v>1</v>
      </c>
      <c r="AA85">
        <v>0</v>
      </c>
      <c r="AB85">
        <v>0</v>
      </c>
      <c r="AC85">
        <v>0</v>
      </c>
      <c r="AD85">
        <v>950</v>
      </c>
      <c r="AE85">
        <v>1</v>
      </c>
      <c r="AF85">
        <v>1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11</v>
      </c>
      <c r="AV85">
        <v>0</v>
      </c>
      <c r="AW85">
        <v>882</v>
      </c>
      <c r="AZ85">
        <v>582</v>
      </c>
      <c r="BA85">
        <v>22.97</v>
      </c>
      <c r="BD85" t="s">
        <v>109</v>
      </c>
    </row>
    <row r="86" spans="1:56" x14ac:dyDescent="0.3">
      <c r="A86">
        <v>10085</v>
      </c>
      <c r="B86">
        <v>1</v>
      </c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1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950</v>
      </c>
      <c r="AE86">
        <v>1</v>
      </c>
      <c r="AF86">
        <v>1</v>
      </c>
      <c r="AG86">
        <v>0</v>
      </c>
      <c r="AH86">
        <v>0</v>
      </c>
      <c r="AI86">
        <v>500</v>
      </c>
      <c r="AJ86">
        <v>72</v>
      </c>
      <c r="AK86">
        <v>1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11</v>
      </c>
      <c r="AV86">
        <v>0</v>
      </c>
      <c r="AW86">
        <v>882</v>
      </c>
      <c r="AZ86">
        <v>1029</v>
      </c>
      <c r="BA86">
        <v>10.38</v>
      </c>
      <c r="BD86" t="s">
        <v>109</v>
      </c>
    </row>
    <row r="87" spans="1:56" x14ac:dyDescent="0.3">
      <c r="A87">
        <v>10086</v>
      </c>
      <c r="B87">
        <v>1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1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950</v>
      </c>
      <c r="AE87">
        <v>1</v>
      </c>
      <c r="AF87">
        <v>1</v>
      </c>
      <c r="AG87">
        <v>0</v>
      </c>
      <c r="AH87">
        <v>0</v>
      </c>
      <c r="AI87">
        <v>600</v>
      </c>
      <c r="AJ87">
        <v>72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11</v>
      </c>
      <c r="AV87">
        <v>0</v>
      </c>
      <c r="AW87">
        <v>882</v>
      </c>
      <c r="AZ87">
        <v>988</v>
      </c>
      <c r="BA87">
        <v>10.63</v>
      </c>
      <c r="BD87" t="s">
        <v>109</v>
      </c>
    </row>
    <row r="88" spans="1:56" x14ac:dyDescent="0.3">
      <c r="A88">
        <v>10087</v>
      </c>
      <c r="B88">
        <v>1</v>
      </c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f>AW88</f>
        <v>882</v>
      </c>
      <c r="AE88">
        <v>0</v>
      </c>
      <c r="AF88">
        <v>1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0.62919999999999998</v>
      </c>
      <c r="AV88">
        <v>0</v>
      </c>
      <c r="AW88">
        <v>882</v>
      </c>
      <c r="AX88">
        <v>100</v>
      </c>
      <c r="AY88">
        <v>396</v>
      </c>
      <c r="BD88" t="s">
        <v>60</v>
      </c>
    </row>
    <row r="89" spans="1:56" x14ac:dyDescent="0.3">
      <c r="A89">
        <v>10088</v>
      </c>
      <c r="B89">
        <v>1</v>
      </c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1</v>
      </c>
      <c r="AB89">
        <v>0</v>
      </c>
      <c r="AC89">
        <v>0</v>
      </c>
      <c r="AD89">
        <f>AW89</f>
        <v>882</v>
      </c>
      <c r="AE89">
        <v>0</v>
      </c>
      <c r="AF89">
        <v>1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2.2395999999999998</v>
      </c>
      <c r="AV89">
        <v>0</v>
      </c>
      <c r="AW89">
        <v>882</v>
      </c>
      <c r="AX89">
        <v>69</v>
      </c>
      <c r="AY89">
        <v>441</v>
      </c>
      <c r="BD89" t="s">
        <v>60</v>
      </c>
    </row>
    <row r="90" spans="1:56" x14ac:dyDescent="0.3">
      <c r="A90">
        <v>10089</v>
      </c>
      <c r="B90">
        <v>1</v>
      </c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1</v>
      </c>
      <c r="AB90">
        <v>0</v>
      </c>
      <c r="AC90">
        <v>0</v>
      </c>
      <c r="AD90">
        <f>AW90</f>
        <v>882</v>
      </c>
      <c r="AE90">
        <v>0</v>
      </c>
      <c r="AF90">
        <v>1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4.6023999999999994</v>
      </c>
      <c r="AV90">
        <v>0</v>
      </c>
      <c r="AW90">
        <v>882</v>
      </c>
      <c r="AX90">
        <v>88</v>
      </c>
      <c r="AY90">
        <v>379</v>
      </c>
      <c r="BD90" t="s">
        <v>60</v>
      </c>
    </row>
    <row r="91" spans="1:56" x14ac:dyDescent="0.3">
      <c r="A91">
        <v>10090</v>
      </c>
      <c r="B91">
        <v>1</v>
      </c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1</v>
      </c>
      <c r="AB91">
        <v>0</v>
      </c>
      <c r="AC91">
        <v>0</v>
      </c>
      <c r="AD91">
        <f>AW91</f>
        <v>882</v>
      </c>
      <c r="AE91">
        <v>0</v>
      </c>
      <c r="AF91">
        <v>1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8.3974000000000011</v>
      </c>
      <c r="AV91">
        <v>0</v>
      </c>
      <c r="AW91">
        <v>882</v>
      </c>
      <c r="AX91">
        <v>67</v>
      </c>
      <c r="AY91">
        <v>373</v>
      </c>
      <c r="BD91" t="s">
        <v>60</v>
      </c>
    </row>
    <row r="92" spans="1:56" x14ac:dyDescent="0.3">
      <c r="A92">
        <v>10091</v>
      </c>
      <c r="B92">
        <v>1</v>
      </c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900</v>
      </c>
      <c r="AE92">
        <v>1.67E-2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13.98</v>
      </c>
      <c r="AV92">
        <v>0</v>
      </c>
      <c r="AW92">
        <v>749.19</v>
      </c>
      <c r="AZ92">
        <v>1153</v>
      </c>
      <c r="BA92">
        <v>8.18</v>
      </c>
      <c r="BD92" t="s">
        <v>61</v>
      </c>
    </row>
    <row r="93" spans="1:56" x14ac:dyDescent="0.3">
      <c r="A93">
        <v>10092</v>
      </c>
      <c r="B93">
        <v>1</v>
      </c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900</v>
      </c>
      <c r="AE93">
        <v>0.05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13.98</v>
      </c>
      <c r="AV93">
        <v>0</v>
      </c>
      <c r="AW93">
        <v>749.19</v>
      </c>
      <c r="AZ93">
        <v>938</v>
      </c>
      <c r="BA93">
        <v>27.2</v>
      </c>
      <c r="BD93" t="s">
        <v>61</v>
      </c>
    </row>
    <row r="94" spans="1:56" x14ac:dyDescent="0.3">
      <c r="A94">
        <v>10093</v>
      </c>
      <c r="B94">
        <v>1</v>
      </c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900</v>
      </c>
      <c r="AE94">
        <v>8.3000000000000004E-2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13.98</v>
      </c>
      <c r="AV94">
        <v>0</v>
      </c>
      <c r="AW94">
        <v>749.19</v>
      </c>
      <c r="AZ94">
        <v>924</v>
      </c>
      <c r="BA94">
        <v>28.2</v>
      </c>
      <c r="BD94" t="s">
        <v>61</v>
      </c>
    </row>
    <row r="95" spans="1:56" x14ac:dyDescent="0.3">
      <c r="A95">
        <v>10094</v>
      </c>
      <c r="B95">
        <v>1</v>
      </c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1</v>
      </c>
      <c r="W95">
        <v>0</v>
      </c>
      <c r="X95">
        <v>0</v>
      </c>
      <c r="Y95">
        <v>0</v>
      </c>
      <c r="Z95">
        <v>1</v>
      </c>
      <c r="AA95">
        <v>0</v>
      </c>
      <c r="AB95">
        <v>0</v>
      </c>
      <c r="AC95">
        <v>0</v>
      </c>
      <c r="AD95">
        <v>900</v>
      </c>
      <c r="AE95">
        <v>0.16700000000000001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13.98</v>
      </c>
      <c r="AV95">
        <v>0</v>
      </c>
      <c r="AW95">
        <v>749.19</v>
      </c>
      <c r="AZ95">
        <v>921</v>
      </c>
      <c r="BA95">
        <v>21.78</v>
      </c>
      <c r="BD95" t="s">
        <v>61</v>
      </c>
    </row>
    <row r="96" spans="1:56" x14ac:dyDescent="0.3">
      <c r="A96">
        <v>10095</v>
      </c>
      <c r="B96">
        <v>1</v>
      </c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0</v>
      </c>
      <c r="X96">
        <v>0</v>
      </c>
      <c r="Y96">
        <v>0</v>
      </c>
      <c r="Z96">
        <v>1</v>
      </c>
      <c r="AA96">
        <v>0</v>
      </c>
      <c r="AB96">
        <v>0</v>
      </c>
      <c r="AC96">
        <v>0</v>
      </c>
      <c r="AD96">
        <v>900</v>
      </c>
      <c r="AE96">
        <v>0.5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13.98</v>
      </c>
      <c r="AV96">
        <v>0</v>
      </c>
      <c r="AW96">
        <v>749.19</v>
      </c>
      <c r="AZ96">
        <v>940</v>
      </c>
      <c r="BA96">
        <v>17.399999999999999</v>
      </c>
      <c r="BD96" t="s">
        <v>61</v>
      </c>
    </row>
    <row r="97" spans="1:56" x14ac:dyDescent="0.3">
      <c r="A97">
        <v>10096</v>
      </c>
      <c r="B97">
        <v>1</v>
      </c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1000</v>
      </c>
      <c r="Y97">
        <v>70</v>
      </c>
      <c r="Z97">
        <v>0</v>
      </c>
      <c r="AA97">
        <v>1</v>
      </c>
      <c r="AB97">
        <v>0</v>
      </c>
      <c r="AC97">
        <v>0</v>
      </c>
      <c r="AD97">
        <v>850</v>
      </c>
      <c r="AE97">
        <v>1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15</v>
      </c>
      <c r="AV97">
        <v>0</v>
      </c>
      <c r="AW97">
        <v>739.5</v>
      </c>
      <c r="AZ97">
        <v>669</v>
      </c>
      <c r="BA97">
        <v>45.52</v>
      </c>
      <c r="BD97" t="s">
        <v>110</v>
      </c>
    </row>
    <row r="98" spans="1:56" x14ac:dyDescent="0.3">
      <c r="A98">
        <v>10097</v>
      </c>
      <c r="B98">
        <v>1</v>
      </c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1000</v>
      </c>
      <c r="Y98">
        <v>70</v>
      </c>
      <c r="Z98">
        <v>0</v>
      </c>
      <c r="AA98">
        <v>1</v>
      </c>
      <c r="AB98">
        <v>0</v>
      </c>
      <c r="AC98">
        <v>0</v>
      </c>
      <c r="AD98">
        <v>850</v>
      </c>
      <c r="AE98">
        <v>1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16</v>
      </c>
      <c r="AV98">
        <v>0</v>
      </c>
      <c r="AW98">
        <v>730</v>
      </c>
      <c r="AZ98">
        <v>687</v>
      </c>
      <c r="BA98">
        <v>38.42</v>
      </c>
      <c r="BD98" t="s">
        <v>110</v>
      </c>
    </row>
    <row r="99" spans="1:56" x14ac:dyDescent="0.3">
      <c r="A99">
        <v>10098</v>
      </c>
      <c r="B99">
        <v>1</v>
      </c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1000</v>
      </c>
      <c r="Y99">
        <v>70</v>
      </c>
      <c r="Z99">
        <v>0</v>
      </c>
      <c r="AA99">
        <v>1</v>
      </c>
      <c r="AB99">
        <v>0</v>
      </c>
      <c r="AC99">
        <v>0</v>
      </c>
      <c r="AD99">
        <v>850</v>
      </c>
      <c r="AE99">
        <v>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17</v>
      </c>
      <c r="AV99">
        <v>0</v>
      </c>
      <c r="AW99">
        <v>720.5</v>
      </c>
      <c r="AZ99">
        <v>722</v>
      </c>
      <c r="BA99">
        <v>23.86</v>
      </c>
      <c r="BD99" t="s">
        <v>110</v>
      </c>
    </row>
    <row r="100" spans="1:56" x14ac:dyDescent="0.3">
      <c r="A100">
        <v>10099</v>
      </c>
      <c r="B100">
        <v>1</v>
      </c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1000</v>
      </c>
      <c r="Y100">
        <v>70</v>
      </c>
      <c r="Z100">
        <v>0</v>
      </c>
      <c r="AA100">
        <v>1</v>
      </c>
      <c r="AB100">
        <v>0</v>
      </c>
      <c r="AC100">
        <v>0</v>
      </c>
      <c r="AD100">
        <v>850</v>
      </c>
      <c r="AE100">
        <v>1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18</v>
      </c>
      <c r="AV100">
        <v>0</v>
      </c>
      <c r="AW100">
        <v>711</v>
      </c>
      <c r="AZ100">
        <v>778</v>
      </c>
      <c r="BA100">
        <v>15.5</v>
      </c>
      <c r="BD100" t="s">
        <v>110</v>
      </c>
    </row>
    <row r="101" spans="1:56" x14ac:dyDescent="0.3">
      <c r="A101">
        <v>10100</v>
      </c>
      <c r="B101">
        <v>1</v>
      </c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7.5</v>
      </c>
      <c r="AV101">
        <v>0</v>
      </c>
      <c r="AW101">
        <v>810.75</v>
      </c>
      <c r="AX101">
        <v>70</v>
      </c>
      <c r="AY101">
        <v>737</v>
      </c>
      <c r="AZ101">
        <v>1019</v>
      </c>
      <c r="BA101">
        <v>16</v>
      </c>
      <c r="BD101" t="s">
        <v>62</v>
      </c>
    </row>
    <row r="102" spans="1:56" x14ac:dyDescent="0.3">
      <c r="A102">
        <v>10101</v>
      </c>
      <c r="B102">
        <v>1</v>
      </c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15</v>
      </c>
      <c r="AV102">
        <v>0</v>
      </c>
      <c r="AW102">
        <v>739.5</v>
      </c>
      <c r="AX102">
        <v>84</v>
      </c>
      <c r="AY102">
        <v>745</v>
      </c>
      <c r="AZ102">
        <v>921</v>
      </c>
      <c r="BA102">
        <v>25</v>
      </c>
      <c r="BD102" t="s">
        <v>63</v>
      </c>
    </row>
    <row r="103" spans="1:56" x14ac:dyDescent="0.3">
      <c r="A103">
        <v>10102</v>
      </c>
      <c r="B103">
        <v>1</v>
      </c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20</v>
      </c>
      <c r="Y103">
        <v>94</v>
      </c>
      <c r="Z103">
        <v>0</v>
      </c>
      <c r="AA103">
        <v>1</v>
      </c>
      <c r="AB103">
        <v>0</v>
      </c>
      <c r="AC103">
        <v>0</v>
      </c>
      <c r="AD103">
        <v>900</v>
      </c>
      <c r="AE103">
        <v>0.5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8</v>
      </c>
      <c r="AV103">
        <v>0</v>
      </c>
      <c r="AW103">
        <v>806</v>
      </c>
      <c r="AX103">
        <v>58.6</v>
      </c>
      <c r="AY103">
        <v>322</v>
      </c>
      <c r="AZ103">
        <v>743</v>
      </c>
      <c r="BA103">
        <v>31.71</v>
      </c>
      <c r="BD103" t="s">
        <v>64</v>
      </c>
    </row>
    <row r="104" spans="1:56" x14ac:dyDescent="0.3">
      <c r="A104">
        <v>10103</v>
      </c>
      <c r="B104">
        <v>1</v>
      </c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>
        <v>1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10.199999999999999</v>
      </c>
      <c r="AV104">
        <v>0</v>
      </c>
      <c r="AW104">
        <v>785.1</v>
      </c>
      <c r="AY104">
        <v>741.07</v>
      </c>
      <c r="AZ104">
        <v>662.99</v>
      </c>
      <c r="BA104">
        <v>0.71</v>
      </c>
      <c r="BB104">
        <v>113</v>
      </c>
      <c r="BD104" t="s">
        <v>65</v>
      </c>
    </row>
    <row r="105" spans="1:56" x14ac:dyDescent="0.3">
      <c r="A105">
        <v>10104</v>
      </c>
      <c r="B105">
        <v>1</v>
      </c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>
        <v>1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10.83</v>
      </c>
      <c r="AV105">
        <v>0</v>
      </c>
      <c r="AW105">
        <v>779.11500000000001</v>
      </c>
      <c r="AZ105">
        <v>885.45</v>
      </c>
      <c r="BA105">
        <v>0.35</v>
      </c>
      <c r="BB105">
        <v>105.17</v>
      </c>
      <c r="BD105" t="s">
        <v>65</v>
      </c>
    </row>
    <row r="106" spans="1:56" x14ac:dyDescent="0.3">
      <c r="A106">
        <v>10105</v>
      </c>
      <c r="B106">
        <v>1</v>
      </c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v>0</v>
      </c>
      <c r="AA106">
        <v>1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12.89</v>
      </c>
      <c r="AV106">
        <v>0</v>
      </c>
      <c r="AW106">
        <v>759.54499999999996</v>
      </c>
      <c r="AZ106">
        <v>643.1</v>
      </c>
      <c r="BA106">
        <v>0.09</v>
      </c>
      <c r="BB106">
        <v>104.47</v>
      </c>
      <c r="BC106" t="s">
        <v>339</v>
      </c>
      <c r="BD106" t="s">
        <v>65</v>
      </c>
    </row>
    <row r="107" spans="1:56" x14ac:dyDescent="0.3">
      <c r="A107">
        <v>10106</v>
      </c>
      <c r="B107">
        <v>1</v>
      </c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15.05</v>
      </c>
      <c r="AV107">
        <v>0</v>
      </c>
      <c r="AW107">
        <v>739.02499999999998</v>
      </c>
      <c r="AY107">
        <v>542.47</v>
      </c>
      <c r="AZ107">
        <v>593.48</v>
      </c>
      <c r="BA107">
        <v>0.14000000000000001</v>
      </c>
      <c r="BB107">
        <v>70.48</v>
      </c>
      <c r="BC107" t="s">
        <v>339</v>
      </c>
      <c r="BD107" t="s">
        <v>65</v>
      </c>
    </row>
    <row r="108" spans="1:56" x14ac:dyDescent="0.3">
      <c r="A108">
        <v>10107</v>
      </c>
      <c r="B108">
        <v>1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1</v>
      </c>
      <c r="X108">
        <v>1000</v>
      </c>
      <c r="Y108">
        <v>70</v>
      </c>
      <c r="Z108">
        <v>0</v>
      </c>
      <c r="AA108">
        <v>1</v>
      </c>
      <c r="AB108">
        <v>0</v>
      </c>
      <c r="AC108">
        <v>0</v>
      </c>
      <c r="AD108">
        <v>850</v>
      </c>
      <c r="AE108">
        <v>1</v>
      </c>
      <c r="AF108">
        <v>1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15</v>
      </c>
      <c r="AV108">
        <v>0</v>
      </c>
      <c r="AW108">
        <v>739.5</v>
      </c>
      <c r="AY108" t="s">
        <v>216</v>
      </c>
      <c r="AZ108">
        <v>669</v>
      </c>
      <c r="BA108">
        <v>45.57</v>
      </c>
      <c r="BC108" t="s">
        <v>339</v>
      </c>
      <c r="BD108" t="s">
        <v>66</v>
      </c>
    </row>
    <row r="109" spans="1:56" x14ac:dyDescent="0.3">
      <c r="A109">
        <v>10108</v>
      </c>
      <c r="B109">
        <v>1</v>
      </c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1</v>
      </c>
      <c r="X109">
        <v>1000</v>
      </c>
      <c r="Y109">
        <v>70</v>
      </c>
      <c r="Z109">
        <v>0</v>
      </c>
      <c r="AA109">
        <v>1</v>
      </c>
      <c r="AB109">
        <v>0</v>
      </c>
      <c r="AC109">
        <v>0</v>
      </c>
      <c r="AD109">
        <v>850</v>
      </c>
      <c r="AE109">
        <v>1</v>
      </c>
      <c r="AF109">
        <v>1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16</v>
      </c>
      <c r="AV109">
        <v>0</v>
      </c>
      <c r="AW109">
        <v>730</v>
      </c>
      <c r="AZ109">
        <v>687</v>
      </c>
      <c r="BA109">
        <v>38.549999999999997</v>
      </c>
      <c r="BC109" t="s">
        <v>339</v>
      </c>
      <c r="BD109" t="s">
        <v>67</v>
      </c>
    </row>
    <row r="110" spans="1:56" x14ac:dyDescent="0.3">
      <c r="A110">
        <v>10109</v>
      </c>
      <c r="B110">
        <v>1</v>
      </c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1000</v>
      </c>
      <c r="Y110">
        <v>70</v>
      </c>
      <c r="Z110">
        <v>0</v>
      </c>
      <c r="AA110">
        <v>1</v>
      </c>
      <c r="AB110">
        <v>0</v>
      </c>
      <c r="AC110">
        <v>0</v>
      </c>
      <c r="AD110">
        <v>850</v>
      </c>
      <c r="AE110">
        <v>1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17</v>
      </c>
      <c r="AV110">
        <v>0</v>
      </c>
      <c r="AW110">
        <v>720.5</v>
      </c>
      <c r="AZ110">
        <v>722</v>
      </c>
      <c r="BA110">
        <v>23.82</v>
      </c>
      <c r="BC110" t="s">
        <v>339</v>
      </c>
      <c r="BD110" t="s">
        <v>68</v>
      </c>
    </row>
    <row r="111" spans="1:56" x14ac:dyDescent="0.3">
      <c r="A111">
        <v>10110</v>
      </c>
      <c r="B111">
        <v>1</v>
      </c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1000</v>
      </c>
      <c r="Y111">
        <v>70</v>
      </c>
      <c r="Z111">
        <v>0</v>
      </c>
      <c r="AA111">
        <v>1</v>
      </c>
      <c r="AB111">
        <v>0</v>
      </c>
      <c r="AC111">
        <v>0</v>
      </c>
      <c r="AD111">
        <v>850</v>
      </c>
      <c r="AE111">
        <v>1</v>
      </c>
      <c r="AF111">
        <v>1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18</v>
      </c>
      <c r="AV111">
        <v>0</v>
      </c>
      <c r="AW111">
        <v>711</v>
      </c>
      <c r="AZ111">
        <v>778</v>
      </c>
      <c r="BA111">
        <v>15.54</v>
      </c>
      <c r="BC111" t="s">
        <v>339</v>
      </c>
      <c r="BD111" t="s">
        <v>69</v>
      </c>
    </row>
    <row r="112" spans="1:56" x14ac:dyDescent="0.3">
      <c r="A112">
        <v>10111</v>
      </c>
      <c r="B112">
        <v>1</v>
      </c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0</v>
      </c>
      <c r="AA112">
        <v>1</v>
      </c>
      <c r="AB112">
        <v>0</v>
      </c>
      <c r="AC112">
        <v>0</v>
      </c>
      <c r="AD112">
        <f>AW112</f>
        <v>837.82500000000005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4.6500000000000004</v>
      </c>
      <c r="AV112">
        <v>0</v>
      </c>
      <c r="AW112">
        <v>837.82500000000005</v>
      </c>
      <c r="AX112">
        <v>91</v>
      </c>
      <c r="AY112">
        <v>537</v>
      </c>
      <c r="BD112" t="s">
        <v>60</v>
      </c>
    </row>
    <row r="113" spans="1:56" x14ac:dyDescent="0.3">
      <c r="A113">
        <v>10112</v>
      </c>
      <c r="B113">
        <v>1</v>
      </c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v>1</v>
      </c>
      <c r="AB113">
        <v>0</v>
      </c>
      <c r="AC113">
        <v>0</v>
      </c>
      <c r="AD113">
        <f>AW113</f>
        <v>830.79499999999996</v>
      </c>
      <c r="AE113">
        <v>0</v>
      </c>
      <c r="AF113">
        <v>1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5.3900000000000006</v>
      </c>
      <c r="AV113">
        <v>0</v>
      </c>
      <c r="AW113">
        <v>830.79499999999996</v>
      </c>
      <c r="AX113">
        <v>93</v>
      </c>
      <c r="AY113">
        <v>731</v>
      </c>
      <c r="BD113" t="s">
        <v>60</v>
      </c>
    </row>
    <row r="114" spans="1:56" x14ac:dyDescent="0.3">
      <c r="A114">
        <v>10113</v>
      </c>
      <c r="B114">
        <v>1</v>
      </c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1</v>
      </c>
      <c r="AB114">
        <v>0</v>
      </c>
      <c r="AC114">
        <v>0</v>
      </c>
      <c r="AD114">
        <f>AW114</f>
        <v>779.78</v>
      </c>
      <c r="AE114">
        <v>0</v>
      </c>
      <c r="AF114">
        <v>1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10.76</v>
      </c>
      <c r="AV114">
        <v>0</v>
      </c>
      <c r="AW114">
        <v>779.78</v>
      </c>
      <c r="AX114">
        <v>75</v>
      </c>
      <c r="AY114">
        <v>823</v>
      </c>
      <c r="BD114" t="s">
        <v>60</v>
      </c>
    </row>
    <row r="115" spans="1:56" x14ac:dyDescent="0.3">
      <c r="A115">
        <v>10114</v>
      </c>
      <c r="B115">
        <v>1</v>
      </c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v>1</v>
      </c>
      <c r="AB115">
        <v>0</v>
      </c>
      <c r="AC115">
        <v>0</v>
      </c>
      <c r="AD115">
        <f>AW115</f>
        <v>832.125</v>
      </c>
      <c r="AE115">
        <v>0</v>
      </c>
      <c r="AF115">
        <v>0</v>
      </c>
      <c r="AG115">
        <v>0</v>
      </c>
      <c r="AH115">
        <v>1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5.25</v>
      </c>
      <c r="AV115">
        <v>0</v>
      </c>
      <c r="AW115">
        <v>832.125</v>
      </c>
      <c r="AX115">
        <v>77.599999999999994</v>
      </c>
      <c r="AY115">
        <v>862</v>
      </c>
      <c r="BC115" t="s">
        <v>340</v>
      </c>
      <c r="BD115" t="s">
        <v>60</v>
      </c>
    </row>
    <row r="116" spans="1:56" x14ac:dyDescent="0.3">
      <c r="A116">
        <v>10115</v>
      </c>
      <c r="B116">
        <v>1</v>
      </c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v>1</v>
      </c>
      <c r="AB116">
        <v>0</v>
      </c>
      <c r="AC116">
        <v>0</v>
      </c>
      <c r="AD116">
        <f>AW116</f>
        <v>821.48500000000001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6.370000000000001</v>
      </c>
      <c r="AV116">
        <v>0</v>
      </c>
      <c r="AW116">
        <v>821.48500000000001</v>
      </c>
      <c r="AX116">
        <v>90</v>
      </c>
      <c r="AY116">
        <v>550</v>
      </c>
      <c r="BC116" t="s">
        <v>340</v>
      </c>
      <c r="BD116" t="s">
        <v>60</v>
      </c>
    </row>
    <row r="117" spans="1:56" x14ac:dyDescent="0.3">
      <c r="A117">
        <v>10116</v>
      </c>
      <c r="B117">
        <v>1</v>
      </c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6.25</v>
      </c>
      <c r="AV117">
        <v>0</v>
      </c>
      <c r="AW117">
        <v>822.625</v>
      </c>
      <c r="AX117">
        <v>116</v>
      </c>
      <c r="BC117" t="s">
        <v>340</v>
      </c>
    </row>
    <row r="118" spans="1:56" x14ac:dyDescent="0.3">
      <c r="A118">
        <v>10117</v>
      </c>
      <c r="B118">
        <v>1</v>
      </c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8.1</v>
      </c>
      <c r="AV118">
        <v>0</v>
      </c>
      <c r="AW118">
        <v>805.05</v>
      </c>
      <c r="AX118">
        <v>78</v>
      </c>
      <c r="BC118" t="s">
        <v>340</v>
      </c>
    </row>
    <row r="119" spans="1:56" x14ac:dyDescent="0.3">
      <c r="A119">
        <v>10118</v>
      </c>
      <c r="B119">
        <v>1</v>
      </c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22.2</v>
      </c>
      <c r="AV119">
        <v>0</v>
      </c>
      <c r="AW119">
        <v>671.1</v>
      </c>
      <c r="AX119">
        <v>99</v>
      </c>
      <c r="BC119" t="s">
        <v>340</v>
      </c>
    </row>
    <row r="120" spans="1:56" x14ac:dyDescent="0.3">
      <c r="A120">
        <v>10119</v>
      </c>
      <c r="B120">
        <v>1</v>
      </c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11.8</v>
      </c>
      <c r="AV120">
        <v>0</v>
      </c>
      <c r="AW120">
        <v>769.9</v>
      </c>
      <c r="AX120">
        <v>116</v>
      </c>
      <c r="BC120" t="s">
        <v>232</v>
      </c>
    </row>
    <row r="121" spans="1:56" x14ac:dyDescent="0.3">
      <c r="A121">
        <v>10120</v>
      </c>
      <c r="B121">
        <v>1</v>
      </c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0</v>
      </c>
      <c r="Y121">
        <v>0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3.89</v>
      </c>
      <c r="AV121">
        <v>0</v>
      </c>
      <c r="AW121">
        <v>845.04499999999996</v>
      </c>
      <c r="AX121">
        <v>70</v>
      </c>
      <c r="BC121" t="s">
        <v>232</v>
      </c>
    </row>
    <row r="122" spans="1:56" x14ac:dyDescent="0.3">
      <c r="A122">
        <v>10121</v>
      </c>
      <c r="B122">
        <v>1</v>
      </c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8.09</v>
      </c>
      <c r="AV122">
        <v>0</v>
      </c>
      <c r="AW122">
        <v>805.14499999999998</v>
      </c>
      <c r="AX122">
        <v>84</v>
      </c>
      <c r="BC122" t="s">
        <v>232</v>
      </c>
    </row>
    <row r="123" spans="1:56" x14ac:dyDescent="0.3">
      <c r="A123">
        <v>10122</v>
      </c>
      <c r="B123">
        <v>1</v>
      </c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3.2</v>
      </c>
      <c r="AV123">
        <v>0</v>
      </c>
      <c r="AW123">
        <v>851.6</v>
      </c>
      <c r="AX123">
        <v>83.73</v>
      </c>
      <c r="BC123" t="s">
        <v>232</v>
      </c>
    </row>
    <row r="124" spans="1:56" x14ac:dyDescent="0.3">
      <c r="A124">
        <v>10123</v>
      </c>
      <c r="B124">
        <v>1</v>
      </c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4.5</v>
      </c>
      <c r="AV124">
        <v>0</v>
      </c>
      <c r="AW124">
        <v>839.25</v>
      </c>
      <c r="AX124">
        <v>88.36</v>
      </c>
      <c r="BC124" t="s">
        <v>225</v>
      </c>
    </row>
    <row r="125" spans="1:56" x14ac:dyDescent="0.3">
      <c r="A125">
        <v>10124</v>
      </c>
      <c r="B125">
        <v>1</v>
      </c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6</v>
      </c>
      <c r="AV125">
        <v>0</v>
      </c>
      <c r="AW125">
        <v>825</v>
      </c>
      <c r="AX125">
        <v>111.7</v>
      </c>
      <c r="BC125" t="s">
        <v>226</v>
      </c>
    </row>
    <row r="126" spans="1:56" x14ac:dyDescent="0.3">
      <c r="A126">
        <v>10125</v>
      </c>
      <c r="B126">
        <v>1</v>
      </c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7</v>
      </c>
      <c r="AV126">
        <v>0</v>
      </c>
      <c r="AW126">
        <v>815.5</v>
      </c>
      <c r="AX126">
        <v>99.55</v>
      </c>
      <c r="BC126" t="s">
        <v>227</v>
      </c>
    </row>
    <row r="127" spans="1:56" x14ac:dyDescent="0.3">
      <c r="A127">
        <v>10126</v>
      </c>
      <c r="B127">
        <v>1</v>
      </c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8</v>
      </c>
      <c r="AV127">
        <v>0</v>
      </c>
      <c r="AW127">
        <v>806</v>
      </c>
      <c r="AX127">
        <v>82.84</v>
      </c>
      <c r="BC127" t="s">
        <v>228</v>
      </c>
    </row>
    <row r="128" spans="1:56" x14ac:dyDescent="0.3">
      <c r="A128">
        <v>10127</v>
      </c>
      <c r="B128">
        <v>1</v>
      </c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1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12</v>
      </c>
      <c r="AV128">
        <v>0</v>
      </c>
      <c r="AW128">
        <v>768</v>
      </c>
      <c r="AX128">
        <v>89.7</v>
      </c>
      <c r="BC128" t="s">
        <v>229</v>
      </c>
    </row>
    <row r="129" spans="1:56" x14ac:dyDescent="0.3">
      <c r="A129">
        <v>10128</v>
      </c>
      <c r="B129">
        <v>1</v>
      </c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5.26</v>
      </c>
      <c r="AV129">
        <v>0</v>
      </c>
      <c r="AW129">
        <v>832.03</v>
      </c>
      <c r="AX129">
        <v>113</v>
      </c>
      <c r="BC129" t="s">
        <v>230</v>
      </c>
    </row>
    <row r="130" spans="1:56" x14ac:dyDescent="0.3">
      <c r="A130">
        <v>10129</v>
      </c>
      <c r="B130">
        <v>1</v>
      </c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5.71</v>
      </c>
      <c r="AV130">
        <v>0</v>
      </c>
      <c r="AW130">
        <v>827.755</v>
      </c>
      <c r="AX130">
        <v>105.17</v>
      </c>
      <c r="BC130" t="s">
        <v>231</v>
      </c>
    </row>
    <row r="131" spans="1:56" x14ac:dyDescent="0.3">
      <c r="A131">
        <v>10130</v>
      </c>
      <c r="B131">
        <v>1</v>
      </c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0</v>
      </c>
      <c r="Y131">
        <v>0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6.87</v>
      </c>
      <c r="AV131">
        <v>0</v>
      </c>
      <c r="AW131">
        <v>816.73500000000001</v>
      </c>
      <c r="AX131">
        <v>104.47</v>
      </c>
      <c r="BC131" t="s">
        <v>232</v>
      </c>
    </row>
    <row r="132" spans="1:56" x14ac:dyDescent="0.3">
      <c r="A132">
        <v>10131</v>
      </c>
      <c r="B132">
        <v>1</v>
      </c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1</v>
      </c>
      <c r="W132">
        <v>0</v>
      </c>
      <c r="X132">
        <v>0</v>
      </c>
      <c r="Y132">
        <v>0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8.1199999999999992</v>
      </c>
      <c r="AV132">
        <v>0</v>
      </c>
      <c r="AW132">
        <v>804.86</v>
      </c>
      <c r="AX132">
        <v>70.48</v>
      </c>
      <c r="BC132" t="s">
        <v>233</v>
      </c>
    </row>
    <row r="133" spans="1:56" x14ac:dyDescent="0.3">
      <c r="A133">
        <v>10132</v>
      </c>
      <c r="B133">
        <v>1</v>
      </c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1000</v>
      </c>
      <c r="Y133">
        <v>70</v>
      </c>
      <c r="Z133">
        <v>0</v>
      </c>
      <c r="AA133">
        <v>1</v>
      </c>
      <c r="AB133">
        <v>0</v>
      </c>
      <c r="AC133">
        <v>0</v>
      </c>
      <c r="AD133">
        <v>850</v>
      </c>
      <c r="AE133">
        <v>1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16</v>
      </c>
      <c r="AV133">
        <v>0</v>
      </c>
      <c r="AW133">
        <v>761</v>
      </c>
      <c r="AZ133">
        <v>863</v>
      </c>
      <c r="BA133">
        <v>18.97</v>
      </c>
      <c r="BC133" t="s">
        <v>234</v>
      </c>
      <c r="BD133" t="s">
        <v>71</v>
      </c>
    </row>
    <row r="134" spans="1:56" x14ac:dyDescent="0.3">
      <c r="A134">
        <v>10133</v>
      </c>
      <c r="B134">
        <v>1</v>
      </c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1</v>
      </c>
      <c r="X134">
        <v>1000</v>
      </c>
      <c r="Y134">
        <v>70</v>
      </c>
      <c r="Z134">
        <v>0</v>
      </c>
      <c r="AA134">
        <v>1</v>
      </c>
      <c r="AB134">
        <v>0</v>
      </c>
      <c r="AC134">
        <v>0</v>
      </c>
      <c r="AD134">
        <v>850</v>
      </c>
      <c r="AE134">
        <v>1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17.600000000000001</v>
      </c>
      <c r="AV134">
        <v>0</v>
      </c>
      <c r="AW134">
        <v>748.9</v>
      </c>
      <c r="AZ134">
        <v>833</v>
      </c>
      <c r="BA134">
        <v>16.829999999999998</v>
      </c>
      <c r="BC134" t="s">
        <v>235</v>
      </c>
      <c r="BD134" t="s">
        <v>71</v>
      </c>
    </row>
    <row r="135" spans="1:56" x14ac:dyDescent="0.3">
      <c r="A135">
        <v>10134</v>
      </c>
      <c r="B135">
        <v>1</v>
      </c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1000</v>
      </c>
      <c r="Y135">
        <v>70</v>
      </c>
      <c r="Z135">
        <v>0</v>
      </c>
      <c r="AA135">
        <v>1</v>
      </c>
      <c r="AB135">
        <v>0</v>
      </c>
      <c r="AC135">
        <v>0</v>
      </c>
      <c r="AD135">
        <v>850</v>
      </c>
      <c r="AE135">
        <v>1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19.200000000000003</v>
      </c>
      <c r="AV135">
        <v>0</v>
      </c>
      <c r="AW135">
        <v>736.8</v>
      </c>
      <c r="AZ135">
        <v>753</v>
      </c>
      <c r="BA135">
        <v>13.27</v>
      </c>
      <c r="BD135" t="s">
        <v>71</v>
      </c>
    </row>
    <row r="136" spans="1:56" x14ac:dyDescent="0.3">
      <c r="A136">
        <v>10135</v>
      </c>
      <c r="B136">
        <v>1</v>
      </c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1000</v>
      </c>
      <c r="Y136">
        <v>70</v>
      </c>
      <c r="Z136">
        <v>0</v>
      </c>
      <c r="AA136">
        <v>1</v>
      </c>
      <c r="AB136">
        <v>0</v>
      </c>
      <c r="AC136">
        <v>0</v>
      </c>
      <c r="AD136">
        <v>850</v>
      </c>
      <c r="AE136">
        <v>1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20.8</v>
      </c>
      <c r="AV136">
        <v>0</v>
      </c>
      <c r="AW136">
        <v>724.7</v>
      </c>
      <c r="AZ136">
        <v>785</v>
      </c>
      <c r="BA136">
        <v>12.6</v>
      </c>
      <c r="BD136" t="s">
        <v>71</v>
      </c>
    </row>
    <row r="137" spans="1:56" x14ac:dyDescent="0.3">
      <c r="A137">
        <v>10136</v>
      </c>
      <c r="B137">
        <v>1</v>
      </c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1000</v>
      </c>
      <c r="Y137">
        <v>70</v>
      </c>
      <c r="Z137">
        <v>0</v>
      </c>
      <c r="AA137">
        <v>1</v>
      </c>
      <c r="AB137">
        <v>0</v>
      </c>
      <c r="AC137">
        <v>0</v>
      </c>
      <c r="AD137">
        <v>850</v>
      </c>
      <c r="AE137">
        <v>1</v>
      </c>
      <c r="AF137">
        <v>1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22.400000000000002</v>
      </c>
      <c r="AV137">
        <v>0</v>
      </c>
      <c r="AW137">
        <v>712.6</v>
      </c>
      <c r="AZ137">
        <v>789</v>
      </c>
      <c r="BA137">
        <v>13.52</v>
      </c>
      <c r="BD137" t="s">
        <v>71</v>
      </c>
    </row>
    <row r="138" spans="1:56" x14ac:dyDescent="0.3">
      <c r="A138">
        <v>10137</v>
      </c>
      <c r="B138">
        <v>1</v>
      </c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1000</v>
      </c>
      <c r="Y138">
        <v>70</v>
      </c>
      <c r="Z138">
        <v>0</v>
      </c>
      <c r="AA138">
        <v>1</v>
      </c>
      <c r="AB138">
        <v>0</v>
      </c>
      <c r="AC138">
        <v>0</v>
      </c>
      <c r="AD138">
        <v>850</v>
      </c>
      <c r="AE138">
        <v>1</v>
      </c>
      <c r="AF138">
        <v>1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19.200000000000003</v>
      </c>
      <c r="AV138">
        <v>0</v>
      </c>
      <c r="AW138">
        <v>736.8</v>
      </c>
      <c r="AZ138">
        <v>754</v>
      </c>
      <c r="BA138">
        <v>13.31</v>
      </c>
      <c r="BD138" t="s">
        <v>72</v>
      </c>
    </row>
    <row r="139" spans="1:56" x14ac:dyDescent="0.3">
      <c r="A139">
        <v>10138</v>
      </c>
      <c r="B139">
        <v>1</v>
      </c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1000</v>
      </c>
      <c r="Y139">
        <v>70</v>
      </c>
      <c r="Z139">
        <v>0</v>
      </c>
      <c r="AA139">
        <v>1</v>
      </c>
      <c r="AB139">
        <v>0</v>
      </c>
      <c r="AC139">
        <v>0</v>
      </c>
      <c r="AD139">
        <v>850</v>
      </c>
      <c r="AE139">
        <v>1</v>
      </c>
      <c r="AF139">
        <v>1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16</v>
      </c>
      <c r="AV139">
        <v>0</v>
      </c>
      <c r="AW139">
        <v>761</v>
      </c>
      <c r="AZ139">
        <v>863</v>
      </c>
      <c r="BA139">
        <v>18.989999999999998</v>
      </c>
      <c r="BD139" t="s">
        <v>73</v>
      </c>
    </row>
    <row r="140" spans="1:56" x14ac:dyDescent="0.3">
      <c r="A140">
        <v>10139</v>
      </c>
      <c r="B140">
        <v>1</v>
      </c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1000</v>
      </c>
      <c r="Y140">
        <v>70</v>
      </c>
      <c r="Z140">
        <v>0</v>
      </c>
      <c r="AA140">
        <v>1</v>
      </c>
      <c r="AB140">
        <v>0</v>
      </c>
      <c r="AC140">
        <v>0</v>
      </c>
      <c r="AD140">
        <v>850</v>
      </c>
      <c r="AE140">
        <v>1</v>
      </c>
      <c r="AF140">
        <v>1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17.600000000000001</v>
      </c>
      <c r="AV140">
        <v>0</v>
      </c>
      <c r="AW140">
        <v>748.9</v>
      </c>
      <c r="AZ140">
        <v>833</v>
      </c>
      <c r="BA140">
        <v>16.84</v>
      </c>
      <c r="BD140" t="s">
        <v>74</v>
      </c>
    </row>
    <row r="141" spans="1:56" x14ac:dyDescent="0.3">
      <c r="A141">
        <v>10140</v>
      </c>
      <c r="B141">
        <v>1</v>
      </c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1000</v>
      </c>
      <c r="Y141">
        <v>70</v>
      </c>
      <c r="Z141">
        <v>0</v>
      </c>
      <c r="AA141">
        <v>1</v>
      </c>
      <c r="AB141">
        <v>0</v>
      </c>
      <c r="AC141">
        <v>0</v>
      </c>
      <c r="AD141">
        <v>850</v>
      </c>
      <c r="AE141">
        <v>1</v>
      </c>
      <c r="AF141">
        <v>1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19.200000000000003</v>
      </c>
      <c r="AV141">
        <v>0</v>
      </c>
      <c r="AW141">
        <v>736.8</v>
      </c>
      <c r="AZ141">
        <v>753</v>
      </c>
      <c r="BA141">
        <v>13.29</v>
      </c>
      <c r="BD141" t="s">
        <v>75</v>
      </c>
    </row>
    <row r="142" spans="1:56" x14ac:dyDescent="0.3">
      <c r="A142">
        <v>10141</v>
      </c>
      <c r="B142">
        <v>1</v>
      </c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1000</v>
      </c>
      <c r="Y142">
        <v>70</v>
      </c>
      <c r="Z142">
        <v>0</v>
      </c>
      <c r="AA142">
        <v>1</v>
      </c>
      <c r="AB142">
        <v>0</v>
      </c>
      <c r="AC142">
        <v>0</v>
      </c>
      <c r="AD142">
        <v>850</v>
      </c>
      <c r="AE142">
        <v>1</v>
      </c>
      <c r="AF142">
        <v>1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20.8</v>
      </c>
      <c r="AV142">
        <v>0</v>
      </c>
      <c r="AW142">
        <v>724.7</v>
      </c>
      <c r="AZ142">
        <v>785</v>
      </c>
      <c r="BA142">
        <v>12.58</v>
      </c>
      <c r="BD142" t="s">
        <v>76</v>
      </c>
    </row>
    <row r="143" spans="1:56" x14ac:dyDescent="0.3">
      <c r="A143">
        <v>10142</v>
      </c>
      <c r="B143">
        <v>1</v>
      </c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1000</v>
      </c>
      <c r="Y143">
        <v>70</v>
      </c>
      <c r="Z143">
        <v>0</v>
      </c>
      <c r="AA143">
        <v>1</v>
      </c>
      <c r="AB143">
        <v>0</v>
      </c>
      <c r="AC143">
        <v>0</v>
      </c>
      <c r="AD143">
        <v>850</v>
      </c>
      <c r="AE143">
        <v>1</v>
      </c>
      <c r="AF143">
        <v>1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22.400000000000002</v>
      </c>
      <c r="AV143">
        <v>0</v>
      </c>
      <c r="AW143">
        <v>712.6</v>
      </c>
      <c r="AZ143">
        <v>789</v>
      </c>
      <c r="BA143">
        <v>13.49</v>
      </c>
      <c r="BD143" t="s">
        <v>77</v>
      </c>
    </row>
    <row r="144" spans="1:56" x14ac:dyDescent="0.3">
      <c r="A144">
        <v>10143</v>
      </c>
      <c r="B144">
        <v>1</v>
      </c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0</v>
      </c>
      <c r="AD144">
        <v>1000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-5.73</v>
      </c>
      <c r="AV144">
        <v>5.73</v>
      </c>
      <c r="AW144">
        <v>894.03300000000002</v>
      </c>
      <c r="AZ144">
        <v>932</v>
      </c>
      <c r="BD144" t="s">
        <v>49</v>
      </c>
    </row>
    <row r="145" spans="1:56" x14ac:dyDescent="0.3">
      <c r="A145">
        <v>10144</v>
      </c>
      <c r="B145">
        <v>1</v>
      </c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0</v>
      </c>
      <c r="AD145">
        <v>1000</v>
      </c>
      <c r="AE145">
        <v>1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-5.73</v>
      </c>
      <c r="AV145">
        <v>5.73</v>
      </c>
      <c r="AW145">
        <v>894.03300000000002</v>
      </c>
      <c r="AZ145">
        <v>695</v>
      </c>
      <c r="BD145" t="s">
        <v>49</v>
      </c>
    </row>
    <row r="146" spans="1:56" x14ac:dyDescent="0.3">
      <c r="A146">
        <v>10145</v>
      </c>
      <c r="B146">
        <v>1</v>
      </c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20.126000000000001</v>
      </c>
      <c r="AV146">
        <v>0</v>
      </c>
      <c r="AW146">
        <v>775.12400000000002</v>
      </c>
      <c r="AX146">
        <v>129</v>
      </c>
      <c r="AY146">
        <v>1560</v>
      </c>
      <c r="BD146" t="s">
        <v>60</v>
      </c>
    </row>
    <row r="147" spans="1:56" x14ac:dyDescent="0.3">
      <c r="A147">
        <v>10146</v>
      </c>
      <c r="B147">
        <v>1</v>
      </c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17.574000000000002</v>
      </c>
      <c r="AV147">
        <v>0</v>
      </c>
      <c r="AW147">
        <v>788.67599999999993</v>
      </c>
      <c r="AX147">
        <v>130</v>
      </c>
      <c r="AY147">
        <v>1847</v>
      </c>
      <c r="BD147" t="s">
        <v>60</v>
      </c>
    </row>
    <row r="148" spans="1:56" x14ac:dyDescent="0.3">
      <c r="A148">
        <v>10147</v>
      </c>
      <c r="B148">
        <v>1</v>
      </c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11.666666666666666</v>
      </c>
      <c r="AW148">
        <v>399</v>
      </c>
      <c r="AX148">
        <v>74.7</v>
      </c>
    </row>
    <row r="149" spans="1:56" x14ac:dyDescent="0.3">
      <c r="A149">
        <v>10148</v>
      </c>
      <c r="B149">
        <v>1</v>
      </c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1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1.4116666666666668</v>
      </c>
      <c r="AW149">
        <v>823.55700000000002</v>
      </c>
      <c r="AX149">
        <v>110.5</v>
      </c>
    </row>
    <row r="150" spans="1:56" x14ac:dyDescent="0.3">
      <c r="A150">
        <v>10149</v>
      </c>
      <c r="B150">
        <v>1</v>
      </c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4.583333333333333</v>
      </c>
      <c r="AW150">
        <v>692.25</v>
      </c>
      <c r="AX150">
        <v>94.61</v>
      </c>
    </row>
    <row r="151" spans="1:56" x14ac:dyDescent="0.3">
      <c r="A151">
        <v>10150</v>
      </c>
      <c r="B151">
        <v>1</v>
      </c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850</v>
      </c>
      <c r="AE151">
        <v>1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10.920000000000002</v>
      </c>
      <c r="AV151">
        <v>0.255</v>
      </c>
      <c r="AW151">
        <v>871.44299999999998</v>
      </c>
      <c r="AZ151">
        <v>598.70000000000005</v>
      </c>
      <c r="BA151">
        <v>21.88</v>
      </c>
      <c r="BD151" t="s">
        <v>51</v>
      </c>
    </row>
    <row r="152" spans="1:56" x14ac:dyDescent="0.3">
      <c r="A152">
        <v>10151</v>
      </c>
      <c r="B152">
        <v>1</v>
      </c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850</v>
      </c>
      <c r="AE152">
        <v>1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10.841600000000001</v>
      </c>
      <c r="AV152">
        <v>0.50666666666666671</v>
      </c>
      <c r="AW152">
        <v>861.024</v>
      </c>
      <c r="AZ152">
        <v>667.1</v>
      </c>
      <c r="BA152">
        <v>11.03</v>
      </c>
      <c r="BD152" t="s">
        <v>51</v>
      </c>
    </row>
    <row r="153" spans="1:56" x14ac:dyDescent="0.3">
      <c r="A153">
        <v>10152</v>
      </c>
      <c r="B153">
        <v>1</v>
      </c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850</v>
      </c>
      <c r="AE153">
        <v>1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10.763200000000001</v>
      </c>
      <c r="AV153">
        <v>0.755</v>
      </c>
      <c r="AW153">
        <v>850.74299999999994</v>
      </c>
      <c r="AZ153">
        <v>768.2</v>
      </c>
      <c r="BA153">
        <v>5.26</v>
      </c>
      <c r="BD153" t="s">
        <v>51</v>
      </c>
    </row>
    <row r="154" spans="1:56" x14ac:dyDescent="0.3">
      <c r="A154">
        <v>10153</v>
      </c>
      <c r="B154">
        <v>1</v>
      </c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850</v>
      </c>
      <c r="AE154">
        <v>1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10.684799999999999</v>
      </c>
      <c r="AV154">
        <v>1</v>
      </c>
      <c r="AW154">
        <v>840.6</v>
      </c>
      <c r="AZ154">
        <v>746.6</v>
      </c>
      <c r="BA154">
        <v>3.88</v>
      </c>
      <c r="BD154" t="s">
        <v>51</v>
      </c>
    </row>
    <row r="155" spans="1:56" x14ac:dyDescent="0.3">
      <c r="A155">
        <v>10154</v>
      </c>
      <c r="B155">
        <v>1</v>
      </c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850</v>
      </c>
      <c r="AE155">
        <v>1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10.536400000000002</v>
      </c>
      <c r="AV155">
        <v>1.4783333333333333</v>
      </c>
      <c r="AW155">
        <v>820.79700000000003</v>
      </c>
      <c r="AZ155">
        <v>655.29999999999995</v>
      </c>
      <c r="BA155">
        <v>8.0500000000000007</v>
      </c>
      <c r="BC155" t="s">
        <v>237</v>
      </c>
      <c r="BD155" t="s">
        <v>51</v>
      </c>
    </row>
    <row r="156" spans="1:56" x14ac:dyDescent="0.3">
      <c r="A156">
        <v>10155</v>
      </c>
      <c r="B156">
        <v>1</v>
      </c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20</v>
      </c>
      <c r="Y156">
        <v>95</v>
      </c>
      <c r="Z156">
        <v>0</v>
      </c>
      <c r="AA156">
        <v>1</v>
      </c>
      <c r="AB156">
        <v>0</v>
      </c>
      <c r="AC156">
        <v>0</v>
      </c>
      <c r="AD156">
        <v>900</v>
      </c>
      <c r="AE156">
        <v>0.5</v>
      </c>
      <c r="AF156">
        <v>1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9.7580000000000009</v>
      </c>
      <c r="AV156">
        <v>0.51833333333333331</v>
      </c>
      <c r="AW156">
        <v>860.54100000000005</v>
      </c>
      <c r="AZ156">
        <v>459</v>
      </c>
      <c r="BA156">
        <v>38.22</v>
      </c>
      <c r="BC156" t="s">
        <v>237</v>
      </c>
      <c r="BD156" t="s">
        <v>111</v>
      </c>
    </row>
    <row r="157" spans="1:56" x14ac:dyDescent="0.3">
      <c r="A157">
        <v>10156</v>
      </c>
      <c r="B157">
        <v>1</v>
      </c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20</v>
      </c>
      <c r="Y157">
        <v>95</v>
      </c>
      <c r="Z157">
        <v>0</v>
      </c>
      <c r="AA157">
        <v>1</v>
      </c>
      <c r="AB157">
        <v>0</v>
      </c>
      <c r="AC157">
        <v>0</v>
      </c>
      <c r="AD157">
        <v>900</v>
      </c>
      <c r="AE157">
        <v>0.5</v>
      </c>
      <c r="AF157">
        <v>1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9.6180000000000021</v>
      </c>
      <c r="AV157">
        <v>1.0216666666666667</v>
      </c>
      <c r="AW157">
        <v>839.70299999999997</v>
      </c>
      <c r="AZ157">
        <v>468</v>
      </c>
      <c r="BA157">
        <v>40.65</v>
      </c>
      <c r="BC157" t="s">
        <v>237</v>
      </c>
      <c r="BD157" t="s">
        <v>79</v>
      </c>
    </row>
    <row r="158" spans="1:56" x14ac:dyDescent="0.3">
      <c r="A158">
        <v>10157</v>
      </c>
      <c r="B158">
        <v>1</v>
      </c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20</v>
      </c>
      <c r="Y158">
        <v>95</v>
      </c>
      <c r="Z158">
        <v>0</v>
      </c>
      <c r="AA158">
        <v>1</v>
      </c>
      <c r="AB158">
        <v>0</v>
      </c>
      <c r="AC158">
        <v>0</v>
      </c>
      <c r="AD158">
        <v>900</v>
      </c>
      <c r="AE158">
        <v>0.5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9.4780000000000015</v>
      </c>
      <c r="AV158">
        <v>1.5116666666666667</v>
      </c>
      <c r="AW158">
        <v>819.41700000000003</v>
      </c>
      <c r="AZ158">
        <v>456</v>
      </c>
      <c r="BA158">
        <v>28.57</v>
      </c>
      <c r="BC158" t="s">
        <v>237</v>
      </c>
      <c r="BD158" t="s">
        <v>80</v>
      </c>
    </row>
    <row r="159" spans="1:56" x14ac:dyDescent="0.3">
      <c r="A159">
        <v>10158</v>
      </c>
      <c r="B159">
        <v>1</v>
      </c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20</v>
      </c>
      <c r="Y159">
        <v>95</v>
      </c>
      <c r="Z159">
        <v>0</v>
      </c>
      <c r="AA159">
        <v>1</v>
      </c>
      <c r="AB159">
        <v>0</v>
      </c>
      <c r="AC159">
        <v>0</v>
      </c>
      <c r="AD159">
        <v>900</v>
      </c>
      <c r="AE159">
        <v>0.5</v>
      </c>
      <c r="AF159">
        <v>1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9.3436000000000003</v>
      </c>
      <c r="AV159">
        <v>1.9866666666666666</v>
      </c>
      <c r="AW159">
        <v>799.75199999999995</v>
      </c>
      <c r="AZ159">
        <v>480</v>
      </c>
      <c r="BA159">
        <v>27.6</v>
      </c>
      <c r="BC159" t="s">
        <v>237</v>
      </c>
      <c r="BD159" t="s">
        <v>81</v>
      </c>
    </row>
    <row r="160" spans="1:56" x14ac:dyDescent="0.3">
      <c r="A160">
        <v>10159</v>
      </c>
      <c r="B160">
        <v>1</v>
      </c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800</v>
      </c>
      <c r="Y160">
        <v>35</v>
      </c>
      <c r="Z160">
        <v>0</v>
      </c>
      <c r="AA160">
        <v>1</v>
      </c>
      <c r="AB160">
        <v>0</v>
      </c>
      <c r="AC160">
        <v>0</v>
      </c>
      <c r="AD160">
        <v>800</v>
      </c>
      <c r="AE160">
        <v>1</v>
      </c>
      <c r="AF160">
        <v>0</v>
      </c>
      <c r="AG160">
        <v>0</v>
      </c>
      <c r="AH160">
        <v>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3.6400000000000006</v>
      </c>
      <c r="AV160">
        <v>2.1666666666666665</v>
      </c>
      <c r="AW160">
        <v>792.3</v>
      </c>
      <c r="AZ160">
        <v>732</v>
      </c>
      <c r="BA160">
        <v>16.25</v>
      </c>
      <c r="BC160" t="s">
        <v>236</v>
      </c>
      <c r="BD160" t="s">
        <v>82</v>
      </c>
    </row>
    <row r="161" spans="1:56" x14ac:dyDescent="0.3">
      <c r="A161">
        <v>10160</v>
      </c>
      <c r="B161">
        <v>1</v>
      </c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1</v>
      </c>
      <c r="X161">
        <v>800</v>
      </c>
      <c r="Y161">
        <v>35</v>
      </c>
      <c r="Z161">
        <v>0</v>
      </c>
      <c r="AA161">
        <v>1</v>
      </c>
      <c r="AB161">
        <v>0</v>
      </c>
      <c r="AC161">
        <v>0</v>
      </c>
      <c r="AD161">
        <v>800</v>
      </c>
      <c r="AE161">
        <v>1</v>
      </c>
      <c r="AF161">
        <v>0</v>
      </c>
      <c r="AG161">
        <v>1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3.6400000000000006</v>
      </c>
      <c r="AV161">
        <v>2.1666666666666665</v>
      </c>
      <c r="AW161">
        <v>792.3</v>
      </c>
      <c r="AZ161">
        <v>773</v>
      </c>
      <c r="BA161">
        <v>12.24</v>
      </c>
      <c r="BC161" t="s">
        <v>237</v>
      </c>
      <c r="BD161" t="s">
        <v>82</v>
      </c>
    </row>
    <row r="162" spans="1:56" x14ac:dyDescent="0.3">
      <c r="A162">
        <v>10161</v>
      </c>
      <c r="B162">
        <v>1</v>
      </c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1</v>
      </c>
      <c r="X162">
        <v>800</v>
      </c>
      <c r="Y162">
        <v>35</v>
      </c>
      <c r="Z162">
        <v>0</v>
      </c>
      <c r="AA162">
        <v>1</v>
      </c>
      <c r="AB162">
        <v>0</v>
      </c>
      <c r="AC162">
        <v>0</v>
      </c>
      <c r="AD162">
        <v>800</v>
      </c>
      <c r="AE162">
        <v>1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3.6400000000000006</v>
      </c>
      <c r="AV162">
        <v>2.1666666666666665</v>
      </c>
      <c r="AW162">
        <v>792.3</v>
      </c>
      <c r="AZ162">
        <v>743</v>
      </c>
      <c r="BA162">
        <v>20.23</v>
      </c>
      <c r="BC162" t="s">
        <v>238</v>
      </c>
      <c r="BD162" t="s">
        <v>82</v>
      </c>
    </row>
    <row r="163" spans="1:56" x14ac:dyDescent="0.3">
      <c r="A163">
        <v>10162</v>
      </c>
      <c r="B163">
        <v>1</v>
      </c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800</v>
      </c>
      <c r="Y163">
        <v>35</v>
      </c>
      <c r="Z163">
        <v>0</v>
      </c>
      <c r="AA163">
        <v>1</v>
      </c>
      <c r="AB163">
        <v>0</v>
      </c>
      <c r="AC163">
        <v>0</v>
      </c>
      <c r="AD163">
        <v>800</v>
      </c>
      <c r="AE163">
        <v>1</v>
      </c>
      <c r="AF163">
        <v>1</v>
      </c>
      <c r="AG163">
        <v>0</v>
      </c>
      <c r="AH163">
        <v>0</v>
      </c>
      <c r="AI163">
        <v>500</v>
      </c>
      <c r="AJ163">
        <v>5</v>
      </c>
      <c r="AK163">
        <v>1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3.6400000000000006</v>
      </c>
      <c r="AV163">
        <v>2.1666666666666665</v>
      </c>
      <c r="AW163">
        <v>792.3</v>
      </c>
      <c r="AZ163">
        <v>1047</v>
      </c>
      <c r="BA163">
        <v>4.26</v>
      </c>
      <c r="BC163" t="s">
        <v>239</v>
      </c>
      <c r="BD163" t="s">
        <v>82</v>
      </c>
    </row>
    <row r="164" spans="1:56" x14ac:dyDescent="0.3">
      <c r="A164">
        <v>10163</v>
      </c>
      <c r="B164">
        <v>1</v>
      </c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1</v>
      </c>
      <c r="X164">
        <v>800</v>
      </c>
      <c r="Y164">
        <v>35</v>
      </c>
      <c r="Z164">
        <v>0</v>
      </c>
      <c r="AA164">
        <v>1</v>
      </c>
      <c r="AB164">
        <v>0</v>
      </c>
      <c r="AC164">
        <v>0</v>
      </c>
      <c r="AD164">
        <v>650</v>
      </c>
      <c r="AE164">
        <v>1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3.6400000000000006</v>
      </c>
      <c r="AV164">
        <v>2.1666666666666665</v>
      </c>
      <c r="AW164">
        <v>792.3</v>
      </c>
      <c r="AZ164">
        <v>791</v>
      </c>
      <c r="BA164">
        <v>11.11</v>
      </c>
      <c r="BC164" t="s">
        <v>240</v>
      </c>
      <c r="BD164" t="s">
        <v>82</v>
      </c>
    </row>
    <row r="165" spans="1:56" x14ac:dyDescent="0.3">
      <c r="A165">
        <v>10164</v>
      </c>
      <c r="B165">
        <v>1</v>
      </c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1</v>
      </c>
      <c r="X165">
        <v>800</v>
      </c>
      <c r="Y165">
        <v>35</v>
      </c>
      <c r="Z165">
        <v>0</v>
      </c>
      <c r="AA165">
        <v>1</v>
      </c>
      <c r="AB165">
        <v>0</v>
      </c>
      <c r="AC165">
        <v>0</v>
      </c>
      <c r="AD165">
        <v>650</v>
      </c>
      <c r="AE165">
        <v>1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3.6400000000000006</v>
      </c>
      <c r="AV165">
        <v>2.1666666666666665</v>
      </c>
      <c r="AW165">
        <v>792.3</v>
      </c>
      <c r="AZ165">
        <v>871</v>
      </c>
      <c r="BA165">
        <v>11.15</v>
      </c>
      <c r="BC165" t="s">
        <v>241</v>
      </c>
      <c r="BD165" t="s">
        <v>82</v>
      </c>
    </row>
    <row r="166" spans="1:56" x14ac:dyDescent="0.3">
      <c r="A166">
        <v>10165</v>
      </c>
      <c r="B166">
        <v>1</v>
      </c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1</v>
      </c>
      <c r="X166">
        <v>800</v>
      </c>
      <c r="Y166">
        <v>35</v>
      </c>
      <c r="Z166">
        <v>0</v>
      </c>
      <c r="AA166">
        <v>1</v>
      </c>
      <c r="AB166">
        <v>0</v>
      </c>
      <c r="AC166">
        <v>0</v>
      </c>
      <c r="AD166">
        <v>650</v>
      </c>
      <c r="AE166">
        <v>1</v>
      </c>
      <c r="AF166">
        <v>1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3.6400000000000006</v>
      </c>
      <c r="AV166">
        <v>2.1666666666666665</v>
      </c>
      <c r="AW166">
        <v>792.3</v>
      </c>
      <c r="AZ166">
        <v>807</v>
      </c>
      <c r="BA166">
        <v>16.989999999999998</v>
      </c>
      <c r="BD166" t="s">
        <v>82</v>
      </c>
    </row>
    <row r="167" spans="1:56" x14ac:dyDescent="0.3">
      <c r="A167">
        <v>10166</v>
      </c>
      <c r="B167">
        <v>1</v>
      </c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800</v>
      </c>
      <c r="Y167">
        <v>35</v>
      </c>
      <c r="Z167">
        <v>0</v>
      </c>
      <c r="AA167">
        <v>1</v>
      </c>
      <c r="AB167">
        <v>0</v>
      </c>
      <c r="AC167">
        <v>0</v>
      </c>
      <c r="AD167">
        <v>650</v>
      </c>
      <c r="AE167">
        <v>1</v>
      </c>
      <c r="AF167">
        <v>1</v>
      </c>
      <c r="AG167">
        <v>0</v>
      </c>
      <c r="AH167">
        <v>0</v>
      </c>
      <c r="AI167">
        <v>500</v>
      </c>
      <c r="AJ167">
        <v>5</v>
      </c>
      <c r="AK167">
        <v>1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3.6400000000000006</v>
      </c>
      <c r="AV167">
        <v>2.1666666666666665</v>
      </c>
      <c r="AW167">
        <v>792.3</v>
      </c>
      <c r="AZ167">
        <v>881</v>
      </c>
      <c r="BA167">
        <v>8.34</v>
      </c>
      <c r="BD167" t="s">
        <v>82</v>
      </c>
    </row>
    <row r="168" spans="1:56" x14ac:dyDescent="0.3">
      <c r="A168">
        <v>10167</v>
      </c>
      <c r="B168">
        <v>1</v>
      </c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650</v>
      </c>
      <c r="Y168">
        <v>35</v>
      </c>
      <c r="Z168">
        <v>0</v>
      </c>
      <c r="AA168">
        <v>1</v>
      </c>
      <c r="AB168">
        <v>0</v>
      </c>
      <c r="AC168">
        <v>0</v>
      </c>
      <c r="AD168">
        <v>700</v>
      </c>
      <c r="AE168">
        <v>1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3.6400000000000006</v>
      </c>
      <c r="AV168">
        <v>2.1666666666666665</v>
      </c>
      <c r="AW168">
        <v>792.3</v>
      </c>
      <c r="AZ168">
        <v>814</v>
      </c>
      <c r="BA168">
        <v>19.489999999999998</v>
      </c>
      <c r="BD168" t="s">
        <v>82</v>
      </c>
    </row>
    <row r="169" spans="1:56" x14ac:dyDescent="0.3">
      <c r="A169">
        <v>10168</v>
      </c>
      <c r="B169">
        <v>1</v>
      </c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650</v>
      </c>
      <c r="Y169">
        <v>35</v>
      </c>
      <c r="Z169">
        <v>0</v>
      </c>
      <c r="AA169">
        <v>1</v>
      </c>
      <c r="AB169">
        <v>0</v>
      </c>
      <c r="AC169">
        <v>0</v>
      </c>
      <c r="AD169">
        <v>700</v>
      </c>
      <c r="AE169">
        <v>1</v>
      </c>
      <c r="AF169">
        <v>0</v>
      </c>
      <c r="AG169">
        <v>1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3.6400000000000006</v>
      </c>
      <c r="AV169">
        <v>2.1666666666666665</v>
      </c>
      <c r="AW169">
        <v>792.3</v>
      </c>
      <c r="AZ169">
        <v>876</v>
      </c>
      <c r="BA169">
        <v>15.45</v>
      </c>
      <c r="BD169" t="s">
        <v>82</v>
      </c>
    </row>
    <row r="170" spans="1:56" x14ac:dyDescent="0.3">
      <c r="A170">
        <v>10169</v>
      </c>
      <c r="B170">
        <v>1</v>
      </c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650</v>
      </c>
      <c r="Y170">
        <v>35</v>
      </c>
      <c r="Z170">
        <v>0</v>
      </c>
      <c r="AA170">
        <v>1</v>
      </c>
      <c r="AB170">
        <v>0</v>
      </c>
      <c r="AC170">
        <v>0</v>
      </c>
      <c r="AD170">
        <v>700</v>
      </c>
      <c r="AE170">
        <v>1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3.6400000000000006</v>
      </c>
      <c r="AV170">
        <v>2.1666666666666665</v>
      </c>
      <c r="AW170">
        <v>792.3</v>
      </c>
      <c r="AZ170">
        <v>804</v>
      </c>
      <c r="BA170">
        <v>20.2</v>
      </c>
      <c r="BD170" t="s">
        <v>82</v>
      </c>
    </row>
    <row r="171" spans="1:56" x14ac:dyDescent="0.3">
      <c r="A171">
        <v>10170</v>
      </c>
      <c r="B171">
        <v>1</v>
      </c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650</v>
      </c>
      <c r="Y171">
        <v>35</v>
      </c>
      <c r="Z171">
        <v>0</v>
      </c>
      <c r="AA171">
        <v>1</v>
      </c>
      <c r="AB171">
        <v>0</v>
      </c>
      <c r="AC171">
        <v>0</v>
      </c>
      <c r="AD171">
        <v>700</v>
      </c>
      <c r="AE171">
        <v>1</v>
      </c>
      <c r="AF171">
        <v>1</v>
      </c>
      <c r="AG171">
        <v>0</v>
      </c>
      <c r="AH171">
        <v>0</v>
      </c>
      <c r="AI171">
        <v>500</v>
      </c>
      <c r="AJ171">
        <v>5</v>
      </c>
      <c r="AK171">
        <v>1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3.6400000000000006</v>
      </c>
      <c r="AV171">
        <v>2.1666666666666665</v>
      </c>
      <c r="AW171">
        <v>792.3</v>
      </c>
      <c r="AZ171">
        <v>1000</v>
      </c>
      <c r="BA171">
        <v>11.83</v>
      </c>
      <c r="BD171" t="s">
        <v>82</v>
      </c>
    </row>
    <row r="172" spans="1:56" x14ac:dyDescent="0.3">
      <c r="A172">
        <v>10171</v>
      </c>
      <c r="B172">
        <v>1</v>
      </c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650</v>
      </c>
      <c r="Y172">
        <v>35</v>
      </c>
      <c r="Z172">
        <v>0</v>
      </c>
      <c r="AA172">
        <v>1</v>
      </c>
      <c r="AB172">
        <v>0</v>
      </c>
      <c r="AC172">
        <v>0</v>
      </c>
      <c r="AD172">
        <v>700</v>
      </c>
      <c r="AE172">
        <v>1</v>
      </c>
      <c r="AF172">
        <v>0</v>
      </c>
      <c r="AG172">
        <v>0</v>
      </c>
      <c r="AH172">
        <v>1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3.6400000000000006</v>
      </c>
      <c r="AV172">
        <v>2.1666666666666665</v>
      </c>
      <c r="AW172">
        <v>792.3</v>
      </c>
      <c r="AZ172">
        <v>687</v>
      </c>
      <c r="BA172">
        <v>16.059999999999999</v>
      </c>
      <c r="BD172" t="s">
        <v>82</v>
      </c>
    </row>
    <row r="173" spans="1:56" x14ac:dyDescent="0.3">
      <c r="A173">
        <v>10172</v>
      </c>
      <c r="B173">
        <v>1</v>
      </c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</v>
      </c>
      <c r="X173">
        <v>650</v>
      </c>
      <c r="Y173">
        <v>35</v>
      </c>
      <c r="Z173">
        <v>0</v>
      </c>
      <c r="AA173">
        <v>1</v>
      </c>
      <c r="AB173">
        <v>0</v>
      </c>
      <c r="AC173">
        <v>0</v>
      </c>
      <c r="AD173">
        <v>700</v>
      </c>
      <c r="AE173">
        <v>1</v>
      </c>
      <c r="AF173">
        <v>0</v>
      </c>
      <c r="AG173">
        <v>1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3.6400000000000006</v>
      </c>
      <c r="AV173">
        <v>2.1666666666666665</v>
      </c>
      <c r="AW173">
        <v>792.3</v>
      </c>
      <c r="AZ173">
        <v>850</v>
      </c>
      <c r="BA173">
        <v>19.93</v>
      </c>
      <c r="BD173" t="s">
        <v>82</v>
      </c>
    </row>
    <row r="174" spans="1:56" x14ac:dyDescent="0.3">
      <c r="A174">
        <v>10173</v>
      </c>
      <c r="B174">
        <v>1</v>
      </c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650</v>
      </c>
      <c r="Y174">
        <v>35</v>
      </c>
      <c r="Z174">
        <v>0</v>
      </c>
      <c r="AA174">
        <v>1</v>
      </c>
      <c r="AB174">
        <v>0</v>
      </c>
      <c r="AC174">
        <v>0</v>
      </c>
      <c r="AD174">
        <v>650</v>
      </c>
      <c r="AE174">
        <v>1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3.6400000000000006</v>
      </c>
      <c r="AV174">
        <v>2.1666666666666665</v>
      </c>
      <c r="AW174">
        <v>792.3</v>
      </c>
      <c r="AZ174">
        <v>761</v>
      </c>
      <c r="BA174">
        <v>13.08</v>
      </c>
      <c r="BD174" t="s">
        <v>82</v>
      </c>
    </row>
    <row r="175" spans="1:56" x14ac:dyDescent="0.3">
      <c r="A175">
        <v>10174</v>
      </c>
      <c r="B175">
        <v>1</v>
      </c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650</v>
      </c>
      <c r="Y175">
        <v>35</v>
      </c>
      <c r="Z175">
        <v>0</v>
      </c>
      <c r="AA175">
        <v>1</v>
      </c>
      <c r="AB175">
        <v>0</v>
      </c>
      <c r="AC175">
        <v>0</v>
      </c>
      <c r="AD175">
        <v>650</v>
      </c>
      <c r="AE175">
        <v>1</v>
      </c>
      <c r="AF175">
        <v>1</v>
      </c>
      <c r="AG175">
        <v>0</v>
      </c>
      <c r="AH175">
        <v>0</v>
      </c>
      <c r="AI175">
        <v>500</v>
      </c>
      <c r="AJ175">
        <v>5</v>
      </c>
      <c r="AK175">
        <v>1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3.6400000000000006</v>
      </c>
      <c r="AV175">
        <v>2.1666666666666665</v>
      </c>
      <c r="AW175">
        <v>792.3</v>
      </c>
      <c r="AZ175">
        <v>853</v>
      </c>
      <c r="BA175">
        <v>14.65</v>
      </c>
      <c r="BC175" t="s">
        <v>335</v>
      </c>
      <c r="BD175" t="s">
        <v>82</v>
      </c>
    </row>
    <row r="176" spans="1:56" x14ac:dyDescent="0.3">
      <c r="A176">
        <v>10175</v>
      </c>
      <c r="B176">
        <v>1</v>
      </c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20</v>
      </c>
      <c r="Y176">
        <v>75</v>
      </c>
      <c r="Z176">
        <v>0</v>
      </c>
      <c r="AA176">
        <v>1</v>
      </c>
      <c r="AB176">
        <v>0</v>
      </c>
      <c r="AC176">
        <v>0</v>
      </c>
      <c r="AD176">
        <v>844</v>
      </c>
      <c r="AE176">
        <v>0.5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3.6400000000000006</v>
      </c>
      <c r="AV176">
        <v>2.1666666666666665</v>
      </c>
      <c r="AW176">
        <v>792.3</v>
      </c>
      <c r="AZ176">
        <v>847</v>
      </c>
      <c r="BA176">
        <v>19.600000000000001</v>
      </c>
      <c r="BC176" t="s">
        <v>335</v>
      </c>
      <c r="BD176" t="s">
        <v>83</v>
      </c>
    </row>
    <row r="177" spans="1:56" x14ac:dyDescent="0.3">
      <c r="A177">
        <v>10176</v>
      </c>
      <c r="B177">
        <v>0</v>
      </c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1</v>
      </c>
      <c r="X177">
        <v>20</v>
      </c>
      <c r="Y177">
        <v>75</v>
      </c>
      <c r="Z177">
        <v>0</v>
      </c>
      <c r="AA177">
        <v>1</v>
      </c>
      <c r="AB177">
        <v>0</v>
      </c>
      <c r="AC177">
        <v>0</v>
      </c>
      <c r="AD177">
        <v>844</v>
      </c>
      <c r="AE177">
        <v>0.5</v>
      </c>
      <c r="AF177">
        <v>0</v>
      </c>
      <c r="AG177">
        <v>0</v>
      </c>
      <c r="AH177">
        <v>1</v>
      </c>
      <c r="AI177">
        <v>400</v>
      </c>
      <c r="AJ177">
        <v>3</v>
      </c>
      <c r="AK177">
        <v>0</v>
      </c>
      <c r="AL177">
        <v>0</v>
      </c>
      <c r="AM177">
        <v>1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3.6400000000000006</v>
      </c>
      <c r="AV177">
        <v>2.1666666666666665</v>
      </c>
      <c r="AW177">
        <v>792.3</v>
      </c>
      <c r="AZ177">
        <v>1003</v>
      </c>
      <c r="BA177">
        <v>14.69</v>
      </c>
      <c r="BC177" t="s">
        <v>335</v>
      </c>
      <c r="BD177" t="s">
        <v>83</v>
      </c>
    </row>
    <row r="178" spans="1:56" x14ac:dyDescent="0.3">
      <c r="A178">
        <v>10177</v>
      </c>
      <c r="B178">
        <v>1</v>
      </c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1</v>
      </c>
      <c r="X178">
        <v>20</v>
      </c>
      <c r="Y178">
        <v>0</v>
      </c>
      <c r="Z178">
        <v>0</v>
      </c>
      <c r="AA178">
        <v>1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9.5200000000000014</v>
      </c>
      <c r="AV178">
        <v>4.166666666666667</v>
      </c>
      <c r="AW178">
        <v>709.5</v>
      </c>
      <c r="AZ178">
        <v>839</v>
      </c>
      <c r="BA178">
        <v>15</v>
      </c>
      <c r="BC178" t="s">
        <v>335</v>
      </c>
      <c r="BD178" t="s">
        <v>85</v>
      </c>
    </row>
    <row r="179" spans="1:56" x14ac:dyDescent="0.3">
      <c r="A179">
        <v>10178</v>
      </c>
      <c r="B179">
        <v>1</v>
      </c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20</v>
      </c>
      <c r="Y179">
        <v>0</v>
      </c>
      <c r="Z179">
        <v>0</v>
      </c>
      <c r="AA179">
        <v>1</v>
      </c>
      <c r="AB179">
        <v>0</v>
      </c>
      <c r="AC179">
        <v>0</v>
      </c>
      <c r="AD179">
        <v>890</v>
      </c>
      <c r="AE179">
        <v>1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9.5200000000000014</v>
      </c>
      <c r="AV179">
        <v>4.166666666666667</v>
      </c>
      <c r="AW179">
        <v>709.5</v>
      </c>
      <c r="AZ179">
        <v>747</v>
      </c>
      <c r="BA179">
        <v>12</v>
      </c>
      <c r="BC179" t="s">
        <v>341</v>
      </c>
      <c r="BD179" t="s">
        <v>86</v>
      </c>
    </row>
    <row r="180" spans="1:56" x14ac:dyDescent="0.3">
      <c r="A180">
        <v>10179</v>
      </c>
      <c r="B180">
        <v>1</v>
      </c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20</v>
      </c>
      <c r="Y180">
        <v>20</v>
      </c>
      <c r="Z180">
        <v>0</v>
      </c>
      <c r="AA180">
        <v>1</v>
      </c>
      <c r="AB180">
        <v>0</v>
      </c>
      <c r="AC180">
        <v>0</v>
      </c>
      <c r="AD180">
        <v>890</v>
      </c>
      <c r="AE180">
        <v>1</v>
      </c>
      <c r="AF180">
        <v>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9.5200000000000014</v>
      </c>
      <c r="AV180">
        <v>4.166666666666667</v>
      </c>
      <c r="AW180">
        <v>709.5</v>
      </c>
      <c r="AZ180">
        <v>788</v>
      </c>
      <c r="BA180">
        <v>8</v>
      </c>
      <c r="BC180" t="s">
        <v>341</v>
      </c>
      <c r="BD180" t="s">
        <v>87</v>
      </c>
    </row>
    <row r="181" spans="1:56" x14ac:dyDescent="0.3">
      <c r="A181">
        <v>10180</v>
      </c>
      <c r="B181">
        <v>1</v>
      </c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20</v>
      </c>
      <c r="Y181">
        <v>56</v>
      </c>
      <c r="Z181">
        <v>0</v>
      </c>
      <c r="AA181">
        <v>1</v>
      </c>
      <c r="AB181">
        <v>0</v>
      </c>
      <c r="AC181">
        <v>0</v>
      </c>
      <c r="AD181">
        <v>890</v>
      </c>
      <c r="AE181">
        <v>1</v>
      </c>
      <c r="AF181">
        <v>1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9.5200000000000014</v>
      </c>
      <c r="AV181">
        <v>4.166666666666667</v>
      </c>
      <c r="AW181">
        <v>709.5</v>
      </c>
      <c r="AZ181">
        <v>895</v>
      </c>
      <c r="BA181">
        <v>7</v>
      </c>
      <c r="BC181" t="s">
        <v>341</v>
      </c>
      <c r="BD181" t="s">
        <v>88</v>
      </c>
    </row>
    <row r="182" spans="1:56" x14ac:dyDescent="0.3">
      <c r="A182">
        <v>10181</v>
      </c>
      <c r="B182">
        <v>1</v>
      </c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20</v>
      </c>
      <c r="Y182">
        <v>76</v>
      </c>
      <c r="Z182">
        <v>0</v>
      </c>
      <c r="AA182">
        <v>1</v>
      </c>
      <c r="AB182">
        <v>0</v>
      </c>
      <c r="AC182">
        <v>0</v>
      </c>
      <c r="AD182">
        <v>890</v>
      </c>
      <c r="AE182">
        <v>1</v>
      </c>
      <c r="AF182">
        <v>1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9.5200000000000014</v>
      </c>
      <c r="AV182">
        <v>4.166666666666667</v>
      </c>
      <c r="AW182">
        <v>709.5</v>
      </c>
      <c r="AZ182">
        <v>1015</v>
      </c>
      <c r="BA182">
        <v>10</v>
      </c>
      <c r="BC182" t="s">
        <v>341</v>
      </c>
      <c r="BD182" t="s">
        <v>89</v>
      </c>
    </row>
    <row r="183" spans="1:56" x14ac:dyDescent="0.3">
      <c r="A183">
        <v>10182</v>
      </c>
      <c r="B183">
        <v>1</v>
      </c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20</v>
      </c>
      <c r="Y183">
        <v>86</v>
      </c>
      <c r="Z183">
        <v>0</v>
      </c>
      <c r="AA183">
        <v>1</v>
      </c>
      <c r="AB183">
        <v>0</v>
      </c>
      <c r="AC183">
        <v>0</v>
      </c>
      <c r="AD183">
        <v>890</v>
      </c>
      <c r="AE183">
        <v>1</v>
      </c>
      <c r="AF183">
        <v>1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9.5200000000000014</v>
      </c>
      <c r="AV183">
        <v>4.166666666666667</v>
      </c>
      <c r="AW183">
        <v>709.5</v>
      </c>
      <c r="AZ183">
        <v>1071</v>
      </c>
      <c r="BA183">
        <v>8</v>
      </c>
      <c r="BC183" t="s">
        <v>342</v>
      </c>
      <c r="BD183" t="s">
        <v>90</v>
      </c>
    </row>
    <row r="184" spans="1:56" x14ac:dyDescent="0.3">
      <c r="A184">
        <v>10183</v>
      </c>
      <c r="B184">
        <v>1</v>
      </c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6.8460000000000001</v>
      </c>
      <c r="AV184">
        <v>3.0516666666666672</v>
      </c>
      <c r="AW184">
        <v>755.66099999999994</v>
      </c>
      <c r="AX184">
        <v>62</v>
      </c>
      <c r="AY184">
        <v>810</v>
      </c>
      <c r="BC184" t="s">
        <v>342</v>
      </c>
      <c r="BD184" t="s">
        <v>60</v>
      </c>
    </row>
    <row r="185" spans="1:56" x14ac:dyDescent="0.3">
      <c r="A185">
        <v>10184</v>
      </c>
      <c r="B185">
        <v>1</v>
      </c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6.16</v>
      </c>
      <c r="AV185">
        <v>3.9833333333333329</v>
      </c>
      <c r="AW185">
        <v>717.09</v>
      </c>
      <c r="AX185">
        <v>65</v>
      </c>
      <c r="AY185">
        <v>782</v>
      </c>
      <c r="BC185" t="s">
        <v>342</v>
      </c>
      <c r="BD185" t="s">
        <v>60</v>
      </c>
    </row>
    <row r="186" spans="1:56" x14ac:dyDescent="0.3">
      <c r="A186">
        <v>10185</v>
      </c>
      <c r="B186">
        <v>1</v>
      </c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5.8044000000000011</v>
      </c>
      <c r="AV186">
        <v>4.4483333333333333</v>
      </c>
      <c r="AW186">
        <v>697.83899999999994</v>
      </c>
      <c r="AX186">
        <v>64</v>
      </c>
      <c r="AY186">
        <v>729</v>
      </c>
      <c r="BC186" t="s">
        <v>342</v>
      </c>
      <c r="BD186" t="s">
        <v>60</v>
      </c>
    </row>
    <row r="187" spans="1:56" x14ac:dyDescent="0.3">
      <c r="A187">
        <v>10186</v>
      </c>
      <c r="B187">
        <v>1</v>
      </c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5.2136000000000005</v>
      </c>
      <c r="AV187">
        <v>5.1866666666666665</v>
      </c>
      <c r="AW187">
        <v>667.27200000000005</v>
      </c>
      <c r="AX187">
        <v>63</v>
      </c>
      <c r="AY187">
        <v>682</v>
      </c>
      <c r="BC187" t="s">
        <v>342</v>
      </c>
      <c r="BD187" t="s">
        <v>60</v>
      </c>
    </row>
    <row r="188" spans="1:56" x14ac:dyDescent="0.3">
      <c r="A188">
        <v>10187</v>
      </c>
      <c r="B188">
        <v>1</v>
      </c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v>1</v>
      </c>
      <c r="AB188">
        <v>0</v>
      </c>
      <c r="AC188">
        <v>0</v>
      </c>
      <c r="AD188">
        <f>AW188</f>
        <v>827.35199999999998</v>
      </c>
      <c r="AE188">
        <v>0</v>
      </c>
      <c r="AF188">
        <v>1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2.2176000000000005</v>
      </c>
      <c r="AV188">
        <v>1.32</v>
      </c>
      <c r="AW188">
        <v>827.35199999999998</v>
      </c>
      <c r="AX188">
        <v>66</v>
      </c>
      <c r="AY188">
        <v>501</v>
      </c>
      <c r="BC188" t="s">
        <v>342</v>
      </c>
      <c r="BD188" t="s">
        <v>60</v>
      </c>
    </row>
    <row r="189" spans="1:56" x14ac:dyDescent="0.3">
      <c r="A189">
        <v>10188</v>
      </c>
      <c r="B189">
        <v>1</v>
      </c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0</v>
      </c>
      <c r="AD189">
        <f>AW189</f>
        <v>875.1</v>
      </c>
      <c r="AE189">
        <v>0</v>
      </c>
      <c r="AF189">
        <v>1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6.16</v>
      </c>
      <c r="AV189">
        <v>0.16666666666666666</v>
      </c>
      <c r="AW189">
        <v>875.1</v>
      </c>
      <c r="AX189">
        <v>68</v>
      </c>
      <c r="AY189">
        <v>370</v>
      </c>
      <c r="BC189" t="s">
        <v>342</v>
      </c>
      <c r="BD189" t="s">
        <v>60</v>
      </c>
    </row>
    <row r="190" spans="1:56" x14ac:dyDescent="0.3">
      <c r="A190">
        <v>10189</v>
      </c>
      <c r="B190">
        <v>1</v>
      </c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0</v>
      </c>
      <c r="AD190">
        <f>AW190</f>
        <v>868.2</v>
      </c>
      <c r="AE190">
        <v>0</v>
      </c>
      <c r="AF190">
        <v>1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6.7200000000000006</v>
      </c>
      <c r="AV190">
        <v>0.33333333333333331</v>
      </c>
      <c r="AW190">
        <v>868.2</v>
      </c>
      <c r="AX190">
        <v>59</v>
      </c>
      <c r="AY190">
        <v>249</v>
      </c>
      <c r="BC190" t="s">
        <v>342</v>
      </c>
      <c r="BD190" t="s">
        <v>60</v>
      </c>
    </row>
    <row r="191" spans="1:56" x14ac:dyDescent="0.3">
      <c r="A191">
        <v>10190</v>
      </c>
      <c r="B191">
        <v>1</v>
      </c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1</v>
      </c>
      <c r="AB191">
        <v>0</v>
      </c>
      <c r="AC191">
        <v>0</v>
      </c>
      <c r="AD191">
        <f>AW191</f>
        <v>854.4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6.7200000000000006</v>
      </c>
      <c r="AV191">
        <v>0.66666666666666663</v>
      </c>
      <c r="AW191">
        <v>854.4</v>
      </c>
      <c r="AX191">
        <v>60</v>
      </c>
      <c r="AY191">
        <v>417</v>
      </c>
      <c r="BC191" t="s">
        <v>342</v>
      </c>
      <c r="BD191" t="s">
        <v>60</v>
      </c>
    </row>
    <row r="192" spans="1:56" x14ac:dyDescent="0.3">
      <c r="A192">
        <v>10191</v>
      </c>
      <c r="B192">
        <v>1</v>
      </c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5.2836000000000007</v>
      </c>
      <c r="AV192">
        <v>0.80166666666666664</v>
      </c>
      <c r="AW192">
        <v>848.81100000000004</v>
      </c>
      <c r="AX192">
        <v>65</v>
      </c>
      <c r="BC192" t="s">
        <v>342</v>
      </c>
    </row>
    <row r="193" spans="1:55" x14ac:dyDescent="0.3">
      <c r="A193">
        <v>10192</v>
      </c>
      <c r="B193">
        <v>1</v>
      </c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5.6000000000000005</v>
      </c>
      <c r="AV193">
        <v>2</v>
      </c>
      <c r="AW193">
        <v>799.2</v>
      </c>
      <c r="AX193">
        <v>54.8</v>
      </c>
      <c r="BC193" t="s">
        <v>342</v>
      </c>
    </row>
    <row r="194" spans="1:55" x14ac:dyDescent="0.3">
      <c r="A194">
        <v>10193</v>
      </c>
      <c r="B194">
        <v>1</v>
      </c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4.7600000000000007</v>
      </c>
      <c r="AV194">
        <v>3.5</v>
      </c>
      <c r="AW194">
        <v>737.1</v>
      </c>
      <c r="AX194">
        <v>52.4</v>
      </c>
      <c r="BC194" t="s">
        <v>342</v>
      </c>
    </row>
    <row r="195" spans="1:55" x14ac:dyDescent="0.3">
      <c r="A195">
        <v>10194</v>
      </c>
      <c r="B195">
        <v>1</v>
      </c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3.08</v>
      </c>
      <c r="AV195">
        <v>6.333333333333333</v>
      </c>
      <c r="AW195">
        <v>619.79999999999995</v>
      </c>
      <c r="AX195">
        <v>48.8</v>
      </c>
      <c r="BC195" t="s">
        <v>342</v>
      </c>
    </row>
    <row r="196" spans="1:55" x14ac:dyDescent="0.3">
      <c r="A196">
        <v>10195</v>
      </c>
      <c r="B196">
        <v>1</v>
      </c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1.6800000000000002</v>
      </c>
      <c r="AV196">
        <v>8.8333333333333339</v>
      </c>
      <c r="AW196">
        <v>516.29999999999995</v>
      </c>
      <c r="AX196">
        <v>48</v>
      </c>
      <c r="BC196" t="s">
        <v>342</v>
      </c>
    </row>
    <row r="197" spans="1:55" x14ac:dyDescent="0.3">
      <c r="A197">
        <v>10196</v>
      </c>
      <c r="B197">
        <v>1</v>
      </c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2.1448</v>
      </c>
      <c r="AV197">
        <v>1.2983333333333333</v>
      </c>
      <c r="AW197">
        <v>828.24900000000002</v>
      </c>
      <c r="AX197">
        <v>91.2</v>
      </c>
      <c r="BC197" t="s">
        <v>342</v>
      </c>
    </row>
    <row r="198" spans="1:55" x14ac:dyDescent="0.3">
      <c r="A198">
        <v>10197</v>
      </c>
      <c r="B198">
        <v>1</v>
      </c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4.9560000000000004</v>
      </c>
      <c r="AV198">
        <v>4.916666666666667</v>
      </c>
      <c r="AW198">
        <v>678.45</v>
      </c>
      <c r="AX198">
        <v>68.2</v>
      </c>
      <c r="BC198" t="s">
        <v>342</v>
      </c>
    </row>
    <row r="199" spans="1:55" x14ac:dyDescent="0.3">
      <c r="A199">
        <v>10198</v>
      </c>
      <c r="B199">
        <v>1</v>
      </c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7.2800000000000011</v>
      </c>
      <c r="AV199">
        <v>3.3333333333333335</v>
      </c>
      <c r="AW199">
        <v>744</v>
      </c>
      <c r="AX199">
        <v>59.07</v>
      </c>
      <c r="BC199" t="s">
        <v>242</v>
      </c>
    </row>
    <row r="200" spans="1:55" x14ac:dyDescent="0.3">
      <c r="A200">
        <v>10199</v>
      </c>
      <c r="B200">
        <v>1</v>
      </c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10.220000000000001</v>
      </c>
      <c r="AV200">
        <v>1.7333333333333334</v>
      </c>
      <c r="AW200">
        <v>810.24</v>
      </c>
      <c r="AX200">
        <v>92.18</v>
      </c>
      <c r="BC200" t="s">
        <v>242</v>
      </c>
    </row>
    <row r="201" spans="1:55" x14ac:dyDescent="0.3">
      <c r="A201">
        <v>10200</v>
      </c>
      <c r="B201">
        <v>1</v>
      </c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2.1812</v>
      </c>
      <c r="AV201">
        <v>1.3533333333333333</v>
      </c>
      <c r="AW201">
        <v>825.97199999999998</v>
      </c>
      <c r="AX201">
        <v>80</v>
      </c>
      <c r="BC201" t="s">
        <v>243</v>
      </c>
    </row>
    <row r="202" spans="1:55" x14ac:dyDescent="0.3">
      <c r="A202">
        <v>10201</v>
      </c>
      <c r="B202">
        <v>1</v>
      </c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7.7308000000000003</v>
      </c>
      <c r="AV202">
        <v>0.81</v>
      </c>
      <c r="AW202">
        <v>848.46600000000001</v>
      </c>
      <c r="AX202">
        <v>65</v>
      </c>
      <c r="BC202" t="s">
        <v>244</v>
      </c>
    </row>
    <row r="203" spans="1:55" x14ac:dyDescent="0.3">
      <c r="A203">
        <v>10202</v>
      </c>
      <c r="B203">
        <v>1</v>
      </c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7.0000000000000009</v>
      </c>
      <c r="AV203">
        <v>0.5</v>
      </c>
      <c r="AW203">
        <v>861.3</v>
      </c>
      <c r="AX203">
        <v>66</v>
      </c>
      <c r="BC203" t="s">
        <v>245</v>
      </c>
    </row>
    <row r="204" spans="1:55" x14ac:dyDescent="0.3">
      <c r="A204">
        <v>10203</v>
      </c>
      <c r="B204">
        <v>1</v>
      </c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7.0000000000000009</v>
      </c>
      <c r="AV204">
        <v>0.66666666666666663</v>
      </c>
      <c r="AW204">
        <v>854.4</v>
      </c>
      <c r="AX204">
        <v>69</v>
      </c>
      <c r="BC204" t="s">
        <v>246</v>
      </c>
    </row>
    <row r="205" spans="1:55" x14ac:dyDescent="0.3">
      <c r="A205">
        <v>10204</v>
      </c>
      <c r="B205">
        <v>1</v>
      </c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7.0000000000000009</v>
      </c>
      <c r="AV205">
        <v>1</v>
      </c>
      <c r="AW205">
        <v>840.6</v>
      </c>
      <c r="AX205">
        <v>68</v>
      </c>
      <c r="BC205" t="s">
        <v>247</v>
      </c>
    </row>
    <row r="206" spans="1:55" x14ac:dyDescent="0.3">
      <c r="A206">
        <v>10205</v>
      </c>
      <c r="B206">
        <v>1</v>
      </c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6.8460000000000001</v>
      </c>
      <c r="AV206">
        <v>3.0533333333333332</v>
      </c>
      <c r="AW206">
        <v>755.59199999999998</v>
      </c>
      <c r="AX206">
        <v>62</v>
      </c>
      <c r="BC206" t="s">
        <v>248</v>
      </c>
    </row>
    <row r="207" spans="1:55" x14ac:dyDescent="0.3">
      <c r="A207">
        <v>10206</v>
      </c>
      <c r="B207">
        <v>1</v>
      </c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5.6000000000000005</v>
      </c>
      <c r="AV207">
        <v>0.83333333333333337</v>
      </c>
      <c r="AW207">
        <v>847.5</v>
      </c>
      <c r="AX207">
        <v>51.3</v>
      </c>
      <c r="BC207" t="s">
        <v>249</v>
      </c>
    </row>
    <row r="208" spans="1:55" x14ac:dyDescent="0.3">
      <c r="A208">
        <v>10207</v>
      </c>
      <c r="B208">
        <v>1</v>
      </c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5.6000000000000005</v>
      </c>
      <c r="AV208">
        <v>3.3333333333333335</v>
      </c>
      <c r="AW208">
        <v>744</v>
      </c>
      <c r="AX208">
        <v>47.3</v>
      </c>
    </row>
    <row r="209" spans="1:50" x14ac:dyDescent="0.3">
      <c r="A209">
        <v>10208</v>
      </c>
      <c r="B209">
        <v>1</v>
      </c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5.6000000000000005</v>
      </c>
      <c r="AV209">
        <v>5</v>
      </c>
      <c r="AW209">
        <v>675</v>
      </c>
      <c r="AX209">
        <v>52.7</v>
      </c>
    </row>
    <row r="210" spans="1:50" x14ac:dyDescent="0.3">
      <c r="A210">
        <v>10209</v>
      </c>
      <c r="B210">
        <v>1</v>
      </c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1</v>
      </c>
      <c r="W210">
        <v>0</v>
      </c>
      <c r="X210">
        <v>0</v>
      </c>
      <c r="Y210">
        <v>0</v>
      </c>
      <c r="Z210">
        <v>1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5.6000000000000005</v>
      </c>
      <c r="AV210">
        <v>6.666666666666667</v>
      </c>
      <c r="AW210">
        <v>606</v>
      </c>
      <c r="AX210">
        <v>50.5</v>
      </c>
    </row>
    <row r="211" spans="1:50" x14ac:dyDescent="0.3">
      <c r="A211">
        <v>10210</v>
      </c>
      <c r="B211">
        <v>1</v>
      </c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11.144</v>
      </c>
      <c r="AV211">
        <v>6.5133333333333328</v>
      </c>
      <c r="AW211">
        <v>612.34799999999996</v>
      </c>
      <c r="AX211">
        <v>78</v>
      </c>
    </row>
    <row r="212" spans="1:50" x14ac:dyDescent="0.3">
      <c r="A212">
        <v>10211</v>
      </c>
      <c r="B212">
        <v>1</v>
      </c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12.502000000000001</v>
      </c>
      <c r="AV212">
        <v>7.3083333333333336</v>
      </c>
      <c r="AW212">
        <v>579.43499999999995</v>
      </c>
      <c r="AX212">
        <v>75</v>
      </c>
    </row>
    <row r="213" spans="1:50" x14ac:dyDescent="0.3">
      <c r="A213">
        <v>10212</v>
      </c>
      <c r="B213">
        <v>1</v>
      </c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6.8460000000000001</v>
      </c>
      <c r="AV213">
        <v>3.0516666666666663</v>
      </c>
      <c r="AW213">
        <v>755.66100000000006</v>
      </c>
      <c r="AX213">
        <v>62</v>
      </c>
    </row>
    <row r="214" spans="1:50" x14ac:dyDescent="0.3">
      <c r="A214">
        <v>10213</v>
      </c>
      <c r="B214">
        <v>1</v>
      </c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6.16</v>
      </c>
      <c r="AV214">
        <v>3.9833333333333329</v>
      </c>
      <c r="AW214">
        <v>717.09</v>
      </c>
      <c r="AX214">
        <v>65</v>
      </c>
    </row>
    <row r="215" spans="1:50" x14ac:dyDescent="0.3">
      <c r="A215">
        <v>10214</v>
      </c>
      <c r="B215">
        <v>1</v>
      </c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5.8044000000000011</v>
      </c>
      <c r="AV215">
        <v>4.4483333333333333</v>
      </c>
      <c r="AW215">
        <v>697.83899999999994</v>
      </c>
      <c r="AX215">
        <v>64</v>
      </c>
    </row>
    <row r="216" spans="1:50" x14ac:dyDescent="0.3">
      <c r="A216">
        <v>10215</v>
      </c>
      <c r="B216">
        <v>1</v>
      </c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5.2136000000000005</v>
      </c>
      <c r="AV216">
        <v>5.1866666666666665</v>
      </c>
      <c r="AW216">
        <v>667.27199999999993</v>
      </c>
      <c r="AX216">
        <v>63</v>
      </c>
    </row>
    <row r="217" spans="1:50" x14ac:dyDescent="0.3">
      <c r="A217">
        <v>10216</v>
      </c>
      <c r="B217">
        <v>1</v>
      </c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8.4</v>
      </c>
      <c r="AV217">
        <v>5.333333333333333</v>
      </c>
      <c r="AW217">
        <v>661.2</v>
      </c>
      <c r="AX217">
        <v>65</v>
      </c>
    </row>
    <row r="218" spans="1:50" x14ac:dyDescent="0.3">
      <c r="A218">
        <v>10217</v>
      </c>
      <c r="B218">
        <v>1</v>
      </c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9.5200000000000014</v>
      </c>
      <c r="AV218">
        <v>4.166666666666667</v>
      </c>
      <c r="AW218">
        <v>709.5</v>
      </c>
      <c r="AX218">
        <v>62</v>
      </c>
    </row>
    <row r="219" spans="1:50" x14ac:dyDescent="0.3">
      <c r="A219">
        <v>10218</v>
      </c>
      <c r="B219">
        <v>1</v>
      </c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9.8000000000000007</v>
      </c>
      <c r="AV219">
        <v>1.6666666666666667</v>
      </c>
      <c r="AW219">
        <v>813</v>
      </c>
      <c r="AX219">
        <v>58.8</v>
      </c>
    </row>
    <row r="220" spans="1:50" x14ac:dyDescent="0.3">
      <c r="A220">
        <v>10219</v>
      </c>
      <c r="B220">
        <v>1</v>
      </c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9.8000000000000007</v>
      </c>
      <c r="AV220">
        <v>0.83333333333333337</v>
      </c>
      <c r="AW220">
        <v>847.5</v>
      </c>
      <c r="AX220">
        <v>59.8</v>
      </c>
    </row>
    <row r="221" spans="1:50" x14ac:dyDescent="0.3">
      <c r="A221">
        <v>10220</v>
      </c>
      <c r="B221">
        <v>1</v>
      </c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10.360000000000001</v>
      </c>
      <c r="AV221">
        <v>1</v>
      </c>
      <c r="AW221">
        <v>840.6</v>
      </c>
      <c r="AX221">
        <v>60</v>
      </c>
    </row>
    <row r="222" spans="1:50" x14ac:dyDescent="0.3">
      <c r="A222">
        <v>10221</v>
      </c>
      <c r="B222">
        <v>1</v>
      </c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10.360000000000001</v>
      </c>
      <c r="AV222">
        <v>0.5</v>
      </c>
      <c r="AW222">
        <v>861.3</v>
      </c>
      <c r="AX222">
        <v>58</v>
      </c>
    </row>
    <row r="223" spans="1:50" x14ac:dyDescent="0.3">
      <c r="A223">
        <v>10222</v>
      </c>
      <c r="B223">
        <v>1</v>
      </c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1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7.7308000000000003</v>
      </c>
      <c r="AV223">
        <v>0.81</v>
      </c>
      <c r="AW223">
        <v>848.46600000000001</v>
      </c>
      <c r="AX223">
        <v>64.900000000000006</v>
      </c>
    </row>
    <row r="224" spans="1:50" x14ac:dyDescent="0.3">
      <c r="A224">
        <v>10223</v>
      </c>
      <c r="B224">
        <v>1</v>
      </c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3.4104000000000001</v>
      </c>
      <c r="AV224">
        <v>1.24</v>
      </c>
      <c r="AW224">
        <v>830.66399999999999</v>
      </c>
      <c r="AX224">
        <v>55</v>
      </c>
    </row>
    <row r="225" spans="1:56" x14ac:dyDescent="0.3">
      <c r="A225">
        <v>10224</v>
      </c>
      <c r="B225">
        <v>1</v>
      </c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6.4792000000000005</v>
      </c>
      <c r="AV225">
        <v>0.54500000000000004</v>
      </c>
      <c r="AW225">
        <v>859.43700000000001</v>
      </c>
      <c r="AX225">
        <v>76</v>
      </c>
    </row>
    <row r="226" spans="1:56" x14ac:dyDescent="0.3">
      <c r="A226">
        <v>10225</v>
      </c>
      <c r="B226">
        <v>1</v>
      </c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1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4.4660000000000002</v>
      </c>
      <c r="AV226">
        <v>1.625</v>
      </c>
      <c r="AW226">
        <v>814.72500000000002</v>
      </c>
      <c r="AX226">
        <v>75</v>
      </c>
    </row>
    <row r="227" spans="1:56" x14ac:dyDescent="0.3">
      <c r="A227">
        <v>10226</v>
      </c>
      <c r="B227">
        <v>1</v>
      </c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20</v>
      </c>
      <c r="Y227">
        <v>95</v>
      </c>
      <c r="Z227">
        <v>0</v>
      </c>
      <c r="AA227">
        <v>1</v>
      </c>
      <c r="AB227">
        <v>0</v>
      </c>
      <c r="AC227">
        <v>0</v>
      </c>
      <c r="AD227">
        <v>900</v>
      </c>
      <c r="AE227">
        <v>0.5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13.600000000000001</v>
      </c>
      <c r="AV227">
        <v>0.5</v>
      </c>
      <c r="AW227">
        <v>785.44999999999993</v>
      </c>
      <c r="AZ227">
        <v>1264</v>
      </c>
      <c r="BA227">
        <v>36.049999999999997</v>
      </c>
      <c r="BD227" t="s">
        <v>112</v>
      </c>
    </row>
    <row r="228" spans="1:56" x14ac:dyDescent="0.3">
      <c r="A228">
        <v>10227</v>
      </c>
      <c r="B228">
        <v>1</v>
      </c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0</v>
      </c>
      <c r="AA228">
        <v>1</v>
      </c>
      <c r="AB228">
        <v>0</v>
      </c>
      <c r="AC228">
        <v>0</v>
      </c>
      <c r="AD228">
        <v>890</v>
      </c>
      <c r="AE228">
        <v>0.5</v>
      </c>
      <c r="AF228">
        <v>1</v>
      </c>
      <c r="AG228">
        <v>0</v>
      </c>
      <c r="AH228">
        <v>0</v>
      </c>
      <c r="AI228">
        <v>760</v>
      </c>
      <c r="AJ228">
        <v>0.5</v>
      </c>
      <c r="AK228">
        <v>1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13.632</v>
      </c>
      <c r="AV228">
        <v>0.49333333333333335</v>
      </c>
      <c r="AW228">
        <v>785.12400000000002</v>
      </c>
      <c r="AY228">
        <v>428.2</v>
      </c>
      <c r="AZ228">
        <v>806.3</v>
      </c>
      <c r="BA228">
        <v>44.8</v>
      </c>
      <c r="BD228" t="s">
        <v>91</v>
      </c>
    </row>
    <row r="229" spans="1:56" x14ac:dyDescent="0.3">
      <c r="A229">
        <v>10228</v>
      </c>
      <c r="B229">
        <v>1</v>
      </c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780</v>
      </c>
      <c r="AE229">
        <v>0.16666666666666699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13.600000000000001</v>
      </c>
      <c r="AV229">
        <v>0.5</v>
      </c>
      <c r="AW229">
        <v>785.44999999999993</v>
      </c>
      <c r="AY229">
        <v>356.5</v>
      </c>
      <c r="AZ229">
        <v>835.9</v>
      </c>
      <c r="BA229">
        <v>56</v>
      </c>
      <c r="BD229" t="s">
        <v>92</v>
      </c>
    </row>
    <row r="230" spans="1:56" x14ac:dyDescent="0.3">
      <c r="A230">
        <v>10229</v>
      </c>
      <c r="B230">
        <v>1</v>
      </c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780</v>
      </c>
      <c r="AE230">
        <v>0.16666666666666699</v>
      </c>
      <c r="AF230">
        <v>1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13.600000000000001</v>
      </c>
      <c r="AV230">
        <v>0.5</v>
      </c>
      <c r="AW230">
        <v>785.44999999999993</v>
      </c>
      <c r="AY230">
        <v>1019.2</v>
      </c>
      <c r="AZ230">
        <v>1577.8</v>
      </c>
      <c r="BA230">
        <v>38.6</v>
      </c>
      <c r="BD230" t="s">
        <v>92</v>
      </c>
    </row>
    <row r="231" spans="1:56" x14ac:dyDescent="0.3">
      <c r="A231">
        <v>10230</v>
      </c>
      <c r="B231">
        <v>1</v>
      </c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0</v>
      </c>
      <c r="AA231">
        <v>1</v>
      </c>
      <c r="AB231">
        <v>0</v>
      </c>
      <c r="AC231">
        <v>0</v>
      </c>
      <c r="AD231">
        <f>AW231</f>
        <v>788.36699999999996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12.72</v>
      </c>
      <c r="AV231">
        <v>0.20333333333333334</v>
      </c>
      <c r="AW231">
        <v>788.36699999999996</v>
      </c>
      <c r="AX231">
        <v>83</v>
      </c>
      <c r="AY231">
        <v>554</v>
      </c>
      <c r="BD231" t="s">
        <v>60</v>
      </c>
    </row>
    <row r="232" spans="1:56" x14ac:dyDescent="0.3">
      <c r="A232">
        <v>10231</v>
      </c>
      <c r="B232">
        <v>1</v>
      </c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20</v>
      </c>
      <c r="Y232">
        <v>60</v>
      </c>
      <c r="Z232">
        <v>0</v>
      </c>
      <c r="AA232">
        <v>1</v>
      </c>
      <c r="AB232">
        <v>0</v>
      </c>
      <c r="AC232">
        <v>0</v>
      </c>
      <c r="AD232">
        <v>850</v>
      </c>
      <c r="AE232">
        <v>0.33</v>
      </c>
      <c r="AF232">
        <v>0</v>
      </c>
      <c r="AG232">
        <v>1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11.8</v>
      </c>
      <c r="AV232">
        <v>0</v>
      </c>
      <c r="AW232">
        <v>779.2</v>
      </c>
      <c r="AZ232">
        <v>958.4</v>
      </c>
      <c r="BA232">
        <v>1.1000000000000001</v>
      </c>
      <c r="BD232" t="s">
        <v>93</v>
      </c>
    </row>
    <row r="233" spans="1:56" x14ac:dyDescent="0.3">
      <c r="A233">
        <v>10232</v>
      </c>
      <c r="B233">
        <v>1</v>
      </c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20</v>
      </c>
      <c r="Y233">
        <v>60</v>
      </c>
      <c r="Z233">
        <v>0</v>
      </c>
      <c r="AA233">
        <v>1</v>
      </c>
      <c r="AB233">
        <v>0</v>
      </c>
      <c r="AC233">
        <v>0</v>
      </c>
      <c r="AD233">
        <v>850</v>
      </c>
      <c r="AE233">
        <v>0.33</v>
      </c>
      <c r="AF233">
        <v>1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11.8</v>
      </c>
      <c r="AV233">
        <v>0</v>
      </c>
      <c r="AW233">
        <v>779.2</v>
      </c>
      <c r="AZ233">
        <v>886.4</v>
      </c>
      <c r="BA233">
        <v>46.37</v>
      </c>
      <c r="BD233" t="s">
        <v>93</v>
      </c>
    </row>
    <row r="234" spans="1:56" x14ac:dyDescent="0.3">
      <c r="A234">
        <v>10233</v>
      </c>
      <c r="B234">
        <v>1</v>
      </c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0</v>
      </c>
      <c r="AC234">
        <v>0</v>
      </c>
      <c r="AD234">
        <f>AW234</f>
        <v>872.5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7.16</v>
      </c>
      <c r="AV234">
        <v>0</v>
      </c>
      <c r="AW234">
        <v>872.5</v>
      </c>
      <c r="AX234">
        <v>87</v>
      </c>
      <c r="AY234">
        <v>452</v>
      </c>
      <c r="BD234" t="s">
        <v>60</v>
      </c>
    </row>
    <row r="235" spans="1:56" x14ac:dyDescent="0.3">
      <c r="A235">
        <v>10234</v>
      </c>
      <c r="B235">
        <v>1</v>
      </c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0</v>
      </c>
      <c r="Z235">
        <v>0</v>
      </c>
      <c r="AA235">
        <v>1</v>
      </c>
      <c r="AB235">
        <v>0</v>
      </c>
      <c r="AC235">
        <v>0</v>
      </c>
      <c r="AD235">
        <f>AW235</f>
        <v>820.53499999999997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6.9375999999999998</v>
      </c>
      <c r="AV235">
        <v>0</v>
      </c>
      <c r="AW235">
        <v>820.53499999999997</v>
      </c>
      <c r="AX235">
        <v>105</v>
      </c>
      <c r="AY235">
        <v>449</v>
      </c>
      <c r="BD235" t="s">
        <v>60</v>
      </c>
    </row>
    <row r="236" spans="1:56" x14ac:dyDescent="0.3">
      <c r="A236">
        <v>10235</v>
      </c>
      <c r="B236">
        <v>1</v>
      </c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9.2800000000000011</v>
      </c>
      <c r="AV236">
        <v>0</v>
      </c>
      <c r="AW236">
        <v>863</v>
      </c>
      <c r="AX236">
        <v>67</v>
      </c>
      <c r="AY236">
        <v>535</v>
      </c>
      <c r="BD236" t="s">
        <v>60</v>
      </c>
    </row>
    <row r="237" spans="1:56" x14ac:dyDescent="0.3">
      <c r="A237">
        <v>10236</v>
      </c>
      <c r="B237">
        <v>1</v>
      </c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11.280000000000001</v>
      </c>
      <c r="AV237">
        <v>0</v>
      </c>
      <c r="AW237">
        <v>844</v>
      </c>
      <c r="AX237">
        <v>64</v>
      </c>
      <c r="AY237">
        <v>621</v>
      </c>
      <c r="BD237" t="s">
        <v>60</v>
      </c>
    </row>
    <row r="238" spans="1:56" x14ac:dyDescent="0.3">
      <c r="A238">
        <v>10237</v>
      </c>
      <c r="B238">
        <v>1</v>
      </c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13.280000000000001</v>
      </c>
      <c r="AV238">
        <v>0</v>
      </c>
      <c r="AW238">
        <v>825</v>
      </c>
      <c r="AX238">
        <v>56</v>
      </c>
      <c r="AY238">
        <v>634</v>
      </c>
      <c r="BD238" t="s">
        <v>60</v>
      </c>
    </row>
    <row r="239" spans="1:56" x14ac:dyDescent="0.3">
      <c r="A239">
        <v>10238</v>
      </c>
      <c r="B239">
        <v>1</v>
      </c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15.280000000000001</v>
      </c>
      <c r="AV239">
        <v>0</v>
      </c>
      <c r="AW239">
        <v>806</v>
      </c>
      <c r="AX239">
        <v>55</v>
      </c>
      <c r="AY239">
        <v>663</v>
      </c>
      <c r="BD239" t="s">
        <v>60</v>
      </c>
    </row>
    <row r="240" spans="1:56" x14ac:dyDescent="0.3">
      <c r="A240">
        <v>10239</v>
      </c>
      <c r="B240">
        <v>1</v>
      </c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8</v>
      </c>
      <c r="AV240">
        <v>0</v>
      </c>
      <c r="AW240">
        <v>822.625</v>
      </c>
      <c r="AX240">
        <v>92</v>
      </c>
    </row>
    <row r="241" spans="1:56" x14ac:dyDescent="0.3">
      <c r="A241">
        <v>10240</v>
      </c>
      <c r="B241">
        <v>1</v>
      </c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8.6760000000000002</v>
      </c>
      <c r="AV241">
        <v>0</v>
      </c>
      <c r="AW241">
        <v>804.1</v>
      </c>
      <c r="AX241">
        <v>82</v>
      </c>
    </row>
    <row r="242" spans="1:56" x14ac:dyDescent="0.3">
      <c r="A242">
        <v>10241</v>
      </c>
      <c r="B242">
        <v>1</v>
      </c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14.224</v>
      </c>
      <c r="AV242">
        <v>0</v>
      </c>
      <c r="AW242">
        <v>775.6</v>
      </c>
      <c r="AX242">
        <v>92</v>
      </c>
    </row>
    <row r="243" spans="1:56" x14ac:dyDescent="0.3">
      <c r="A243">
        <v>10242</v>
      </c>
      <c r="B243">
        <v>1</v>
      </c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15.56</v>
      </c>
      <c r="AV243">
        <v>0</v>
      </c>
      <c r="AW243">
        <v>786.05</v>
      </c>
      <c r="AX243">
        <v>83</v>
      </c>
    </row>
    <row r="244" spans="1:56" x14ac:dyDescent="0.3">
      <c r="A244">
        <v>10243</v>
      </c>
      <c r="B244">
        <v>1</v>
      </c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16.676000000000002</v>
      </c>
      <c r="AV244">
        <v>0</v>
      </c>
      <c r="AW244">
        <v>794.6</v>
      </c>
      <c r="AX244">
        <v>73</v>
      </c>
    </row>
    <row r="245" spans="1:56" x14ac:dyDescent="0.3">
      <c r="A245">
        <v>10244</v>
      </c>
      <c r="B245">
        <v>1</v>
      </c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9.1755999999999993</v>
      </c>
      <c r="AV245">
        <v>0</v>
      </c>
      <c r="AW245">
        <v>826.14</v>
      </c>
      <c r="AX245">
        <v>83</v>
      </c>
    </row>
    <row r="246" spans="1:56" x14ac:dyDescent="0.3">
      <c r="A246">
        <v>10245</v>
      </c>
      <c r="B246">
        <v>1</v>
      </c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9.1108000000000011</v>
      </c>
      <c r="AV246">
        <v>0</v>
      </c>
      <c r="AW246">
        <v>803.05499999999995</v>
      </c>
      <c r="AX246">
        <v>78</v>
      </c>
    </row>
    <row r="247" spans="1:56" x14ac:dyDescent="0.3">
      <c r="A247">
        <v>10246</v>
      </c>
      <c r="B247">
        <v>1</v>
      </c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7.6196000000000002</v>
      </c>
      <c r="AV247">
        <v>0</v>
      </c>
      <c r="AW247">
        <v>817.11500000000001</v>
      </c>
      <c r="AX247">
        <v>89</v>
      </c>
    </row>
    <row r="248" spans="1:56" x14ac:dyDescent="0.3">
      <c r="A248">
        <v>10247</v>
      </c>
      <c r="B248">
        <v>1</v>
      </c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20</v>
      </c>
      <c r="Y248">
        <v>85</v>
      </c>
      <c r="Z248">
        <v>0</v>
      </c>
      <c r="AA248">
        <v>1</v>
      </c>
      <c r="AB248">
        <v>0</v>
      </c>
      <c r="AC248">
        <v>0</v>
      </c>
      <c r="AD248">
        <v>800</v>
      </c>
      <c r="AE248">
        <v>1</v>
      </c>
      <c r="AF248">
        <v>1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11.338000000000001</v>
      </c>
      <c r="AV248">
        <v>0</v>
      </c>
      <c r="AW248">
        <v>871.11</v>
      </c>
      <c r="AZ248">
        <v>503</v>
      </c>
      <c r="BA248">
        <v>35.799999999999997</v>
      </c>
      <c r="BD248" t="s">
        <v>53</v>
      </c>
    </row>
    <row r="249" spans="1:56" x14ac:dyDescent="0.3">
      <c r="A249">
        <v>10248</v>
      </c>
      <c r="B249">
        <v>1</v>
      </c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20</v>
      </c>
      <c r="Y249">
        <v>85</v>
      </c>
      <c r="Z249">
        <v>0</v>
      </c>
      <c r="AA249">
        <v>1</v>
      </c>
      <c r="AB249">
        <v>0</v>
      </c>
      <c r="AC249">
        <v>0</v>
      </c>
      <c r="AD249">
        <v>800</v>
      </c>
      <c r="AE249">
        <v>1</v>
      </c>
      <c r="AF249">
        <v>1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12.0616</v>
      </c>
      <c r="AV249">
        <v>0</v>
      </c>
      <c r="AW249">
        <v>859.85699999999997</v>
      </c>
      <c r="AZ249">
        <v>474</v>
      </c>
      <c r="BA249">
        <v>28.5</v>
      </c>
      <c r="BC249" t="s">
        <v>343</v>
      </c>
      <c r="BD249" t="s">
        <v>53</v>
      </c>
    </row>
    <row r="250" spans="1:56" x14ac:dyDescent="0.3">
      <c r="A250">
        <v>10249</v>
      </c>
      <c r="B250">
        <v>1</v>
      </c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20</v>
      </c>
      <c r="Y250">
        <v>85</v>
      </c>
      <c r="Z250">
        <v>0</v>
      </c>
      <c r="AA250">
        <v>1</v>
      </c>
      <c r="AB250">
        <v>0</v>
      </c>
      <c r="AC250">
        <v>0</v>
      </c>
      <c r="AD250">
        <v>800</v>
      </c>
      <c r="AE250">
        <v>1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12.794799999999999</v>
      </c>
      <c r="AV250">
        <v>0</v>
      </c>
      <c r="AW250">
        <v>848.36199999999997</v>
      </c>
      <c r="AZ250">
        <v>523</v>
      </c>
      <c r="BA250">
        <v>18.899999999999999</v>
      </c>
      <c r="BD250" t="s">
        <v>53</v>
      </c>
    </row>
    <row r="251" spans="1:56" x14ac:dyDescent="0.3">
      <c r="A251">
        <v>10250</v>
      </c>
      <c r="B251">
        <v>1</v>
      </c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20</v>
      </c>
      <c r="Y251">
        <v>85</v>
      </c>
      <c r="Z251">
        <v>0</v>
      </c>
      <c r="AA251">
        <v>1</v>
      </c>
      <c r="AB251">
        <v>0</v>
      </c>
      <c r="AC251">
        <v>0</v>
      </c>
      <c r="AD251">
        <v>800</v>
      </c>
      <c r="AE251">
        <v>1</v>
      </c>
      <c r="AF251">
        <v>1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13.566800000000001</v>
      </c>
      <c r="AV251">
        <v>0</v>
      </c>
      <c r="AW251">
        <v>836.38300000000004</v>
      </c>
      <c r="AZ251">
        <v>557</v>
      </c>
      <c r="BA251">
        <v>22.5</v>
      </c>
      <c r="BD251" t="s">
        <v>53</v>
      </c>
    </row>
    <row r="252" spans="1:56" x14ac:dyDescent="0.3">
      <c r="A252">
        <v>10251</v>
      </c>
      <c r="B252">
        <v>1</v>
      </c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20</v>
      </c>
      <c r="Y252">
        <v>85</v>
      </c>
      <c r="Z252">
        <v>0</v>
      </c>
      <c r="AA252">
        <v>1</v>
      </c>
      <c r="AB252">
        <v>0</v>
      </c>
      <c r="AC252">
        <v>0</v>
      </c>
      <c r="AD252">
        <v>800</v>
      </c>
      <c r="AE252">
        <v>1</v>
      </c>
      <c r="AF252">
        <v>1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14.345600000000001</v>
      </c>
      <c r="AV252">
        <v>0</v>
      </c>
      <c r="AW252">
        <v>824.16200000000003</v>
      </c>
      <c r="AZ252">
        <v>603</v>
      </c>
      <c r="BA252">
        <v>22.7</v>
      </c>
      <c r="BD252" t="s">
        <v>53</v>
      </c>
    </row>
    <row r="253" spans="1:56" x14ac:dyDescent="0.3">
      <c r="A253">
        <v>10252</v>
      </c>
      <c r="B253">
        <v>1</v>
      </c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1000</v>
      </c>
      <c r="Y253">
        <v>70</v>
      </c>
      <c r="Z253">
        <v>0</v>
      </c>
      <c r="AA253">
        <v>1</v>
      </c>
      <c r="AB253">
        <v>0</v>
      </c>
      <c r="AC253">
        <v>0</v>
      </c>
      <c r="AD253">
        <v>850</v>
      </c>
      <c r="AE253">
        <v>1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5</v>
      </c>
      <c r="AV253">
        <v>5</v>
      </c>
      <c r="AW253">
        <v>627.5</v>
      </c>
      <c r="AZ253">
        <v>762</v>
      </c>
      <c r="BA253">
        <v>18.52</v>
      </c>
      <c r="BD253" t="s">
        <v>95</v>
      </c>
    </row>
    <row r="254" spans="1:56" x14ac:dyDescent="0.3">
      <c r="A254">
        <v>10253</v>
      </c>
      <c r="B254">
        <v>1</v>
      </c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1000</v>
      </c>
      <c r="Y254">
        <v>70</v>
      </c>
      <c r="Z254">
        <v>0</v>
      </c>
      <c r="AA254">
        <v>1</v>
      </c>
      <c r="AB254">
        <v>0</v>
      </c>
      <c r="AC254">
        <v>0</v>
      </c>
      <c r="AD254">
        <v>850</v>
      </c>
      <c r="AE254">
        <v>1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6</v>
      </c>
      <c r="AV254">
        <v>5</v>
      </c>
      <c r="AW254">
        <v>618</v>
      </c>
      <c r="AZ254">
        <v>723</v>
      </c>
      <c r="BA254">
        <v>33.4</v>
      </c>
      <c r="BC254" t="s">
        <v>250</v>
      </c>
      <c r="BD254" t="s">
        <v>95</v>
      </c>
    </row>
    <row r="255" spans="1:56" x14ac:dyDescent="0.3">
      <c r="A255">
        <v>10254</v>
      </c>
      <c r="B255">
        <v>1</v>
      </c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1</v>
      </c>
      <c r="X255">
        <v>1000</v>
      </c>
      <c r="Y255">
        <v>70</v>
      </c>
      <c r="Z255">
        <v>0</v>
      </c>
      <c r="AA255">
        <v>1</v>
      </c>
      <c r="AB255">
        <v>0</v>
      </c>
      <c r="AC255">
        <v>0</v>
      </c>
      <c r="AD255">
        <v>850</v>
      </c>
      <c r="AE255">
        <v>1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7</v>
      </c>
      <c r="AV255">
        <v>5</v>
      </c>
      <c r="AW255">
        <v>608.5</v>
      </c>
      <c r="AZ255">
        <v>782</v>
      </c>
      <c r="BA255">
        <v>18.920000000000002</v>
      </c>
      <c r="BC255" t="s">
        <v>250</v>
      </c>
      <c r="BD255" t="s">
        <v>95</v>
      </c>
    </row>
    <row r="256" spans="1:56" x14ac:dyDescent="0.3">
      <c r="A256">
        <v>10255</v>
      </c>
      <c r="B256">
        <v>1</v>
      </c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1</v>
      </c>
      <c r="X256">
        <v>0</v>
      </c>
      <c r="Y256">
        <v>0</v>
      </c>
      <c r="Z256">
        <v>0</v>
      </c>
      <c r="AA256">
        <v>1</v>
      </c>
      <c r="AB256">
        <v>0</v>
      </c>
      <c r="AC256">
        <v>0</v>
      </c>
      <c r="AD256">
        <f>AW256</f>
        <v>800.13599999999997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6.54</v>
      </c>
      <c r="AV256">
        <v>0.47666666666666663</v>
      </c>
      <c r="AW256">
        <v>800.13599999999997</v>
      </c>
      <c r="AX256">
        <v>64.5</v>
      </c>
      <c r="AY256">
        <v>509</v>
      </c>
      <c r="BC256" t="s">
        <v>344</v>
      </c>
      <c r="BD256" t="s">
        <v>60</v>
      </c>
    </row>
    <row r="257" spans="1:56" x14ac:dyDescent="0.3">
      <c r="A257">
        <v>10256</v>
      </c>
      <c r="B257">
        <v>1</v>
      </c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1</v>
      </c>
      <c r="X257">
        <v>0</v>
      </c>
      <c r="Y257">
        <v>0</v>
      </c>
      <c r="Z257">
        <v>0</v>
      </c>
      <c r="AA257">
        <v>1</v>
      </c>
      <c r="AB257">
        <v>0</v>
      </c>
      <c r="AC257">
        <v>0</v>
      </c>
      <c r="AD257">
        <f>AW257</f>
        <v>720.35300000000007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3.2300000000000004</v>
      </c>
      <c r="AV257">
        <v>3.1633333333333336</v>
      </c>
      <c r="AW257">
        <v>720.35300000000007</v>
      </c>
      <c r="AX257">
        <v>75</v>
      </c>
      <c r="AY257">
        <v>383</v>
      </c>
      <c r="BC257" t="s">
        <v>345</v>
      </c>
      <c r="BD257" t="s">
        <v>60</v>
      </c>
    </row>
    <row r="258" spans="1:56" x14ac:dyDescent="0.3">
      <c r="A258">
        <v>10257</v>
      </c>
      <c r="B258">
        <v>1</v>
      </c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  <c r="Z258">
        <v>0</v>
      </c>
      <c r="AA258">
        <v>1</v>
      </c>
      <c r="AB258">
        <v>0</v>
      </c>
      <c r="AC258">
        <v>0</v>
      </c>
      <c r="AD258">
        <f>AW258</f>
        <v>714.27300000000002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3.8699999999999997</v>
      </c>
      <c r="AV258">
        <v>3.1633333333333336</v>
      </c>
      <c r="AW258">
        <v>714.27300000000002</v>
      </c>
      <c r="AX258">
        <v>63</v>
      </c>
      <c r="AY258">
        <v>459</v>
      </c>
      <c r="BD258" t="s">
        <v>60</v>
      </c>
    </row>
    <row r="259" spans="1:56" x14ac:dyDescent="0.3">
      <c r="A259">
        <v>10258</v>
      </c>
      <c r="B259">
        <v>1</v>
      </c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1</v>
      </c>
      <c r="AB259">
        <v>0</v>
      </c>
      <c r="AC259">
        <v>0</v>
      </c>
      <c r="AD259">
        <f>AW259</f>
        <v>708.23900000000003</v>
      </c>
      <c r="AE259">
        <v>0</v>
      </c>
      <c r="AF259">
        <v>1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4.2799999999999994</v>
      </c>
      <c r="AV259">
        <v>3.2149999999999999</v>
      </c>
      <c r="AW259">
        <v>708.23900000000003</v>
      </c>
      <c r="AX259">
        <v>66</v>
      </c>
      <c r="AY259">
        <v>674</v>
      </c>
      <c r="BD259" t="s">
        <v>60</v>
      </c>
    </row>
    <row r="260" spans="1:56" x14ac:dyDescent="0.3">
      <c r="A260">
        <v>10259</v>
      </c>
      <c r="B260">
        <v>1</v>
      </c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1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6.25</v>
      </c>
      <c r="AV260">
        <v>1.0416666666666667</v>
      </c>
      <c r="AW260">
        <v>779.5</v>
      </c>
      <c r="AX260">
        <v>80</v>
      </c>
    </row>
    <row r="261" spans="1:56" x14ac:dyDescent="0.3">
      <c r="A261">
        <v>10260</v>
      </c>
      <c r="B261">
        <v>1</v>
      </c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1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5.6</v>
      </c>
      <c r="AV261">
        <v>1.2833333333333334</v>
      </c>
      <c r="AW261">
        <v>775.67</v>
      </c>
      <c r="AX261">
        <v>74</v>
      </c>
    </row>
    <row r="262" spans="1:56" x14ac:dyDescent="0.3">
      <c r="A262">
        <v>10261</v>
      </c>
      <c r="B262">
        <v>1</v>
      </c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1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11.2</v>
      </c>
      <c r="AV262">
        <v>1.7666666666666666</v>
      </c>
      <c r="AW262">
        <v>702.46</v>
      </c>
      <c r="AX262">
        <v>80</v>
      </c>
    </row>
    <row r="263" spans="1:56" x14ac:dyDescent="0.3">
      <c r="A263">
        <v>10262</v>
      </c>
      <c r="B263">
        <v>1</v>
      </c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1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5.68</v>
      </c>
      <c r="AV263">
        <v>1.4933333333333334</v>
      </c>
      <c r="AW263">
        <v>766.21599999999989</v>
      </c>
      <c r="AX263">
        <v>82</v>
      </c>
    </row>
    <row r="264" spans="1:56" x14ac:dyDescent="0.3">
      <c r="A264">
        <v>10263</v>
      </c>
      <c r="B264">
        <v>1</v>
      </c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20</v>
      </c>
      <c r="Y264">
        <v>84</v>
      </c>
      <c r="Z264">
        <v>0</v>
      </c>
      <c r="AA264">
        <v>1</v>
      </c>
      <c r="AB264">
        <v>0</v>
      </c>
      <c r="AC264">
        <v>0</v>
      </c>
      <c r="AD264">
        <v>800</v>
      </c>
      <c r="AE264">
        <v>1</v>
      </c>
      <c r="AF264">
        <v>1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13.080000000000002</v>
      </c>
      <c r="AV264">
        <v>0</v>
      </c>
      <c r="AW264">
        <v>851.2</v>
      </c>
      <c r="AZ264">
        <v>739</v>
      </c>
      <c r="BA264">
        <v>23.38</v>
      </c>
      <c r="BD264" t="s">
        <v>96</v>
      </c>
    </row>
    <row r="265" spans="1:56" x14ac:dyDescent="0.3">
      <c r="A265">
        <v>10264</v>
      </c>
      <c r="B265">
        <v>1</v>
      </c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20</v>
      </c>
      <c r="Y265">
        <v>84</v>
      </c>
      <c r="Z265">
        <v>0</v>
      </c>
      <c r="AA265">
        <v>1</v>
      </c>
      <c r="AB265">
        <v>0</v>
      </c>
      <c r="AC265">
        <v>0</v>
      </c>
      <c r="AD265">
        <v>800</v>
      </c>
      <c r="AE265">
        <v>1</v>
      </c>
      <c r="AF265">
        <v>1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13.080000000000002</v>
      </c>
      <c r="AV265">
        <v>0</v>
      </c>
      <c r="AW265">
        <v>851.2</v>
      </c>
      <c r="AZ265">
        <v>739</v>
      </c>
      <c r="BA265">
        <v>24</v>
      </c>
      <c r="BD265" t="s">
        <v>97</v>
      </c>
    </row>
    <row r="266" spans="1:56" x14ac:dyDescent="0.3">
      <c r="A266">
        <v>10265</v>
      </c>
      <c r="B266">
        <v>1</v>
      </c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X266">
        <v>0</v>
      </c>
      <c r="Y266">
        <v>0</v>
      </c>
      <c r="Z266">
        <v>0</v>
      </c>
      <c r="AA266">
        <v>1</v>
      </c>
      <c r="AB266">
        <v>0</v>
      </c>
      <c r="AC266">
        <v>0</v>
      </c>
      <c r="AD266">
        <f t="shared" ref="AD266:AD275" si="1">AW266</f>
        <v>865.06</v>
      </c>
      <c r="AE266">
        <v>0</v>
      </c>
      <c r="AF266">
        <v>1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8.2439999999999998</v>
      </c>
      <c r="AV266">
        <v>0</v>
      </c>
      <c r="AW266">
        <v>865.06</v>
      </c>
      <c r="AX266">
        <v>81</v>
      </c>
      <c r="AY266">
        <v>477</v>
      </c>
      <c r="BD266" t="s">
        <v>60</v>
      </c>
    </row>
    <row r="267" spans="1:56" x14ac:dyDescent="0.3">
      <c r="A267">
        <v>10266</v>
      </c>
      <c r="B267">
        <v>1</v>
      </c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X267">
        <v>0</v>
      </c>
      <c r="Y267">
        <v>0</v>
      </c>
      <c r="Z267">
        <v>0</v>
      </c>
      <c r="AA267">
        <v>1</v>
      </c>
      <c r="AB267">
        <v>0</v>
      </c>
      <c r="AC267">
        <v>0</v>
      </c>
      <c r="AD267">
        <f t="shared" si="1"/>
        <v>857.05200000000002</v>
      </c>
      <c r="AE267">
        <v>0</v>
      </c>
      <c r="AF267">
        <v>1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9.1332000000000004</v>
      </c>
      <c r="AV267">
        <v>0</v>
      </c>
      <c r="AW267">
        <v>857.05200000000002</v>
      </c>
      <c r="AX267">
        <v>94</v>
      </c>
      <c r="AY267">
        <v>496</v>
      </c>
      <c r="BD267" t="s">
        <v>60</v>
      </c>
    </row>
    <row r="268" spans="1:56" x14ac:dyDescent="0.3">
      <c r="A268">
        <v>10267</v>
      </c>
      <c r="B268">
        <v>1</v>
      </c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  <c r="Z268">
        <v>0</v>
      </c>
      <c r="AA268">
        <v>1</v>
      </c>
      <c r="AB268">
        <v>0</v>
      </c>
      <c r="AC268">
        <v>0</v>
      </c>
      <c r="AD268">
        <f t="shared" si="1"/>
        <v>848.58199999999999</v>
      </c>
      <c r="AE268">
        <v>0</v>
      </c>
      <c r="AF268">
        <v>1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10.003</v>
      </c>
      <c r="AV268">
        <v>0</v>
      </c>
      <c r="AW268">
        <v>848.58199999999999</v>
      </c>
      <c r="AX268">
        <v>95</v>
      </c>
      <c r="AY268">
        <v>604</v>
      </c>
      <c r="BD268" t="s">
        <v>60</v>
      </c>
    </row>
    <row r="269" spans="1:56" x14ac:dyDescent="0.3">
      <c r="A269">
        <v>10268</v>
      </c>
      <c r="B269">
        <v>1</v>
      </c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X269">
        <v>0</v>
      </c>
      <c r="Y269">
        <v>0</v>
      </c>
      <c r="Z269">
        <v>0</v>
      </c>
      <c r="AA269">
        <v>1</v>
      </c>
      <c r="AB269">
        <v>0</v>
      </c>
      <c r="AC269">
        <v>0</v>
      </c>
      <c r="AD269">
        <f t="shared" si="1"/>
        <v>842.88400000000001</v>
      </c>
      <c r="AE269">
        <v>0</v>
      </c>
      <c r="AF269">
        <v>1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10.2752</v>
      </c>
      <c r="AV269">
        <v>0</v>
      </c>
      <c r="AW269">
        <v>842.88400000000001</v>
      </c>
      <c r="AX269">
        <v>90</v>
      </c>
      <c r="AY269">
        <v>672</v>
      </c>
      <c r="BD269" t="s">
        <v>60</v>
      </c>
    </row>
    <row r="270" spans="1:56" x14ac:dyDescent="0.3">
      <c r="A270">
        <v>10269</v>
      </c>
      <c r="B270">
        <v>1</v>
      </c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</v>
      </c>
      <c r="X270">
        <v>0</v>
      </c>
      <c r="Y270">
        <v>0</v>
      </c>
      <c r="Z270">
        <v>0</v>
      </c>
      <c r="AA270">
        <v>1</v>
      </c>
      <c r="AB270">
        <v>0</v>
      </c>
      <c r="AC270">
        <v>0</v>
      </c>
      <c r="AD270">
        <f t="shared" si="1"/>
        <v>838.88</v>
      </c>
      <c r="AE270">
        <v>0</v>
      </c>
      <c r="AF270">
        <v>1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10.430000000000001</v>
      </c>
      <c r="AV270">
        <v>0</v>
      </c>
      <c r="AW270">
        <v>838.88</v>
      </c>
      <c r="AX270">
        <v>94</v>
      </c>
      <c r="AY270">
        <v>695</v>
      </c>
      <c r="BD270" t="s">
        <v>60</v>
      </c>
    </row>
    <row r="271" spans="1:56" x14ac:dyDescent="0.3">
      <c r="A271">
        <v>10270</v>
      </c>
      <c r="B271">
        <v>1</v>
      </c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1</v>
      </c>
      <c r="X271">
        <v>0</v>
      </c>
      <c r="Y271">
        <v>0</v>
      </c>
      <c r="Z271">
        <v>0</v>
      </c>
      <c r="AA271">
        <v>1</v>
      </c>
      <c r="AB271">
        <v>0</v>
      </c>
      <c r="AC271">
        <v>0</v>
      </c>
      <c r="AD271">
        <f t="shared" si="1"/>
        <v>830.41</v>
      </c>
      <c r="AE271">
        <v>0</v>
      </c>
      <c r="AF271">
        <v>1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11.400600000000001</v>
      </c>
      <c r="AV271">
        <v>0</v>
      </c>
      <c r="AW271">
        <v>830.41</v>
      </c>
      <c r="AX271">
        <v>97</v>
      </c>
      <c r="AY271">
        <v>715</v>
      </c>
      <c r="BD271" t="s">
        <v>60</v>
      </c>
    </row>
    <row r="272" spans="1:56" x14ac:dyDescent="0.3">
      <c r="A272">
        <v>10271</v>
      </c>
      <c r="B272">
        <v>1</v>
      </c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</v>
      </c>
      <c r="X272">
        <v>0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f t="shared" si="1"/>
        <v>864.90599999999995</v>
      </c>
      <c r="AE272">
        <v>0</v>
      </c>
      <c r="AF272">
        <v>1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8.3318000000000012</v>
      </c>
      <c r="AV272">
        <v>0</v>
      </c>
      <c r="AW272">
        <v>864.90599999999995</v>
      </c>
      <c r="AX272">
        <v>79</v>
      </c>
      <c r="AY272">
        <v>606</v>
      </c>
      <c r="BC272" t="s">
        <v>337</v>
      </c>
      <c r="BD272" t="s">
        <v>60</v>
      </c>
    </row>
    <row r="273" spans="1:56" x14ac:dyDescent="0.3">
      <c r="A273">
        <v>10272</v>
      </c>
      <c r="B273">
        <v>1</v>
      </c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0</v>
      </c>
      <c r="Y273">
        <v>0</v>
      </c>
      <c r="Z273">
        <v>0</v>
      </c>
      <c r="AA273">
        <v>1</v>
      </c>
      <c r="AB273">
        <v>0</v>
      </c>
      <c r="AC273">
        <v>0</v>
      </c>
      <c r="AD273">
        <f t="shared" si="1"/>
        <v>837.03200000000004</v>
      </c>
      <c r="AE273">
        <v>0</v>
      </c>
      <c r="AF273">
        <v>1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13.4968</v>
      </c>
      <c r="AV273">
        <v>0</v>
      </c>
      <c r="AW273">
        <v>837.03200000000004</v>
      </c>
      <c r="AX273">
        <v>78</v>
      </c>
      <c r="AY273">
        <v>625</v>
      </c>
      <c r="BC273" t="s">
        <v>337</v>
      </c>
      <c r="BD273" t="s">
        <v>60</v>
      </c>
    </row>
    <row r="274" spans="1:56" x14ac:dyDescent="0.3">
      <c r="A274">
        <v>10273</v>
      </c>
      <c r="B274">
        <v>1</v>
      </c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X274">
        <v>0</v>
      </c>
      <c r="Y274">
        <v>0</v>
      </c>
      <c r="Z274">
        <v>0</v>
      </c>
      <c r="AA274">
        <v>1</v>
      </c>
      <c r="AB274">
        <v>0</v>
      </c>
      <c r="AC274">
        <v>0</v>
      </c>
      <c r="AD274">
        <f t="shared" si="1"/>
        <v>802.84400000000005</v>
      </c>
      <c r="AE274">
        <v>0</v>
      </c>
      <c r="AF274">
        <v>1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19.856400000000001</v>
      </c>
      <c r="AV274">
        <v>0</v>
      </c>
      <c r="AW274">
        <v>802.84400000000005</v>
      </c>
      <c r="AX274">
        <v>79</v>
      </c>
      <c r="AY274">
        <v>629</v>
      </c>
      <c r="BC274" t="s">
        <v>337</v>
      </c>
      <c r="BD274" t="s">
        <v>60</v>
      </c>
    </row>
    <row r="275" spans="1:56" x14ac:dyDescent="0.3">
      <c r="A275">
        <v>10274</v>
      </c>
      <c r="B275">
        <v>1</v>
      </c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1</v>
      </c>
      <c r="AB275">
        <v>0</v>
      </c>
      <c r="AC275">
        <v>0</v>
      </c>
      <c r="AD275">
        <f t="shared" si="1"/>
        <v>818.24400000000003</v>
      </c>
      <c r="AE275">
        <v>0</v>
      </c>
      <c r="AF275">
        <v>1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13.954799999999999</v>
      </c>
      <c r="AV275">
        <v>0</v>
      </c>
      <c r="AW275">
        <v>818.24400000000003</v>
      </c>
      <c r="AX275">
        <v>90</v>
      </c>
      <c r="AY275">
        <v>740</v>
      </c>
      <c r="BC275" t="s">
        <v>337</v>
      </c>
      <c r="BD275" t="s">
        <v>60</v>
      </c>
    </row>
    <row r="276" spans="1:56" x14ac:dyDescent="0.3">
      <c r="A276">
        <v>10275</v>
      </c>
      <c r="B276">
        <v>1</v>
      </c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17.583200000000001</v>
      </c>
      <c r="AV276">
        <v>0</v>
      </c>
      <c r="AW276">
        <v>797.60799999999995</v>
      </c>
      <c r="AX276">
        <v>89</v>
      </c>
      <c r="AY276">
        <v>1137</v>
      </c>
      <c r="BC276" t="s">
        <v>337</v>
      </c>
      <c r="BD276" t="s">
        <v>60</v>
      </c>
    </row>
    <row r="277" spans="1:56" x14ac:dyDescent="0.3">
      <c r="A277">
        <v>10276</v>
      </c>
      <c r="B277">
        <v>1</v>
      </c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25.653600000000004</v>
      </c>
      <c r="AV277">
        <v>0</v>
      </c>
      <c r="AW277">
        <v>754.79599999999994</v>
      </c>
      <c r="AX277">
        <v>82</v>
      </c>
      <c r="AY277">
        <v>1078</v>
      </c>
      <c r="BC277" t="s">
        <v>301</v>
      </c>
      <c r="BD277" t="s">
        <v>60</v>
      </c>
    </row>
    <row r="278" spans="1:56" x14ac:dyDescent="0.3">
      <c r="A278">
        <v>10277</v>
      </c>
      <c r="B278">
        <v>1</v>
      </c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17.8066</v>
      </c>
      <c r="AV278">
        <v>0</v>
      </c>
      <c r="AW278">
        <v>788.21399999999994</v>
      </c>
      <c r="AX278">
        <v>124</v>
      </c>
      <c r="AY278">
        <v>1785</v>
      </c>
      <c r="BC278" t="s">
        <v>301</v>
      </c>
      <c r="BD278" t="s">
        <v>60</v>
      </c>
    </row>
    <row r="279" spans="1:56" x14ac:dyDescent="0.3">
      <c r="A279">
        <v>10278</v>
      </c>
      <c r="B279">
        <v>1</v>
      </c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18.515599999999996</v>
      </c>
      <c r="AV279">
        <v>0</v>
      </c>
      <c r="AW279">
        <v>786.82799999999997</v>
      </c>
      <c r="AX279">
        <v>115</v>
      </c>
      <c r="AY279">
        <v>1539</v>
      </c>
      <c r="BC279" t="s">
        <v>301</v>
      </c>
      <c r="BD279" t="s">
        <v>60</v>
      </c>
    </row>
    <row r="280" spans="1:56" x14ac:dyDescent="0.3">
      <c r="A280">
        <v>10279</v>
      </c>
      <c r="B280">
        <v>1</v>
      </c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18.997599999999995</v>
      </c>
      <c r="AV280">
        <v>0</v>
      </c>
      <c r="AW280">
        <v>785.904</v>
      </c>
      <c r="AX280">
        <v>97</v>
      </c>
      <c r="AY280">
        <v>1144</v>
      </c>
      <c r="BD280" t="s">
        <v>60</v>
      </c>
    </row>
    <row r="281" spans="1:56" x14ac:dyDescent="0.3">
      <c r="A281">
        <v>10280</v>
      </c>
      <c r="B281">
        <v>1</v>
      </c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19.757999999999999</v>
      </c>
      <c r="AV281">
        <v>0</v>
      </c>
      <c r="AW281">
        <v>784.36400000000003</v>
      </c>
      <c r="AX281">
        <v>89</v>
      </c>
      <c r="AY281">
        <v>1010</v>
      </c>
      <c r="BD281" t="s">
        <v>60</v>
      </c>
    </row>
    <row r="282" spans="1:56" x14ac:dyDescent="0.3">
      <c r="A282">
        <v>10281</v>
      </c>
      <c r="B282">
        <v>1</v>
      </c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20.282999999999998</v>
      </c>
      <c r="AV282">
        <v>0</v>
      </c>
      <c r="AW282">
        <v>783.28600000000006</v>
      </c>
      <c r="AX282">
        <v>86</v>
      </c>
      <c r="AY282">
        <v>985</v>
      </c>
      <c r="BD282" t="s">
        <v>60</v>
      </c>
    </row>
    <row r="283" spans="1:56" x14ac:dyDescent="0.3">
      <c r="A283">
        <v>10282</v>
      </c>
      <c r="B283">
        <v>1</v>
      </c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1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24.775200000000002</v>
      </c>
      <c r="AV283">
        <v>0</v>
      </c>
      <c r="AW283">
        <v>774.50800000000004</v>
      </c>
      <c r="AX283">
        <v>116</v>
      </c>
      <c r="AY283">
        <v>784</v>
      </c>
      <c r="BD283" t="s">
        <v>60</v>
      </c>
    </row>
    <row r="284" spans="1:56" x14ac:dyDescent="0.3">
      <c r="A284">
        <v>10283</v>
      </c>
      <c r="B284">
        <v>1</v>
      </c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>
        <v>0</v>
      </c>
      <c r="AD284">
        <f>AW284</f>
        <v>866.6</v>
      </c>
      <c r="AE284">
        <v>0</v>
      </c>
      <c r="AF284">
        <v>1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9.06</v>
      </c>
      <c r="AV284">
        <v>0</v>
      </c>
      <c r="AW284">
        <v>866.6</v>
      </c>
      <c r="AX284">
        <v>79</v>
      </c>
      <c r="AY284">
        <v>600</v>
      </c>
      <c r="BD284" t="s">
        <v>60</v>
      </c>
    </row>
    <row r="285" spans="1:56" x14ac:dyDescent="0.3">
      <c r="A285">
        <v>10284</v>
      </c>
      <c r="B285">
        <v>1</v>
      </c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0</v>
      </c>
      <c r="AD285">
        <v>1000</v>
      </c>
      <c r="AE285">
        <v>1</v>
      </c>
      <c r="AF285">
        <v>0</v>
      </c>
      <c r="AG285">
        <v>0</v>
      </c>
      <c r="AH285">
        <v>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-5</v>
      </c>
      <c r="AV285">
        <v>5.833333333333333</v>
      </c>
      <c r="AW285">
        <v>903</v>
      </c>
      <c r="AZ285">
        <v>769</v>
      </c>
      <c r="BA285">
        <v>10.6</v>
      </c>
      <c r="BD285" t="s">
        <v>114</v>
      </c>
    </row>
    <row r="286" spans="1:56" x14ac:dyDescent="0.3">
      <c r="A286">
        <v>10285</v>
      </c>
      <c r="B286">
        <v>1</v>
      </c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v>1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-5</v>
      </c>
      <c r="AV286">
        <v>5.833333333333333</v>
      </c>
      <c r="AW286">
        <v>903</v>
      </c>
      <c r="AY286">
        <v>746</v>
      </c>
      <c r="AZ286">
        <v>769</v>
      </c>
      <c r="BA286">
        <v>10.6</v>
      </c>
      <c r="BB286">
        <v>282</v>
      </c>
      <c r="BD286" t="s">
        <v>98</v>
      </c>
    </row>
    <row r="287" spans="1:56" x14ac:dyDescent="0.3">
      <c r="A287">
        <v>10286</v>
      </c>
      <c r="B287">
        <v>1</v>
      </c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20</v>
      </c>
      <c r="Y287">
        <v>89</v>
      </c>
      <c r="Z287">
        <v>0</v>
      </c>
      <c r="AA287">
        <v>1</v>
      </c>
      <c r="AB287">
        <v>0</v>
      </c>
      <c r="AC287">
        <v>0</v>
      </c>
      <c r="AD287">
        <v>950</v>
      </c>
      <c r="AE287">
        <v>2</v>
      </c>
      <c r="AF287">
        <v>1</v>
      </c>
      <c r="AG287">
        <v>0</v>
      </c>
      <c r="AH287">
        <v>0</v>
      </c>
      <c r="AI287">
        <f>0.5*AW290</f>
        <v>457.59</v>
      </c>
      <c r="AJ287">
        <v>0</v>
      </c>
      <c r="AK287">
        <v>0</v>
      </c>
      <c r="AL287">
        <v>1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9.8000000000000007</v>
      </c>
      <c r="AV287">
        <v>1.3333333333333333</v>
      </c>
      <c r="AW287">
        <v>898.8</v>
      </c>
      <c r="AZ287">
        <v>680</v>
      </c>
      <c r="BA287">
        <v>13.62</v>
      </c>
      <c r="BD287" t="s">
        <v>99</v>
      </c>
    </row>
    <row r="288" spans="1:56" x14ac:dyDescent="0.3">
      <c r="A288">
        <v>10287</v>
      </c>
      <c r="B288">
        <v>1</v>
      </c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20</v>
      </c>
      <c r="Y288">
        <v>89</v>
      </c>
      <c r="Z288">
        <v>0</v>
      </c>
      <c r="AA288">
        <v>1</v>
      </c>
      <c r="AB288">
        <v>0</v>
      </c>
      <c r="AC288">
        <v>0</v>
      </c>
      <c r="AD288">
        <v>950</v>
      </c>
      <c r="AE288">
        <v>2</v>
      </c>
      <c r="AF288">
        <v>1</v>
      </c>
      <c r="AG288">
        <v>0</v>
      </c>
      <c r="AH288">
        <v>0</v>
      </c>
      <c r="AI288">
        <v>250</v>
      </c>
      <c r="AJ288">
        <v>2</v>
      </c>
      <c r="AK288">
        <v>0</v>
      </c>
      <c r="AL288">
        <v>1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9.8000000000000007</v>
      </c>
      <c r="AV288">
        <v>1.3333333333333333</v>
      </c>
      <c r="AW288">
        <v>898.8</v>
      </c>
      <c r="AZ288">
        <v>830</v>
      </c>
      <c r="BA288">
        <v>6.5</v>
      </c>
      <c r="BC288" t="s">
        <v>251</v>
      </c>
      <c r="BD288" t="s">
        <v>100</v>
      </c>
    </row>
    <row r="289" spans="1:56" x14ac:dyDescent="0.3">
      <c r="A289">
        <v>10288</v>
      </c>
      <c r="B289">
        <v>1</v>
      </c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20</v>
      </c>
      <c r="Y289">
        <v>89</v>
      </c>
      <c r="Z289">
        <v>0</v>
      </c>
      <c r="AA289">
        <v>1</v>
      </c>
      <c r="AB289">
        <v>0</v>
      </c>
      <c r="AC289">
        <v>0</v>
      </c>
      <c r="AD289">
        <v>950</v>
      </c>
      <c r="AE289">
        <v>2</v>
      </c>
      <c r="AF289">
        <v>1</v>
      </c>
      <c r="AG289">
        <v>0</v>
      </c>
      <c r="AH289">
        <v>0</v>
      </c>
      <c r="AI289">
        <v>300</v>
      </c>
      <c r="AJ289">
        <v>2</v>
      </c>
      <c r="AK289">
        <v>0</v>
      </c>
      <c r="AL289">
        <v>1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9.8000000000000007</v>
      </c>
      <c r="AV289">
        <v>1.3333333333333333</v>
      </c>
      <c r="AW289">
        <v>898.8</v>
      </c>
      <c r="AZ289">
        <v>1000</v>
      </c>
      <c r="BA289">
        <v>8.9499999999999993</v>
      </c>
      <c r="BC289" t="s">
        <v>251</v>
      </c>
      <c r="BD289" t="s">
        <v>101</v>
      </c>
    </row>
    <row r="290" spans="1:56" x14ac:dyDescent="0.3">
      <c r="A290">
        <v>10289</v>
      </c>
      <c r="B290">
        <v>1</v>
      </c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20</v>
      </c>
      <c r="Y290">
        <v>89</v>
      </c>
      <c r="Z290">
        <v>0</v>
      </c>
      <c r="AA290">
        <v>1</v>
      </c>
      <c r="AB290">
        <v>0</v>
      </c>
      <c r="AC290">
        <v>0</v>
      </c>
      <c r="AD290">
        <v>950</v>
      </c>
      <c r="AE290">
        <v>2</v>
      </c>
      <c r="AF290">
        <v>1</v>
      </c>
      <c r="AG290">
        <v>0</v>
      </c>
      <c r="AH290">
        <v>0</v>
      </c>
      <c r="AI290">
        <f>0.5*AW293</f>
        <v>445.2</v>
      </c>
      <c r="AJ290">
        <v>0</v>
      </c>
      <c r="AK290">
        <v>0</v>
      </c>
      <c r="AL290">
        <v>1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9.8000000000000007</v>
      </c>
      <c r="AV290">
        <v>2.6333333333333333</v>
      </c>
      <c r="AW290">
        <v>915.18</v>
      </c>
      <c r="AZ290">
        <v>600</v>
      </c>
      <c r="BA290">
        <v>13.59</v>
      </c>
      <c r="BD290" t="s">
        <v>102</v>
      </c>
    </row>
    <row r="291" spans="1:56" x14ac:dyDescent="0.3">
      <c r="A291">
        <v>10290</v>
      </c>
      <c r="B291">
        <v>1</v>
      </c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20</v>
      </c>
      <c r="Y291">
        <v>89</v>
      </c>
      <c r="Z291">
        <v>0</v>
      </c>
      <c r="AA291">
        <v>1</v>
      </c>
      <c r="AB291">
        <v>0</v>
      </c>
      <c r="AC291">
        <v>0</v>
      </c>
      <c r="AD291">
        <v>950</v>
      </c>
      <c r="AE291">
        <v>2</v>
      </c>
      <c r="AF291">
        <v>1</v>
      </c>
      <c r="AG291">
        <v>0</v>
      </c>
      <c r="AH291">
        <v>0</v>
      </c>
      <c r="AI291">
        <v>250</v>
      </c>
      <c r="AJ291">
        <v>2</v>
      </c>
      <c r="AK291">
        <v>0</v>
      </c>
      <c r="AL291">
        <v>1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9.8000000000000007</v>
      </c>
      <c r="AV291">
        <v>2.6333333333333333</v>
      </c>
      <c r="AW291">
        <v>915.18</v>
      </c>
      <c r="AZ291">
        <v>670</v>
      </c>
      <c r="BA291">
        <v>15.05</v>
      </c>
      <c r="BD291" t="s">
        <v>103</v>
      </c>
    </row>
    <row r="292" spans="1:56" x14ac:dyDescent="0.3">
      <c r="A292">
        <v>10291</v>
      </c>
      <c r="B292">
        <v>1</v>
      </c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20</v>
      </c>
      <c r="Y292">
        <v>89</v>
      </c>
      <c r="Z292">
        <v>0</v>
      </c>
      <c r="AA292">
        <v>1</v>
      </c>
      <c r="AB292">
        <v>0</v>
      </c>
      <c r="AC292">
        <v>0</v>
      </c>
      <c r="AD292">
        <v>950</v>
      </c>
      <c r="AE292">
        <v>2</v>
      </c>
      <c r="AF292">
        <v>1</v>
      </c>
      <c r="AG292">
        <v>0</v>
      </c>
      <c r="AH292">
        <v>0</v>
      </c>
      <c r="AI292">
        <v>300</v>
      </c>
      <c r="AJ292">
        <v>2</v>
      </c>
      <c r="AK292">
        <v>0</v>
      </c>
      <c r="AL292">
        <v>1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9.8000000000000007</v>
      </c>
      <c r="AV292">
        <v>2.6333333333333333</v>
      </c>
      <c r="AW292">
        <v>915.18</v>
      </c>
      <c r="AZ292">
        <v>710</v>
      </c>
      <c r="BA292">
        <v>12.26</v>
      </c>
      <c r="BD292" t="s">
        <v>104</v>
      </c>
    </row>
    <row r="293" spans="1:56" x14ac:dyDescent="0.3">
      <c r="A293">
        <v>10292</v>
      </c>
      <c r="B293">
        <v>1</v>
      </c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1</v>
      </c>
      <c r="X293">
        <v>0</v>
      </c>
      <c r="Y293">
        <v>0</v>
      </c>
      <c r="Z293">
        <v>0</v>
      </c>
      <c r="AA293">
        <v>1</v>
      </c>
      <c r="AB293">
        <v>0</v>
      </c>
      <c r="AC293">
        <v>0</v>
      </c>
      <c r="AD293">
        <v>950</v>
      </c>
      <c r="AE293">
        <v>0.5</v>
      </c>
      <c r="AF293">
        <v>1</v>
      </c>
      <c r="AG293">
        <v>0</v>
      </c>
      <c r="AH293">
        <v>0</v>
      </c>
      <c r="AI293">
        <f>0.5*AW296</f>
        <v>464.1</v>
      </c>
      <c r="AJ293">
        <v>0</v>
      </c>
      <c r="AK293">
        <v>0</v>
      </c>
      <c r="AL293">
        <v>1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8.9600000000000009</v>
      </c>
      <c r="AV293">
        <v>0.66666666666666663</v>
      </c>
      <c r="AW293">
        <v>890.4</v>
      </c>
      <c r="AY293">
        <v>665</v>
      </c>
      <c r="AZ293">
        <v>780</v>
      </c>
      <c r="BA293">
        <v>32</v>
      </c>
      <c r="BB293">
        <v>60</v>
      </c>
      <c r="BD293" t="s">
        <v>105</v>
      </c>
    </row>
    <row r="294" spans="1:56" x14ac:dyDescent="0.3">
      <c r="A294">
        <v>10293</v>
      </c>
      <c r="B294">
        <v>1</v>
      </c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1</v>
      </c>
      <c r="AB294">
        <v>0</v>
      </c>
      <c r="AC294">
        <v>0</v>
      </c>
      <c r="AD294">
        <v>950</v>
      </c>
      <c r="AE294">
        <v>0.5</v>
      </c>
      <c r="AF294">
        <v>1</v>
      </c>
      <c r="AG294">
        <v>0</v>
      </c>
      <c r="AH294">
        <v>0</v>
      </c>
      <c r="AI294">
        <v>500</v>
      </c>
      <c r="AJ294">
        <v>6</v>
      </c>
      <c r="AK294">
        <v>0</v>
      </c>
      <c r="AL294">
        <v>1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8.9600000000000009</v>
      </c>
      <c r="AV294">
        <v>0.66666666666666663</v>
      </c>
      <c r="AW294">
        <v>890.4</v>
      </c>
      <c r="AY294">
        <v>960</v>
      </c>
      <c r="AZ294">
        <v>1070</v>
      </c>
      <c r="BA294">
        <v>8</v>
      </c>
      <c r="BB294">
        <v>82</v>
      </c>
      <c r="BD294" t="s">
        <v>106</v>
      </c>
    </row>
    <row r="295" spans="1:56" x14ac:dyDescent="0.3">
      <c r="A295">
        <v>10294</v>
      </c>
      <c r="B295">
        <v>1</v>
      </c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X295">
        <v>0</v>
      </c>
      <c r="Y295">
        <v>0</v>
      </c>
      <c r="Z295">
        <v>0</v>
      </c>
      <c r="AA295">
        <v>1</v>
      </c>
      <c r="AB295">
        <v>0</v>
      </c>
      <c r="AC295">
        <v>0</v>
      </c>
      <c r="AD295">
        <v>950</v>
      </c>
      <c r="AE295">
        <v>0.5</v>
      </c>
      <c r="AF295">
        <v>1</v>
      </c>
      <c r="AG295">
        <v>0</v>
      </c>
      <c r="AH295">
        <v>0</v>
      </c>
      <c r="AI295">
        <v>600</v>
      </c>
      <c r="AJ295">
        <v>6</v>
      </c>
      <c r="AK295">
        <v>0</v>
      </c>
      <c r="AL295">
        <v>1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8.9600000000000009</v>
      </c>
      <c r="AV295">
        <v>0.66666666666666663</v>
      </c>
      <c r="AW295">
        <v>890.4</v>
      </c>
      <c r="AY295">
        <v>560</v>
      </c>
      <c r="AZ295">
        <v>685</v>
      </c>
      <c r="BA295">
        <v>7</v>
      </c>
      <c r="BD295" t="s">
        <v>107</v>
      </c>
    </row>
    <row r="296" spans="1:56" x14ac:dyDescent="0.3">
      <c r="A296">
        <v>10295</v>
      </c>
      <c r="B296">
        <v>1</v>
      </c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7.3360000000000003</v>
      </c>
      <c r="AV296">
        <v>3.6666666666666665</v>
      </c>
      <c r="AW296">
        <v>928.2</v>
      </c>
      <c r="AY296">
        <v>397</v>
      </c>
      <c r="AZ296">
        <v>447</v>
      </c>
      <c r="BA296">
        <v>16.899999999999999</v>
      </c>
      <c r="BD296" t="s">
        <v>108</v>
      </c>
    </row>
    <row r="297" spans="1:56" x14ac:dyDescent="0.3">
      <c r="A297">
        <v>10296</v>
      </c>
      <c r="B297">
        <v>1</v>
      </c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90</v>
      </c>
      <c r="Y297">
        <v>0</v>
      </c>
      <c r="Z297">
        <v>0</v>
      </c>
      <c r="AA297">
        <v>1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7.3360000000000003</v>
      </c>
      <c r="AV297">
        <v>3.6666666666666665</v>
      </c>
      <c r="AW297">
        <v>928.2</v>
      </c>
      <c r="AY297">
        <v>641</v>
      </c>
      <c r="AZ297">
        <v>855</v>
      </c>
      <c r="BA297">
        <v>6.3</v>
      </c>
      <c r="BD297" t="s">
        <v>108</v>
      </c>
    </row>
    <row r="298" spans="1:56" x14ac:dyDescent="0.3">
      <c r="A298">
        <v>10297</v>
      </c>
      <c r="B298">
        <v>1</v>
      </c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400</v>
      </c>
      <c r="AJ298">
        <v>0.33333333300000001</v>
      </c>
      <c r="AK298">
        <v>1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7.3360000000000003</v>
      </c>
      <c r="AV298">
        <v>3.6666666666666665</v>
      </c>
      <c r="AW298">
        <v>928.2</v>
      </c>
      <c r="AY298">
        <v>934</v>
      </c>
      <c r="AZ298">
        <v>1049</v>
      </c>
      <c r="BA298">
        <v>3.7</v>
      </c>
      <c r="BD298" t="s">
        <v>108</v>
      </c>
    </row>
    <row r="299" spans="1:56" x14ac:dyDescent="0.3">
      <c r="A299">
        <v>10298</v>
      </c>
      <c r="B299">
        <v>1</v>
      </c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450</v>
      </c>
      <c r="AJ299">
        <v>0.33333333300000001</v>
      </c>
      <c r="AK299">
        <v>1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7.3360000000000003</v>
      </c>
      <c r="AV299">
        <v>3.6666666666666665</v>
      </c>
      <c r="AW299">
        <v>928.2</v>
      </c>
      <c r="AY299">
        <v>786</v>
      </c>
      <c r="AZ299">
        <v>799</v>
      </c>
      <c r="BA299">
        <v>4</v>
      </c>
      <c r="BD299" t="s">
        <v>108</v>
      </c>
    </row>
    <row r="300" spans="1:56" x14ac:dyDescent="0.3">
      <c r="A300">
        <v>10299</v>
      </c>
      <c r="B300">
        <v>1</v>
      </c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950</v>
      </c>
      <c r="AE300">
        <v>1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7.3360000000000003</v>
      </c>
      <c r="AV300">
        <v>3.6666666666666665</v>
      </c>
      <c r="AW300">
        <v>928.2</v>
      </c>
      <c r="AY300">
        <v>579</v>
      </c>
      <c r="AZ300">
        <v>590</v>
      </c>
      <c r="BA300">
        <v>27.8</v>
      </c>
      <c r="BD300" t="s">
        <v>108</v>
      </c>
    </row>
    <row r="301" spans="1:56" x14ac:dyDescent="0.3">
      <c r="A301">
        <v>10300</v>
      </c>
      <c r="B301">
        <v>1</v>
      </c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1</v>
      </c>
      <c r="AA301">
        <v>0</v>
      </c>
      <c r="AB301">
        <v>0</v>
      </c>
      <c r="AC301">
        <v>0</v>
      </c>
      <c r="AD301">
        <v>950</v>
      </c>
      <c r="AE301">
        <v>1</v>
      </c>
      <c r="AF301">
        <v>1</v>
      </c>
      <c r="AG301">
        <v>0</v>
      </c>
      <c r="AH301">
        <v>0</v>
      </c>
      <c r="AI301">
        <v>400</v>
      </c>
      <c r="AJ301">
        <v>0.33333333300000001</v>
      </c>
      <c r="AK301">
        <v>1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7.3360000000000003</v>
      </c>
      <c r="AV301">
        <v>3.6666666666666665</v>
      </c>
      <c r="AW301">
        <v>928.2</v>
      </c>
      <c r="AY301">
        <v>543</v>
      </c>
      <c r="AZ301">
        <v>576</v>
      </c>
      <c r="BA301">
        <v>19.5</v>
      </c>
      <c r="BD301" t="s">
        <v>108</v>
      </c>
    </row>
    <row r="302" spans="1:56" x14ac:dyDescent="0.3">
      <c r="A302">
        <v>10301</v>
      </c>
      <c r="B302">
        <v>1</v>
      </c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1</v>
      </c>
      <c r="AA302">
        <v>0</v>
      </c>
      <c r="AB302">
        <v>0</v>
      </c>
      <c r="AC302">
        <v>0</v>
      </c>
      <c r="AD302">
        <v>950</v>
      </c>
      <c r="AE302">
        <v>1</v>
      </c>
      <c r="AF302">
        <v>1</v>
      </c>
      <c r="AG302">
        <v>0</v>
      </c>
      <c r="AH302">
        <v>0</v>
      </c>
      <c r="AI302">
        <v>450</v>
      </c>
      <c r="AJ302">
        <v>0.33333333300000001</v>
      </c>
      <c r="AK302">
        <v>1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7.3360000000000003</v>
      </c>
      <c r="AV302">
        <v>3.6666666666666665</v>
      </c>
      <c r="AW302">
        <v>928.2</v>
      </c>
      <c r="AY302">
        <v>581</v>
      </c>
      <c r="AZ302">
        <v>587</v>
      </c>
      <c r="BA302">
        <v>14.1</v>
      </c>
      <c r="BD302" t="s">
        <v>108</v>
      </c>
    </row>
    <row r="303" spans="1:56" x14ac:dyDescent="0.3">
      <c r="A303">
        <v>10302</v>
      </c>
      <c r="B303">
        <v>1</v>
      </c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f t="shared" ref="AD303:AD309" si="2">AW303</f>
        <v>886.07399999999996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5.5411999999999999</v>
      </c>
      <c r="AV303">
        <v>0.32333333333333331</v>
      </c>
      <c r="AW303">
        <v>886.07399999999996</v>
      </c>
      <c r="AX303">
        <v>60</v>
      </c>
      <c r="AY303">
        <v>665</v>
      </c>
      <c r="BD303" t="s">
        <v>60</v>
      </c>
    </row>
    <row r="304" spans="1:56" x14ac:dyDescent="0.3">
      <c r="A304">
        <v>10303</v>
      </c>
      <c r="B304">
        <v>1</v>
      </c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f t="shared" si="2"/>
        <v>890.4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6.2608000000000006</v>
      </c>
      <c r="AV304">
        <v>0.66666666666666663</v>
      </c>
      <c r="AW304">
        <v>890.4</v>
      </c>
      <c r="AX304">
        <v>55</v>
      </c>
      <c r="AY304">
        <v>376</v>
      </c>
      <c r="BD304" t="s">
        <v>60</v>
      </c>
    </row>
    <row r="305" spans="1:56" x14ac:dyDescent="0.3">
      <c r="A305">
        <v>10304</v>
      </c>
      <c r="B305">
        <v>1</v>
      </c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f t="shared" si="2"/>
        <v>899.09400000000005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6.4456000000000007</v>
      </c>
      <c r="AV305">
        <v>1.3566666666666667</v>
      </c>
      <c r="AW305">
        <v>899.09400000000005</v>
      </c>
      <c r="AX305">
        <v>61</v>
      </c>
      <c r="AY305">
        <v>444</v>
      </c>
      <c r="BD305" t="s">
        <v>60</v>
      </c>
    </row>
    <row r="306" spans="1:56" x14ac:dyDescent="0.3">
      <c r="A306">
        <v>10305</v>
      </c>
      <c r="B306">
        <v>1</v>
      </c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1</v>
      </c>
      <c r="AB306">
        <v>0</v>
      </c>
      <c r="AC306">
        <v>0</v>
      </c>
      <c r="AD306">
        <f t="shared" si="2"/>
        <v>887.20799999999997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6.1908000000000003</v>
      </c>
      <c r="AV306">
        <v>0.41333333333333333</v>
      </c>
      <c r="AW306">
        <v>887.20799999999997</v>
      </c>
      <c r="AX306">
        <v>65.8</v>
      </c>
      <c r="AY306">
        <v>237</v>
      </c>
      <c r="BD306" t="s">
        <v>60</v>
      </c>
    </row>
    <row r="307" spans="1:56" x14ac:dyDescent="0.3">
      <c r="A307">
        <v>10306</v>
      </c>
      <c r="B307">
        <v>1</v>
      </c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1</v>
      </c>
      <c r="AB307">
        <v>0</v>
      </c>
      <c r="AC307">
        <v>0</v>
      </c>
      <c r="AD307">
        <f t="shared" si="2"/>
        <v>892.58399999999995</v>
      </c>
      <c r="AE307">
        <v>0</v>
      </c>
      <c r="AF307">
        <v>1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6.3084000000000007</v>
      </c>
      <c r="AV307">
        <v>0.84</v>
      </c>
      <c r="AW307">
        <v>892.58399999999995</v>
      </c>
      <c r="AX307">
        <v>68.2</v>
      </c>
      <c r="AY307">
        <v>216</v>
      </c>
      <c r="BD307" t="s">
        <v>60</v>
      </c>
    </row>
    <row r="308" spans="1:56" x14ac:dyDescent="0.3">
      <c r="A308">
        <v>10307</v>
      </c>
      <c r="B308">
        <v>1</v>
      </c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1</v>
      </c>
      <c r="AB308">
        <v>0</v>
      </c>
      <c r="AC308">
        <v>0</v>
      </c>
      <c r="AD308">
        <f t="shared" si="2"/>
        <v>898.17</v>
      </c>
      <c r="AE308">
        <v>0</v>
      </c>
      <c r="AF308">
        <v>1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6.4260000000000002</v>
      </c>
      <c r="AV308">
        <v>1.2833333333333334</v>
      </c>
      <c r="AW308">
        <v>898.17</v>
      </c>
      <c r="AX308">
        <v>86.4</v>
      </c>
      <c r="AY308">
        <v>262</v>
      </c>
      <c r="BD308" t="s">
        <v>60</v>
      </c>
    </row>
    <row r="309" spans="1:56" x14ac:dyDescent="0.3">
      <c r="A309">
        <v>10308</v>
      </c>
      <c r="B309">
        <v>1</v>
      </c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1</v>
      </c>
      <c r="AB309">
        <v>0</v>
      </c>
      <c r="AC309">
        <v>0</v>
      </c>
      <c r="AD309">
        <f t="shared" si="2"/>
        <v>886.2</v>
      </c>
      <c r="AE309">
        <v>0</v>
      </c>
      <c r="AF309">
        <v>1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6.16</v>
      </c>
      <c r="AV309">
        <v>0.33333333333333331</v>
      </c>
      <c r="AW309">
        <v>886.2</v>
      </c>
      <c r="AX309">
        <v>65</v>
      </c>
      <c r="AY309">
        <v>503</v>
      </c>
      <c r="BC309" t="s">
        <v>252</v>
      </c>
      <c r="BD309" t="s">
        <v>60</v>
      </c>
    </row>
    <row r="310" spans="1:56" x14ac:dyDescent="0.3">
      <c r="A310">
        <v>10309</v>
      </c>
      <c r="B310">
        <v>1</v>
      </c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4.6648000000000005</v>
      </c>
      <c r="AV310">
        <v>1.8533333333333333</v>
      </c>
      <c r="AW310">
        <v>905.35199999999998</v>
      </c>
      <c r="AX310">
        <v>56</v>
      </c>
      <c r="BC310" t="s">
        <v>252</v>
      </c>
    </row>
    <row r="311" spans="1:56" x14ac:dyDescent="0.3">
      <c r="A311">
        <v>10310</v>
      </c>
      <c r="B311">
        <v>1</v>
      </c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7.3360000000000003</v>
      </c>
      <c r="AV311">
        <v>3.6666666666666665</v>
      </c>
      <c r="AW311">
        <v>928.2</v>
      </c>
      <c r="AX311">
        <v>56</v>
      </c>
      <c r="BC311" t="s">
        <v>253</v>
      </c>
    </row>
    <row r="312" spans="1:56" x14ac:dyDescent="0.3">
      <c r="A312">
        <v>10311</v>
      </c>
      <c r="B312">
        <v>1</v>
      </c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5.1352000000000002</v>
      </c>
      <c r="AV312">
        <v>0.32</v>
      </c>
      <c r="AW312">
        <v>886.03200000000004</v>
      </c>
      <c r="AX312">
        <v>77.400000000000006</v>
      </c>
      <c r="BC312" t="s">
        <v>254</v>
      </c>
    </row>
    <row r="313" spans="1:56" x14ac:dyDescent="0.3">
      <c r="A313">
        <v>10312</v>
      </c>
      <c r="B313">
        <v>1</v>
      </c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5.2108000000000008</v>
      </c>
      <c r="AV313">
        <v>0.64666666666666661</v>
      </c>
      <c r="AW313">
        <v>890.14800000000002</v>
      </c>
      <c r="AX313">
        <v>72.2</v>
      </c>
      <c r="BC313" t="s">
        <v>255</v>
      </c>
    </row>
    <row r="314" spans="1:56" x14ac:dyDescent="0.3">
      <c r="A314">
        <v>10313</v>
      </c>
      <c r="B314">
        <v>1</v>
      </c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5.2864000000000004</v>
      </c>
      <c r="AV314">
        <v>0.98333333333333339</v>
      </c>
      <c r="AW314">
        <v>894.39</v>
      </c>
      <c r="AX314">
        <v>67</v>
      </c>
      <c r="BC314" t="s">
        <v>256</v>
      </c>
    </row>
    <row r="315" spans="1:56" x14ac:dyDescent="0.3">
      <c r="A315">
        <v>10314</v>
      </c>
      <c r="B315">
        <v>1</v>
      </c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5.3648000000000007</v>
      </c>
      <c r="AV315">
        <v>1.3333333333333333</v>
      </c>
      <c r="AW315">
        <v>898.8</v>
      </c>
      <c r="AX315">
        <v>74</v>
      </c>
      <c r="BC315" t="s">
        <v>257</v>
      </c>
    </row>
    <row r="316" spans="1:56" x14ac:dyDescent="0.3">
      <c r="A316">
        <v>10315</v>
      </c>
      <c r="B316">
        <v>1</v>
      </c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5.4460000000000006</v>
      </c>
      <c r="AV316">
        <v>1.6900000000000002</v>
      </c>
      <c r="AW316">
        <v>903.29399999999998</v>
      </c>
      <c r="AX316">
        <v>92</v>
      </c>
      <c r="BC316" t="s">
        <v>258</v>
      </c>
    </row>
    <row r="317" spans="1:56" x14ac:dyDescent="0.3">
      <c r="A317">
        <v>10316</v>
      </c>
      <c r="B317">
        <v>1</v>
      </c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6.2608000000000006</v>
      </c>
      <c r="AV317">
        <v>0.66666666666666663</v>
      </c>
      <c r="AW317">
        <v>890.4</v>
      </c>
      <c r="AX317">
        <v>54.86</v>
      </c>
      <c r="BC317" t="s">
        <v>259</v>
      </c>
    </row>
    <row r="318" spans="1:56" x14ac:dyDescent="0.3">
      <c r="A318">
        <v>10317</v>
      </c>
      <c r="B318">
        <v>1</v>
      </c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13.921600000000002</v>
      </c>
      <c r="AV318">
        <v>1.5133333333333334</v>
      </c>
      <c r="AW318">
        <v>901.06799999999998</v>
      </c>
      <c r="AX318">
        <v>63.55</v>
      </c>
      <c r="BC318" t="s">
        <v>260</v>
      </c>
    </row>
    <row r="319" spans="1:56" x14ac:dyDescent="0.3">
      <c r="A319">
        <v>10318</v>
      </c>
      <c r="B319">
        <v>1</v>
      </c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1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4.4352</v>
      </c>
      <c r="AV319">
        <v>1.8166666666666667</v>
      </c>
      <c r="AW319">
        <v>904.89</v>
      </c>
      <c r="AX319">
        <v>55</v>
      </c>
      <c r="BC319" t="s">
        <v>261</v>
      </c>
    </row>
    <row r="320" spans="1:56" x14ac:dyDescent="0.3">
      <c r="A320">
        <v>10319</v>
      </c>
      <c r="B320">
        <v>1</v>
      </c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4.4044000000000008</v>
      </c>
      <c r="AV320">
        <v>1.64</v>
      </c>
      <c r="AW320">
        <v>902.66399999999999</v>
      </c>
      <c r="AX320">
        <v>72</v>
      </c>
    </row>
    <row r="321" spans="1:56" x14ac:dyDescent="0.3">
      <c r="A321">
        <v>10320</v>
      </c>
      <c r="B321">
        <v>1</v>
      </c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4.3400000000000007</v>
      </c>
      <c r="AV321">
        <v>1.2933333333333332</v>
      </c>
      <c r="AW321">
        <v>898.29600000000005</v>
      </c>
      <c r="AX321">
        <v>52</v>
      </c>
    </row>
    <row r="322" spans="1:56" x14ac:dyDescent="0.3">
      <c r="A322">
        <v>10321</v>
      </c>
      <c r="B322">
        <v>1</v>
      </c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4.3708</v>
      </c>
      <c r="AV322">
        <v>1.4666666666666668</v>
      </c>
      <c r="AW322">
        <v>900.48</v>
      </c>
      <c r="AX322">
        <v>53</v>
      </c>
    </row>
    <row r="323" spans="1:56" x14ac:dyDescent="0.3">
      <c r="A323">
        <v>10322</v>
      </c>
      <c r="B323">
        <v>1</v>
      </c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6.4484000000000012</v>
      </c>
      <c r="AV323">
        <v>1.3533333333333333</v>
      </c>
      <c r="AW323">
        <v>899.05200000000002</v>
      </c>
      <c r="AX323">
        <v>61</v>
      </c>
    </row>
    <row r="324" spans="1:56" x14ac:dyDescent="0.3">
      <c r="A324">
        <v>10323</v>
      </c>
      <c r="B324">
        <v>1</v>
      </c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0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6.168400000000001</v>
      </c>
      <c r="AV324">
        <v>0.33</v>
      </c>
      <c r="AW324">
        <v>886.15800000000002</v>
      </c>
      <c r="AX324">
        <v>51</v>
      </c>
    </row>
    <row r="325" spans="1:56" x14ac:dyDescent="0.3">
      <c r="A325">
        <v>10324</v>
      </c>
      <c r="B325">
        <v>1</v>
      </c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0</v>
      </c>
      <c r="Z325">
        <v>0</v>
      </c>
      <c r="AA325">
        <v>1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-3.32</v>
      </c>
      <c r="AV325">
        <v>6</v>
      </c>
      <c r="AW325">
        <v>847.4</v>
      </c>
      <c r="AX325">
        <v>113</v>
      </c>
      <c r="AY325">
        <v>999</v>
      </c>
      <c r="AZ325">
        <v>1173</v>
      </c>
      <c r="BA325">
        <v>6</v>
      </c>
      <c r="BD325" t="s">
        <v>115</v>
      </c>
    </row>
    <row r="326" spans="1:56" x14ac:dyDescent="0.3">
      <c r="A326">
        <v>10325</v>
      </c>
      <c r="B326">
        <v>0</v>
      </c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700</v>
      </c>
      <c r="AE326">
        <v>4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-3.1530000000000005</v>
      </c>
      <c r="AV326">
        <v>5.9</v>
      </c>
      <c r="AW326">
        <v>846.01</v>
      </c>
      <c r="BD326" t="s">
        <v>116</v>
      </c>
    </row>
    <row r="327" spans="1:56" x14ac:dyDescent="0.3">
      <c r="A327">
        <v>10326</v>
      </c>
      <c r="B327">
        <v>0</v>
      </c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700</v>
      </c>
      <c r="AE327">
        <v>4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-3.1530000000000005</v>
      </c>
      <c r="AV327">
        <v>5.9</v>
      </c>
      <c r="AW327">
        <v>846.01</v>
      </c>
      <c r="BD327" t="s">
        <v>116</v>
      </c>
    </row>
    <row r="328" spans="1:56" x14ac:dyDescent="0.3">
      <c r="A328">
        <v>10327</v>
      </c>
      <c r="B328">
        <v>0</v>
      </c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700</v>
      </c>
      <c r="AE328">
        <v>4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-3.1530000000000005</v>
      </c>
      <c r="AV328">
        <v>5.9</v>
      </c>
      <c r="AW328">
        <v>846.01</v>
      </c>
      <c r="BD328" t="s">
        <v>116</v>
      </c>
    </row>
    <row r="329" spans="1:56" x14ac:dyDescent="0.3">
      <c r="A329">
        <v>10328</v>
      </c>
      <c r="B329">
        <v>1</v>
      </c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900</v>
      </c>
      <c r="AE329">
        <v>0.5</v>
      </c>
      <c r="AF329">
        <v>1</v>
      </c>
      <c r="AG329">
        <v>0</v>
      </c>
      <c r="AH329">
        <v>0</v>
      </c>
      <c r="AI329">
        <v>600</v>
      </c>
      <c r="AJ329">
        <v>4</v>
      </c>
      <c r="AK329">
        <v>0</v>
      </c>
      <c r="AL329">
        <v>1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9.3189000000000028</v>
      </c>
      <c r="AV329">
        <v>5.2</v>
      </c>
      <c r="AW329">
        <v>637.21399999999994</v>
      </c>
      <c r="AY329">
        <v>956.67</v>
      </c>
      <c r="AZ329">
        <v>1076.67</v>
      </c>
      <c r="BA329">
        <v>19.5</v>
      </c>
      <c r="BD329" t="s">
        <v>108</v>
      </c>
    </row>
    <row r="330" spans="1:56" x14ac:dyDescent="0.3">
      <c r="A330">
        <v>10329</v>
      </c>
      <c r="B330">
        <v>1</v>
      </c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900</v>
      </c>
      <c r="AE330">
        <v>0.5</v>
      </c>
      <c r="AF330">
        <v>1</v>
      </c>
      <c r="AG330">
        <v>0</v>
      </c>
      <c r="AH330">
        <v>0</v>
      </c>
      <c r="AI330">
        <v>700</v>
      </c>
      <c r="AJ330">
        <v>4</v>
      </c>
      <c r="AK330">
        <v>0</v>
      </c>
      <c r="AL330">
        <v>1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9.3189000000000028</v>
      </c>
      <c r="AV330">
        <v>5.2</v>
      </c>
      <c r="AW330">
        <v>637.21399999999994</v>
      </c>
      <c r="AY330">
        <v>816.67</v>
      </c>
      <c r="AZ330">
        <v>875</v>
      </c>
      <c r="BA330">
        <v>15.83</v>
      </c>
      <c r="BD330" t="s">
        <v>108</v>
      </c>
    </row>
    <row r="331" spans="1:56" x14ac:dyDescent="0.3">
      <c r="A331">
        <v>10330</v>
      </c>
      <c r="B331">
        <v>1</v>
      </c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1</v>
      </c>
      <c r="AB331">
        <v>0</v>
      </c>
      <c r="AC331">
        <v>0</v>
      </c>
      <c r="AD331">
        <f>AW331</f>
        <v>860.93999999999994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-7.7879999999999994</v>
      </c>
      <c r="AV331">
        <v>10.199999999999999</v>
      </c>
      <c r="AW331">
        <v>860.93999999999994</v>
      </c>
      <c r="AX331">
        <v>110</v>
      </c>
      <c r="AY331">
        <v>760</v>
      </c>
      <c r="BD331" t="s">
        <v>60</v>
      </c>
    </row>
    <row r="332" spans="1:56" x14ac:dyDescent="0.3">
      <c r="A332">
        <v>10331</v>
      </c>
      <c r="B332">
        <v>1</v>
      </c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20</v>
      </c>
      <c r="Y332">
        <v>94</v>
      </c>
      <c r="Z332">
        <v>0</v>
      </c>
      <c r="AA332">
        <v>1</v>
      </c>
      <c r="AB332">
        <v>0</v>
      </c>
      <c r="AC332">
        <v>0</v>
      </c>
      <c r="AD332">
        <v>900</v>
      </c>
      <c r="AE332">
        <v>0.5</v>
      </c>
      <c r="AF332">
        <v>1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8</v>
      </c>
      <c r="AV332">
        <v>1</v>
      </c>
      <c r="AW332">
        <v>818.6</v>
      </c>
      <c r="AX332">
        <v>66.900000000000006</v>
      </c>
      <c r="AY332">
        <v>365</v>
      </c>
      <c r="AZ332">
        <v>768</v>
      </c>
      <c r="BA332">
        <v>30.29</v>
      </c>
      <c r="BD332" t="s">
        <v>64</v>
      </c>
    </row>
    <row r="333" spans="1:56" x14ac:dyDescent="0.3">
      <c r="A333">
        <v>10332</v>
      </c>
      <c r="B333">
        <v>1</v>
      </c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20</v>
      </c>
      <c r="Y333">
        <v>94</v>
      </c>
      <c r="Z333">
        <v>0</v>
      </c>
      <c r="AA333">
        <v>1</v>
      </c>
      <c r="AB333">
        <v>0</v>
      </c>
      <c r="AC333">
        <v>0</v>
      </c>
      <c r="AD333">
        <v>900</v>
      </c>
      <c r="AE333">
        <v>0.5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8</v>
      </c>
      <c r="AV333">
        <v>1.6666666666666667</v>
      </c>
      <c r="AW333">
        <v>827</v>
      </c>
      <c r="AX333">
        <v>74.8</v>
      </c>
      <c r="AY333">
        <v>361</v>
      </c>
      <c r="AZ333">
        <v>743</v>
      </c>
      <c r="BA333">
        <v>29.44</v>
      </c>
      <c r="BD333" t="s">
        <v>64</v>
      </c>
    </row>
    <row r="334" spans="1:56" x14ac:dyDescent="0.3">
      <c r="A334">
        <v>10333</v>
      </c>
      <c r="B334">
        <v>1</v>
      </c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1</v>
      </c>
      <c r="X334">
        <v>20</v>
      </c>
      <c r="Y334">
        <v>94</v>
      </c>
      <c r="Z334">
        <v>0</v>
      </c>
      <c r="AA334">
        <v>1</v>
      </c>
      <c r="AB334">
        <v>0</v>
      </c>
      <c r="AC334">
        <v>0</v>
      </c>
      <c r="AD334">
        <v>900</v>
      </c>
      <c r="AE334">
        <v>0.5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8</v>
      </c>
      <c r="AV334">
        <v>2.3333333333333335</v>
      </c>
      <c r="AW334">
        <v>835.4</v>
      </c>
      <c r="AX334">
        <v>76.8</v>
      </c>
      <c r="AY334">
        <v>335</v>
      </c>
      <c r="AZ334">
        <v>738</v>
      </c>
      <c r="BA334">
        <v>24.527000000000001</v>
      </c>
      <c r="BD334" t="s">
        <v>64</v>
      </c>
    </row>
    <row r="335" spans="1:56" x14ac:dyDescent="0.3">
      <c r="A335">
        <v>10334</v>
      </c>
      <c r="B335">
        <v>1</v>
      </c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1</v>
      </c>
      <c r="X335">
        <v>20</v>
      </c>
      <c r="Y335">
        <v>94</v>
      </c>
      <c r="Z335">
        <v>0</v>
      </c>
      <c r="AA335">
        <v>1</v>
      </c>
      <c r="AB335">
        <v>0</v>
      </c>
      <c r="AC335">
        <v>0</v>
      </c>
      <c r="AD335">
        <v>900</v>
      </c>
      <c r="AE335">
        <v>0.5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8</v>
      </c>
      <c r="AV335">
        <v>3</v>
      </c>
      <c r="AW335">
        <v>843.8</v>
      </c>
      <c r="AX335">
        <v>68.7</v>
      </c>
      <c r="AY335">
        <v>303</v>
      </c>
      <c r="AZ335">
        <v>813</v>
      </c>
      <c r="BA335">
        <v>10.81</v>
      </c>
      <c r="BD335" t="s">
        <v>64</v>
      </c>
    </row>
    <row r="336" spans="1:56" x14ac:dyDescent="0.3">
      <c r="A336">
        <v>10335</v>
      </c>
      <c r="B336">
        <v>1</v>
      </c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1</v>
      </c>
      <c r="X336">
        <v>20</v>
      </c>
      <c r="Y336">
        <v>94</v>
      </c>
      <c r="Z336">
        <v>0</v>
      </c>
      <c r="AA336">
        <v>1</v>
      </c>
      <c r="AB336">
        <v>0</v>
      </c>
      <c r="AC336">
        <v>0</v>
      </c>
      <c r="AD336">
        <v>900</v>
      </c>
      <c r="AE336">
        <v>0.5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8</v>
      </c>
      <c r="AV336">
        <v>3.6666666666666665</v>
      </c>
      <c r="AW336">
        <v>852.2</v>
      </c>
      <c r="AX336">
        <v>58.4</v>
      </c>
      <c r="AY336">
        <v>193</v>
      </c>
      <c r="AZ336">
        <v>827</v>
      </c>
      <c r="BA336">
        <v>6.44</v>
      </c>
      <c r="BD336" t="s">
        <v>64</v>
      </c>
    </row>
    <row r="337" spans="1:56" x14ac:dyDescent="0.3">
      <c r="A337">
        <v>10336</v>
      </c>
      <c r="B337">
        <v>1</v>
      </c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20</v>
      </c>
      <c r="Y337">
        <v>94</v>
      </c>
      <c r="Z337">
        <v>0</v>
      </c>
      <c r="AA337">
        <v>1</v>
      </c>
      <c r="AB337">
        <v>0</v>
      </c>
      <c r="AC337">
        <v>0</v>
      </c>
      <c r="AD337">
        <v>900</v>
      </c>
      <c r="AE337">
        <v>0.5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8</v>
      </c>
      <c r="AV337">
        <v>4.333333333333333</v>
      </c>
      <c r="AW337">
        <v>860.6</v>
      </c>
      <c r="AX337">
        <v>50.2</v>
      </c>
      <c r="AY337">
        <v>512</v>
      </c>
      <c r="AZ337">
        <v>899</v>
      </c>
      <c r="BA337">
        <v>11.11</v>
      </c>
      <c r="BD337" t="s">
        <v>64</v>
      </c>
    </row>
    <row r="338" spans="1:56" x14ac:dyDescent="0.3">
      <c r="A338">
        <v>10337</v>
      </c>
      <c r="B338">
        <v>1</v>
      </c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20</v>
      </c>
      <c r="Y338">
        <v>94</v>
      </c>
      <c r="Z338">
        <v>0</v>
      </c>
      <c r="AA338">
        <v>1</v>
      </c>
      <c r="AB338">
        <v>0</v>
      </c>
      <c r="AC338">
        <v>0</v>
      </c>
      <c r="AD338">
        <v>900</v>
      </c>
      <c r="AE338">
        <v>0.5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8</v>
      </c>
      <c r="AV338">
        <v>5</v>
      </c>
      <c r="AW338">
        <v>869</v>
      </c>
      <c r="AX338">
        <v>46.8</v>
      </c>
      <c r="AY338">
        <v>732</v>
      </c>
      <c r="AZ338">
        <v>801</v>
      </c>
      <c r="BA338">
        <v>19.739999999999998</v>
      </c>
      <c r="BD338" t="s">
        <v>117</v>
      </c>
    </row>
    <row r="339" spans="1:56" x14ac:dyDescent="0.3">
      <c r="A339">
        <v>10338</v>
      </c>
      <c r="B339">
        <v>1</v>
      </c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>
        <v>1</v>
      </c>
      <c r="AB339">
        <v>0</v>
      </c>
      <c r="AC339">
        <v>0</v>
      </c>
      <c r="AD339">
        <f>AW339</f>
        <v>825.48400000000004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7.24</v>
      </c>
      <c r="AV339">
        <v>0.97333333333333327</v>
      </c>
      <c r="AW339">
        <v>825.48400000000004</v>
      </c>
      <c r="AX339">
        <v>66</v>
      </c>
      <c r="AY339">
        <v>650</v>
      </c>
      <c r="BD339" t="s">
        <v>60</v>
      </c>
    </row>
    <row r="340" spans="1:56" x14ac:dyDescent="0.3">
      <c r="A340">
        <v>10339</v>
      </c>
      <c r="B340">
        <v>1</v>
      </c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0</v>
      </c>
      <c r="AD340">
        <f>AW340</f>
        <v>838.96900000000005</v>
      </c>
      <c r="AE340">
        <v>0</v>
      </c>
      <c r="AF340">
        <v>1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4.87</v>
      </c>
      <c r="AV340">
        <v>0.25666666666666665</v>
      </c>
      <c r="AW340">
        <v>838.96900000000005</v>
      </c>
      <c r="AX340">
        <v>89</v>
      </c>
      <c r="AY340">
        <v>511</v>
      </c>
      <c r="BD340" t="s">
        <v>60</v>
      </c>
    </row>
    <row r="341" spans="1:56" x14ac:dyDescent="0.3">
      <c r="A341">
        <v>10340</v>
      </c>
      <c r="B341">
        <v>1</v>
      </c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0</v>
      </c>
      <c r="AD341">
        <f>AW341</f>
        <v>849.077</v>
      </c>
      <c r="AE341">
        <v>0</v>
      </c>
      <c r="AF341">
        <v>1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4.7300000000000004</v>
      </c>
      <c r="AV341">
        <v>0.95333333333333325</v>
      </c>
      <c r="AW341">
        <v>849.077</v>
      </c>
      <c r="AX341">
        <v>78</v>
      </c>
      <c r="AY341">
        <v>441</v>
      </c>
      <c r="BD341" t="s">
        <v>60</v>
      </c>
    </row>
    <row r="342" spans="1:56" x14ac:dyDescent="0.3">
      <c r="A342">
        <v>10341</v>
      </c>
      <c r="B342">
        <v>1</v>
      </c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1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6.25</v>
      </c>
      <c r="AV342">
        <v>2.0833333333333335</v>
      </c>
      <c r="AW342">
        <v>848.875</v>
      </c>
      <c r="AX342">
        <v>70</v>
      </c>
    </row>
    <row r="343" spans="1:56" x14ac:dyDescent="0.3">
      <c r="A343">
        <v>10342</v>
      </c>
      <c r="B343">
        <v>1</v>
      </c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10.8</v>
      </c>
      <c r="AV343">
        <v>4.4666666666666668</v>
      </c>
      <c r="AW343">
        <v>835.68</v>
      </c>
      <c r="AX343">
        <v>70</v>
      </c>
    </row>
    <row r="344" spans="1:56" x14ac:dyDescent="0.3">
      <c r="A344">
        <v>10343</v>
      </c>
      <c r="B344">
        <v>1</v>
      </c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2.25</v>
      </c>
      <c r="AV344">
        <v>5</v>
      </c>
      <c r="AW344">
        <v>854</v>
      </c>
      <c r="AX344">
        <v>112</v>
      </c>
      <c r="AY344">
        <v>895</v>
      </c>
      <c r="AZ344">
        <v>1020</v>
      </c>
      <c r="BA344">
        <v>15</v>
      </c>
      <c r="BD344" t="s">
        <v>118</v>
      </c>
    </row>
    <row r="345" spans="1:56" x14ac:dyDescent="0.3">
      <c r="A345">
        <v>10344</v>
      </c>
      <c r="B345">
        <v>0</v>
      </c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0</v>
      </c>
      <c r="AD345">
        <v>945</v>
      </c>
      <c r="AE345">
        <v>0.5</v>
      </c>
      <c r="AF345">
        <v>0</v>
      </c>
      <c r="AG345">
        <v>1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-3.6856</v>
      </c>
      <c r="AV345">
        <v>3.79</v>
      </c>
      <c r="AW345">
        <v>889.40459999999996</v>
      </c>
      <c r="BD345" t="s">
        <v>119</v>
      </c>
    </row>
    <row r="346" spans="1:56" x14ac:dyDescent="0.3">
      <c r="A346">
        <v>10345</v>
      </c>
      <c r="B346">
        <v>0</v>
      </c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955</v>
      </c>
      <c r="AE346">
        <v>0.5</v>
      </c>
      <c r="AF346">
        <v>0</v>
      </c>
      <c r="AG346">
        <v>1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-3.6856</v>
      </c>
      <c r="AV346">
        <v>3.79</v>
      </c>
      <c r="AW346">
        <v>889.40459999999996</v>
      </c>
      <c r="BD346" t="s">
        <v>119</v>
      </c>
    </row>
    <row r="347" spans="1:56" x14ac:dyDescent="0.3">
      <c r="A347">
        <v>10346</v>
      </c>
      <c r="B347">
        <v>0</v>
      </c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965</v>
      </c>
      <c r="AE347">
        <v>0.5</v>
      </c>
      <c r="AF347">
        <v>0</v>
      </c>
      <c r="AG347">
        <v>1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-3.6856</v>
      </c>
      <c r="AV347">
        <v>3.79</v>
      </c>
      <c r="AW347">
        <v>889.40459999999996</v>
      </c>
      <c r="BD347" t="s">
        <v>119</v>
      </c>
    </row>
    <row r="348" spans="1:56" x14ac:dyDescent="0.3">
      <c r="A348">
        <v>10347</v>
      </c>
      <c r="B348">
        <v>1</v>
      </c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1</v>
      </c>
      <c r="AA348">
        <v>0</v>
      </c>
      <c r="AB348">
        <v>0</v>
      </c>
      <c r="AC348">
        <v>0</v>
      </c>
      <c r="AD348">
        <v>845</v>
      </c>
      <c r="AE348">
        <v>0.5</v>
      </c>
      <c r="AF348">
        <v>1</v>
      </c>
      <c r="AG348">
        <v>0</v>
      </c>
      <c r="AH348">
        <v>0</v>
      </c>
      <c r="AI348">
        <v>520</v>
      </c>
      <c r="AJ348">
        <v>8</v>
      </c>
      <c r="AK348">
        <v>0</v>
      </c>
      <c r="AL348">
        <v>1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2.4160000000000004</v>
      </c>
      <c r="AV348">
        <v>2.92</v>
      </c>
      <c r="AW348">
        <v>859.79599999999994</v>
      </c>
      <c r="AY348">
        <v>1245</v>
      </c>
      <c r="AZ348">
        <v>1300</v>
      </c>
      <c r="BA348">
        <v>3.8</v>
      </c>
      <c r="BD348" t="s">
        <v>108</v>
      </c>
    </row>
    <row r="349" spans="1:56" x14ac:dyDescent="0.3">
      <c r="A349">
        <v>10348</v>
      </c>
      <c r="B349">
        <v>1</v>
      </c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1</v>
      </c>
      <c r="AA349">
        <v>0</v>
      </c>
      <c r="AB349">
        <v>0</v>
      </c>
      <c r="AC349">
        <v>0</v>
      </c>
      <c r="AD349">
        <v>845</v>
      </c>
      <c r="AE349">
        <v>0.5</v>
      </c>
      <c r="AF349">
        <v>1</v>
      </c>
      <c r="AG349">
        <v>0</v>
      </c>
      <c r="AH349">
        <v>0</v>
      </c>
      <c r="AI349">
        <v>300</v>
      </c>
      <c r="AJ349">
        <v>8</v>
      </c>
      <c r="AK349">
        <v>0</v>
      </c>
      <c r="AL349">
        <v>1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2.4160000000000004</v>
      </c>
      <c r="AV349">
        <v>2.92</v>
      </c>
      <c r="AW349">
        <v>859.79599999999994</v>
      </c>
      <c r="AY349">
        <v>1230</v>
      </c>
      <c r="AZ349">
        <v>1300</v>
      </c>
      <c r="BA349">
        <v>4</v>
      </c>
      <c r="BC349" t="s">
        <v>262</v>
      </c>
      <c r="BD349" t="s">
        <v>108</v>
      </c>
    </row>
    <row r="350" spans="1:56" x14ac:dyDescent="0.3">
      <c r="A350">
        <v>10349</v>
      </c>
      <c r="B350">
        <v>1</v>
      </c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0</v>
      </c>
      <c r="Y350">
        <v>0</v>
      </c>
      <c r="Z350">
        <v>1</v>
      </c>
      <c r="AA350">
        <v>0</v>
      </c>
      <c r="AB350">
        <v>0</v>
      </c>
      <c r="AC350">
        <v>0</v>
      </c>
      <c r="AD350">
        <v>760</v>
      </c>
      <c r="AE350">
        <v>2</v>
      </c>
      <c r="AF350">
        <v>1</v>
      </c>
      <c r="AG350">
        <v>0</v>
      </c>
      <c r="AH350">
        <v>0</v>
      </c>
      <c r="AI350">
        <v>520</v>
      </c>
      <c r="AJ350">
        <v>8</v>
      </c>
      <c r="AK350">
        <v>0</v>
      </c>
      <c r="AL350">
        <v>1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2.4160000000000004</v>
      </c>
      <c r="AV350">
        <v>2.92</v>
      </c>
      <c r="AW350">
        <v>859.79599999999994</v>
      </c>
      <c r="AY350">
        <v>1150</v>
      </c>
      <c r="AZ350">
        <v>1170</v>
      </c>
      <c r="BA350">
        <v>12</v>
      </c>
      <c r="BD350" t="s">
        <v>108</v>
      </c>
    </row>
    <row r="351" spans="1:56" x14ac:dyDescent="0.3">
      <c r="A351">
        <v>10350</v>
      </c>
      <c r="B351">
        <v>1</v>
      </c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740</v>
      </c>
      <c r="Y351">
        <v>40</v>
      </c>
      <c r="Z351">
        <v>0</v>
      </c>
      <c r="AA351">
        <v>1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500</v>
      </c>
      <c r="AJ351">
        <v>8</v>
      </c>
      <c r="AK351">
        <v>0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2.4160000000000004</v>
      </c>
      <c r="AV351">
        <v>2.92</v>
      </c>
      <c r="AW351">
        <v>859.79599999999994</v>
      </c>
      <c r="AY351">
        <v>1096.01</v>
      </c>
      <c r="AZ351">
        <v>1104.43</v>
      </c>
      <c r="BA351">
        <v>12.867800000000001</v>
      </c>
      <c r="BD351" t="s">
        <v>108</v>
      </c>
    </row>
    <row r="352" spans="1:56" x14ac:dyDescent="0.3">
      <c r="A352">
        <v>10351</v>
      </c>
      <c r="B352">
        <v>1</v>
      </c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780</v>
      </c>
      <c r="Y352">
        <v>40</v>
      </c>
      <c r="Z352">
        <v>0</v>
      </c>
      <c r="AA352">
        <v>1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500</v>
      </c>
      <c r="AJ352">
        <v>8</v>
      </c>
      <c r="AK352">
        <v>0</v>
      </c>
      <c r="AL352">
        <v>1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2.4160000000000004</v>
      </c>
      <c r="AV352">
        <v>2.92</v>
      </c>
      <c r="AW352">
        <v>859.79599999999994</v>
      </c>
      <c r="AY352">
        <v>1113.93</v>
      </c>
      <c r="AZ352">
        <v>1149.71</v>
      </c>
      <c r="BA352">
        <v>11.575699999999999</v>
      </c>
      <c r="BD352" t="s">
        <v>108</v>
      </c>
    </row>
    <row r="353" spans="1:56" x14ac:dyDescent="0.3">
      <c r="A353">
        <v>10352</v>
      </c>
      <c r="B353">
        <v>1</v>
      </c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845</v>
      </c>
      <c r="Y353">
        <v>40</v>
      </c>
      <c r="Z353">
        <v>0</v>
      </c>
      <c r="AA353">
        <v>1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500</v>
      </c>
      <c r="AJ353">
        <v>8</v>
      </c>
      <c r="AK353">
        <v>0</v>
      </c>
      <c r="AL353">
        <v>1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2.4160000000000004</v>
      </c>
      <c r="AV353">
        <v>2.92</v>
      </c>
      <c r="AW353">
        <v>859.79599999999994</v>
      </c>
      <c r="AY353">
        <v>1270.0999999999999</v>
      </c>
      <c r="AZ353">
        <v>1327.61</v>
      </c>
      <c r="BA353">
        <v>2.5588600000000001</v>
      </c>
      <c r="BD353" t="s">
        <v>108</v>
      </c>
    </row>
    <row r="354" spans="1:56" x14ac:dyDescent="0.3">
      <c r="A354">
        <v>10353</v>
      </c>
      <c r="B354">
        <v>1</v>
      </c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700</v>
      </c>
      <c r="Y354">
        <v>35</v>
      </c>
      <c r="Z354">
        <v>0</v>
      </c>
      <c r="AA354">
        <v>1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500</v>
      </c>
      <c r="AJ354">
        <v>8</v>
      </c>
      <c r="AK354">
        <v>0</v>
      </c>
      <c r="AL354">
        <v>1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2.4160000000000004</v>
      </c>
      <c r="AV354">
        <v>2.92</v>
      </c>
      <c r="AW354">
        <v>859.79599999999994</v>
      </c>
      <c r="AY354">
        <v>1105.03</v>
      </c>
      <c r="AZ354">
        <v>1124.68</v>
      </c>
      <c r="BA354">
        <v>13.8583</v>
      </c>
      <c r="BD354" t="s">
        <v>108</v>
      </c>
    </row>
    <row r="355" spans="1:56" x14ac:dyDescent="0.3">
      <c r="A355">
        <v>10354</v>
      </c>
      <c r="B355">
        <v>1</v>
      </c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1</v>
      </c>
      <c r="X355">
        <v>700</v>
      </c>
      <c r="Y355">
        <v>45</v>
      </c>
      <c r="Z355">
        <v>0</v>
      </c>
      <c r="AA355">
        <v>1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500</v>
      </c>
      <c r="AJ355">
        <v>8</v>
      </c>
      <c r="AK355">
        <v>0</v>
      </c>
      <c r="AL355">
        <v>1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2.4160000000000004</v>
      </c>
      <c r="AV355">
        <v>2.92</v>
      </c>
      <c r="AW355">
        <v>859.79599999999994</v>
      </c>
      <c r="AY355">
        <v>1115.05</v>
      </c>
      <c r="AZ355">
        <v>1145.02</v>
      </c>
      <c r="BA355">
        <v>16.062999999999999</v>
      </c>
      <c r="BD355" t="s">
        <v>108</v>
      </c>
    </row>
    <row r="356" spans="1:56" x14ac:dyDescent="0.3">
      <c r="A356">
        <v>10355</v>
      </c>
      <c r="B356">
        <v>1</v>
      </c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1</v>
      </c>
      <c r="X356">
        <v>780</v>
      </c>
      <c r="Y356">
        <v>45</v>
      </c>
      <c r="Z356">
        <v>0</v>
      </c>
      <c r="AA356">
        <v>1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500</v>
      </c>
      <c r="AJ356">
        <v>8</v>
      </c>
      <c r="AK356">
        <v>0</v>
      </c>
      <c r="AL356">
        <v>1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2.4160000000000004</v>
      </c>
      <c r="AV356">
        <v>2.92</v>
      </c>
      <c r="AW356">
        <v>859.79599999999994</v>
      </c>
      <c r="AY356">
        <v>1120</v>
      </c>
      <c r="AZ356">
        <v>1155</v>
      </c>
      <c r="BA356">
        <v>16.8</v>
      </c>
      <c r="BC356" t="s">
        <v>263</v>
      </c>
      <c r="BD356" t="s">
        <v>108</v>
      </c>
    </row>
    <row r="357" spans="1:56" x14ac:dyDescent="0.3">
      <c r="A357">
        <v>10356</v>
      </c>
      <c r="B357">
        <v>1</v>
      </c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1</v>
      </c>
      <c r="X357">
        <v>845</v>
      </c>
      <c r="Y357">
        <v>45</v>
      </c>
      <c r="Z357">
        <v>0</v>
      </c>
      <c r="AA357">
        <v>1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500</v>
      </c>
      <c r="AJ357">
        <v>8</v>
      </c>
      <c r="AK357">
        <v>0</v>
      </c>
      <c r="AL357">
        <v>1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2.4160000000000004</v>
      </c>
      <c r="AV357">
        <v>2.92</v>
      </c>
      <c r="AW357">
        <v>859.79599999999994</v>
      </c>
      <c r="AY357">
        <v>1270</v>
      </c>
      <c r="AZ357">
        <v>1330</v>
      </c>
      <c r="BA357">
        <v>7.5</v>
      </c>
      <c r="BC357" t="s">
        <v>264</v>
      </c>
      <c r="BD357" t="s">
        <v>108</v>
      </c>
    </row>
    <row r="358" spans="1:56" x14ac:dyDescent="0.3">
      <c r="A358">
        <v>10357</v>
      </c>
      <c r="B358">
        <v>1</v>
      </c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1</v>
      </c>
      <c r="X358">
        <v>700</v>
      </c>
      <c r="Y358">
        <v>50</v>
      </c>
      <c r="Z358">
        <v>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500</v>
      </c>
      <c r="AJ358">
        <v>8</v>
      </c>
      <c r="AK358">
        <v>0</v>
      </c>
      <c r="AL358">
        <v>1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2.4160000000000004</v>
      </c>
      <c r="AV358">
        <v>2.92</v>
      </c>
      <c r="AW358">
        <v>859.79599999999994</v>
      </c>
      <c r="AY358">
        <v>1120.31</v>
      </c>
      <c r="AZ358">
        <v>1134.8499999999999</v>
      </c>
      <c r="BA358">
        <v>15.7874</v>
      </c>
      <c r="BC358" t="s">
        <v>265</v>
      </c>
      <c r="BD358" t="s">
        <v>108</v>
      </c>
    </row>
    <row r="359" spans="1:56" x14ac:dyDescent="0.3">
      <c r="A359">
        <v>10358</v>
      </c>
      <c r="B359">
        <v>1</v>
      </c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1</v>
      </c>
      <c r="X359">
        <v>780</v>
      </c>
      <c r="Y359">
        <v>45</v>
      </c>
      <c r="Z359">
        <v>0</v>
      </c>
      <c r="AA359">
        <v>1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300</v>
      </c>
      <c r="AJ359">
        <v>8</v>
      </c>
      <c r="AK359">
        <v>0</v>
      </c>
      <c r="AL359">
        <v>1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2.4160000000000004</v>
      </c>
      <c r="AV359">
        <v>2.92</v>
      </c>
      <c r="AW359">
        <v>859.79599999999994</v>
      </c>
      <c r="AY359">
        <v>1233</v>
      </c>
      <c r="AZ359">
        <v>1260</v>
      </c>
      <c r="BA359">
        <v>13.2</v>
      </c>
      <c r="BC359" t="s">
        <v>266</v>
      </c>
      <c r="BD359" t="s">
        <v>108</v>
      </c>
    </row>
    <row r="360" spans="1:56" x14ac:dyDescent="0.3">
      <c r="A360">
        <v>10359</v>
      </c>
      <c r="B360">
        <v>1</v>
      </c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780</v>
      </c>
      <c r="Y360">
        <v>45</v>
      </c>
      <c r="Z360">
        <v>0</v>
      </c>
      <c r="AA360">
        <v>1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300</v>
      </c>
      <c r="AJ360">
        <v>8</v>
      </c>
      <c r="AK360">
        <v>0</v>
      </c>
      <c r="AL360">
        <v>1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2.4160000000000004</v>
      </c>
      <c r="AV360">
        <v>2.92</v>
      </c>
      <c r="AW360">
        <v>859.79599999999994</v>
      </c>
      <c r="AY360">
        <v>1195</v>
      </c>
      <c r="AZ360">
        <v>1230</v>
      </c>
      <c r="BA360">
        <v>16</v>
      </c>
      <c r="BC360" t="s">
        <v>267</v>
      </c>
      <c r="BD360" t="s">
        <v>108</v>
      </c>
    </row>
    <row r="361" spans="1:56" x14ac:dyDescent="0.3">
      <c r="A361">
        <v>10360</v>
      </c>
      <c r="B361">
        <v>1</v>
      </c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845</v>
      </c>
      <c r="Y361">
        <v>45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300</v>
      </c>
      <c r="AJ361">
        <v>8</v>
      </c>
      <c r="AK361">
        <v>0</v>
      </c>
      <c r="AL361">
        <v>1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2.4160000000000004</v>
      </c>
      <c r="AV361">
        <v>2.92</v>
      </c>
      <c r="AW361">
        <v>859.79599999999994</v>
      </c>
      <c r="AY361">
        <v>1265</v>
      </c>
      <c r="AZ361">
        <v>1355</v>
      </c>
      <c r="BA361">
        <v>2.8</v>
      </c>
      <c r="BC361" t="s">
        <v>268</v>
      </c>
      <c r="BD361" t="s">
        <v>108</v>
      </c>
    </row>
    <row r="362" spans="1:56" x14ac:dyDescent="0.3">
      <c r="A362">
        <v>10361</v>
      </c>
      <c r="B362">
        <v>1</v>
      </c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845</v>
      </c>
      <c r="Y362">
        <v>45</v>
      </c>
      <c r="Z362">
        <v>0</v>
      </c>
      <c r="AA362">
        <v>1</v>
      </c>
      <c r="AB362">
        <v>0</v>
      </c>
      <c r="AC362">
        <v>0</v>
      </c>
      <c r="AD362">
        <v>780</v>
      </c>
      <c r="AE362">
        <v>1</v>
      </c>
      <c r="AF362">
        <v>1</v>
      </c>
      <c r="AG362">
        <v>0</v>
      </c>
      <c r="AH362">
        <v>0</v>
      </c>
      <c r="AI362">
        <v>520</v>
      </c>
      <c r="AJ362">
        <v>8</v>
      </c>
      <c r="AK362">
        <v>0</v>
      </c>
      <c r="AL362">
        <v>1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2.4160000000000004</v>
      </c>
      <c r="AV362">
        <v>2.92</v>
      </c>
      <c r="AW362">
        <v>859.79599999999994</v>
      </c>
      <c r="AY362">
        <v>1200</v>
      </c>
      <c r="AZ362">
        <v>1250</v>
      </c>
      <c r="BA362">
        <v>10.5</v>
      </c>
      <c r="BC362" t="s">
        <v>269</v>
      </c>
      <c r="BD362" t="s">
        <v>108</v>
      </c>
    </row>
    <row r="363" spans="1:56" x14ac:dyDescent="0.3">
      <c r="A363">
        <v>10362</v>
      </c>
      <c r="B363">
        <v>1</v>
      </c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845</v>
      </c>
      <c r="Y363">
        <v>45</v>
      </c>
      <c r="Z363">
        <v>0</v>
      </c>
      <c r="AA363">
        <v>1</v>
      </c>
      <c r="AB363">
        <v>0</v>
      </c>
      <c r="AC363">
        <v>0</v>
      </c>
      <c r="AD363">
        <v>780</v>
      </c>
      <c r="AE363">
        <v>1</v>
      </c>
      <c r="AF363">
        <v>1</v>
      </c>
      <c r="AG363">
        <v>0</v>
      </c>
      <c r="AH363">
        <v>0</v>
      </c>
      <c r="AI363">
        <v>520</v>
      </c>
      <c r="AJ363">
        <v>8</v>
      </c>
      <c r="AK363">
        <v>0</v>
      </c>
      <c r="AL363">
        <v>1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2.4160000000000004</v>
      </c>
      <c r="AV363">
        <v>2.92</v>
      </c>
      <c r="AW363">
        <v>859.79599999999994</v>
      </c>
      <c r="AY363">
        <v>1203.3</v>
      </c>
      <c r="AZ363">
        <v>1263.3</v>
      </c>
      <c r="BA363">
        <v>10.199999999999999</v>
      </c>
      <c r="BD363" t="s">
        <v>108</v>
      </c>
    </row>
    <row r="364" spans="1:56" x14ac:dyDescent="0.3">
      <c r="A364">
        <v>10363</v>
      </c>
      <c r="B364">
        <v>1</v>
      </c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45</v>
      </c>
      <c r="Z364">
        <v>0</v>
      </c>
      <c r="AA364">
        <v>0</v>
      </c>
      <c r="AB364">
        <v>0</v>
      </c>
      <c r="AC364">
        <v>0</v>
      </c>
      <c r="AD364">
        <v>780</v>
      </c>
      <c r="AE364">
        <v>1</v>
      </c>
      <c r="AF364">
        <v>0</v>
      </c>
      <c r="AG364">
        <v>1</v>
      </c>
      <c r="AH364">
        <v>0</v>
      </c>
      <c r="AI364">
        <v>520</v>
      </c>
      <c r="AJ364">
        <v>8</v>
      </c>
      <c r="AK364">
        <v>0</v>
      </c>
      <c r="AL364">
        <v>1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2.4160000000000004</v>
      </c>
      <c r="AV364">
        <v>2.92</v>
      </c>
      <c r="AW364">
        <v>859.79599999999994</v>
      </c>
      <c r="AY364">
        <v>1223.3</v>
      </c>
      <c r="AZ364">
        <v>1280</v>
      </c>
      <c r="BA364">
        <v>9.5</v>
      </c>
      <c r="BD364" t="s">
        <v>108</v>
      </c>
    </row>
    <row r="365" spans="1:56" x14ac:dyDescent="0.3">
      <c r="A365">
        <v>10364</v>
      </c>
      <c r="B365">
        <v>1</v>
      </c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45</v>
      </c>
      <c r="Z365">
        <v>0</v>
      </c>
      <c r="AA365">
        <v>0</v>
      </c>
      <c r="AB365">
        <v>0</v>
      </c>
      <c r="AC365">
        <v>0</v>
      </c>
      <c r="AD365">
        <v>760</v>
      </c>
      <c r="AE365">
        <v>2</v>
      </c>
      <c r="AF365">
        <v>1</v>
      </c>
      <c r="AG365">
        <v>0</v>
      </c>
      <c r="AH365">
        <v>0</v>
      </c>
      <c r="AI365">
        <v>520</v>
      </c>
      <c r="AJ365">
        <v>8</v>
      </c>
      <c r="AK365">
        <v>0</v>
      </c>
      <c r="AL365">
        <v>1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2.4160000000000004</v>
      </c>
      <c r="AV365">
        <v>2.92</v>
      </c>
      <c r="AW365">
        <v>859.79599999999994</v>
      </c>
      <c r="AY365">
        <v>1188</v>
      </c>
      <c r="AZ365">
        <v>1245</v>
      </c>
      <c r="BA365">
        <v>10.3</v>
      </c>
      <c r="BD365" t="s">
        <v>108</v>
      </c>
    </row>
    <row r="366" spans="1:56" x14ac:dyDescent="0.3">
      <c r="A366">
        <v>10365</v>
      </c>
      <c r="B366">
        <v>1</v>
      </c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45</v>
      </c>
      <c r="Z366">
        <v>0</v>
      </c>
      <c r="AA366">
        <v>0</v>
      </c>
      <c r="AB366">
        <v>0</v>
      </c>
      <c r="AC366">
        <v>0</v>
      </c>
      <c r="AD366">
        <v>760</v>
      </c>
      <c r="AE366">
        <v>2</v>
      </c>
      <c r="AF366">
        <v>1</v>
      </c>
      <c r="AG366">
        <v>0</v>
      </c>
      <c r="AH366">
        <v>0</v>
      </c>
      <c r="AI366">
        <v>540</v>
      </c>
      <c r="AJ366">
        <v>8</v>
      </c>
      <c r="AK366">
        <v>0</v>
      </c>
      <c r="AL366">
        <v>1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2.4160000000000004</v>
      </c>
      <c r="AV366">
        <v>2.92</v>
      </c>
      <c r="AW366">
        <v>859.79599999999994</v>
      </c>
      <c r="AY366">
        <v>1170</v>
      </c>
      <c r="AZ366">
        <v>1222</v>
      </c>
      <c r="BA366">
        <v>11.6</v>
      </c>
      <c r="BD366" t="s">
        <v>108</v>
      </c>
    </row>
    <row r="367" spans="1:56" x14ac:dyDescent="0.3">
      <c r="A367">
        <v>10366</v>
      </c>
      <c r="B367">
        <v>1</v>
      </c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45</v>
      </c>
      <c r="Z367">
        <v>0</v>
      </c>
      <c r="AA367">
        <v>0</v>
      </c>
      <c r="AB367">
        <v>0</v>
      </c>
      <c r="AC367">
        <v>0</v>
      </c>
      <c r="AD367">
        <v>760</v>
      </c>
      <c r="AE367">
        <v>2</v>
      </c>
      <c r="AF367">
        <v>1</v>
      </c>
      <c r="AG367">
        <v>0</v>
      </c>
      <c r="AH367">
        <v>0</v>
      </c>
      <c r="AI367">
        <v>580</v>
      </c>
      <c r="AJ367">
        <v>8</v>
      </c>
      <c r="AK367">
        <v>0</v>
      </c>
      <c r="AL367">
        <v>1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2.4160000000000004</v>
      </c>
      <c r="AV367">
        <v>2.92</v>
      </c>
      <c r="AW367">
        <v>859.79599999999994</v>
      </c>
      <c r="AY367">
        <v>1018</v>
      </c>
      <c r="AZ367">
        <v>1048</v>
      </c>
      <c r="BA367">
        <v>17.3</v>
      </c>
      <c r="BD367" t="s">
        <v>108</v>
      </c>
    </row>
    <row r="368" spans="1:56" x14ac:dyDescent="0.3">
      <c r="A368">
        <v>10367</v>
      </c>
      <c r="B368">
        <v>1</v>
      </c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1</v>
      </c>
      <c r="X368">
        <v>0</v>
      </c>
      <c r="Y368">
        <v>45</v>
      </c>
      <c r="Z368">
        <v>0</v>
      </c>
      <c r="AA368">
        <v>0</v>
      </c>
      <c r="AB368">
        <v>0</v>
      </c>
      <c r="AC368">
        <v>0</v>
      </c>
      <c r="AD368">
        <v>760</v>
      </c>
      <c r="AE368">
        <v>2</v>
      </c>
      <c r="AF368">
        <v>1</v>
      </c>
      <c r="AG368">
        <v>0</v>
      </c>
      <c r="AH368">
        <v>0</v>
      </c>
      <c r="AI368">
        <v>620</v>
      </c>
      <c r="AJ368">
        <v>8</v>
      </c>
      <c r="AK368">
        <v>0</v>
      </c>
      <c r="AL368">
        <v>1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2.4160000000000004</v>
      </c>
      <c r="AV368">
        <v>2.92</v>
      </c>
      <c r="AW368">
        <v>859.79599999999994</v>
      </c>
      <c r="AY368">
        <v>986</v>
      </c>
      <c r="AZ368">
        <v>1018</v>
      </c>
      <c r="BA368">
        <v>20</v>
      </c>
      <c r="BC368" t="s">
        <v>270</v>
      </c>
      <c r="BD368" t="s">
        <v>108</v>
      </c>
    </row>
    <row r="369" spans="1:56" x14ac:dyDescent="0.3">
      <c r="A369">
        <v>10368</v>
      </c>
      <c r="B369">
        <v>1</v>
      </c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1</v>
      </c>
      <c r="X369">
        <v>0</v>
      </c>
      <c r="Y369">
        <v>0</v>
      </c>
      <c r="Z369">
        <v>0</v>
      </c>
      <c r="AA369">
        <v>1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-4.04</v>
      </c>
      <c r="AV369">
        <v>6</v>
      </c>
      <c r="AW369">
        <v>894.6</v>
      </c>
      <c r="AZ369">
        <v>933</v>
      </c>
      <c r="BA369">
        <v>7.1</v>
      </c>
      <c r="BD369" t="s">
        <v>118</v>
      </c>
    </row>
    <row r="370" spans="1:56" x14ac:dyDescent="0.3">
      <c r="A370">
        <v>10369</v>
      </c>
      <c r="B370">
        <v>1</v>
      </c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1</v>
      </c>
      <c r="X370">
        <v>0</v>
      </c>
      <c r="Y370">
        <v>0</v>
      </c>
      <c r="Z370">
        <v>0</v>
      </c>
      <c r="AA370">
        <v>1</v>
      </c>
      <c r="AB370">
        <v>0</v>
      </c>
      <c r="AC370">
        <v>0</v>
      </c>
      <c r="AD370">
        <f>AW370</f>
        <v>904.07100000000003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-9.5131999999999994</v>
      </c>
      <c r="AV370">
        <v>10.51</v>
      </c>
      <c r="AW370">
        <v>904.07100000000003</v>
      </c>
      <c r="AX370">
        <v>110</v>
      </c>
      <c r="AY370">
        <v>800</v>
      </c>
      <c r="BD370" t="s">
        <v>60</v>
      </c>
    </row>
    <row r="371" spans="1:56" x14ac:dyDescent="0.3">
      <c r="A371">
        <v>10370</v>
      </c>
      <c r="B371">
        <v>1</v>
      </c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1</v>
      </c>
      <c r="X371">
        <v>20</v>
      </c>
      <c r="Y371">
        <v>86</v>
      </c>
      <c r="Z371">
        <v>0</v>
      </c>
      <c r="AA371">
        <v>1</v>
      </c>
      <c r="AB371">
        <v>0</v>
      </c>
      <c r="AC371">
        <v>0</v>
      </c>
      <c r="AD371">
        <v>950</v>
      </c>
      <c r="AE371">
        <v>2.5</v>
      </c>
      <c r="AF371">
        <v>1</v>
      </c>
      <c r="AG371">
        <v>0</v>
      </c>
      <c r="AH371">
        <v>0</v>
      </c>
      <c r="AI371">
        <f>0.5*AW374</f>
        <v>332.87</v>
      </c>
      <c r="AJ371">
        <v>0</v>
      </c>
      <c r="AK371">
        <v>0</v>
      </c>
      <c r="AL371">
        <v>1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5.36</v>
      </c>
      <c r="AV371">
        <v>1.3333333333333333</v>
      </c>
      <c r="AW371">
        <v>804.4</v>
      </c>
      <c r="AZ371">
        <v>1040</v>
      </c>
      <c r="BA371">
        <v>6</v>
      </c>
      <c r="BD371" t="s">
        <v>120</v>
      </c>
    </row>
    <row r="372" spans="1:56" x14ac:dyDescent="0.3">
      <c r="A372">
        <v>10371</v>
      </c>
      <c r="B372">
        <v>1</v>
      </c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1</v>
      </c>
      <c r="X372">
        <v>20</v>
      </c>
      <c r="Y372">
        <v>86</v>
      </c>
      <c r="Z372">
        <v>0</v>
      </c>
      <c r="AA372">
        <v>1</v>
      </c>
      <c r="AB372">
        <v>0</v>
      </c>
      <c r="AC372">
        <v>0</v>
      </c>
      <c r="AD372">
        <v>950</v>
      </c>
      <c r="AE372">
        <v>2.5</v>
      </c>
      <c r="AF372">
        <v>1</v>
      </c>
      <c r="AG372">
        <v>0</v>
      </c>
      <c r="AH372">
        <v>0</v>
      </c>
      <c r="AI372">
        <v>250</v>
      </c>
      <c r="AJ372">
        <v>1.5</v>
      </c>
      <c r="AK372">
        <v>0</v>
      </c>
      <c r="AL372">
        <v>1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5.36</v>
      </c>
      <c r="AV372">
        <v>1.3333333333333333</v>
      </c>
      <c r="AW372">
        <v>804.4</v>
      </c>
      <c r="AZ372">
        <v>1157.51</v>
      </c>
      <c r="BA372">
        <v>4.79</v>
      </c>
      <c r="BD372" t="s">
        <v>120</v>
      </c>
    </row>
    <row r="373" spans="1:56" x14ac:dyDescent="0.3">
      <c r="A373">
        <v>10372</v>
      </c>
      <c r="B373">
        <v>1</v>
      </c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1</v>
      </c>
      <c r="X373">
        <v>20</v>
      </c>
      <c r="Y373">
        <v>86</v>
      </c>
      <c r="Z373">
        <v>0</v>
      </c>
      <c r="AA373">
        <v>1</v>
      </c>
      <c r="AB373">
        <v>0</v>
      </c>
      <c r="AC373">
        <v>0</v>
      </c>
      <c r="AD373">
        <v>950</v>
      </c>
      <c r="AE373">
        <v>2.5</v>
      </c>
      <c r="AF373">
        <v>1</v>
      </c>
      <c r="AG373">
        <v>0</v>
      </c>
      <c r="AH373">
        <v>0</v>
      </c>
      <c r="AI373">
        <f>0.5*AW376</f>
        <v>381.02</v>
      </c>
      <c r="AJ373">
        <v>0</v>
      </c>
      <c r="AK373">
        <v>0</v>
      </c>
      <c r="AL373">
        <v>1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13.4</v>
      </c>
      <c r="AV373">
        <v>1.5666666666666667</v>
      </c>
      <c r="AW373">
        <v>665.74</v>
      </c>
      <c r="AZ373">
        <v>867.08</v>
      </c>
      <c r="BA373">
        <v>8.2899999999999991</v>
      </c>
      <c r="BD373" t="s">
        <v>120</v>
      </c>
    </row>
    <row r="374" spans="1:56" x14ac:dyDescent="0.3">
      <c r="A374">
        <v>10373</v>
      </c>
      <c r="B374">
        <v>1</v>
      </c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1</v>
      </c>
      <c r="X374">
        <v>20</v>
      </c>
      <c r="Y374">
        <v>86</v>
      </c>
      <c r="Z374">
        <v>0</v>
      </c>
      <c r="AA374">
        <v>1</v>
      </c>
      <c r="AB374">
        <v>0</v>
      </c>
      <c r="AC374">
        <v>0</v>
      </c>
      <c r="AD374">
        <v>950</v>
      </c>
      <c r="AE374">
        <v>2.5</v>
      </c>
      <c r="AF374">
        <v>1</v>
      </c>
      <c r="AG374">
        <v>0</v>
      </c>
      <c r="AH374">
        <v>0</v>
      </c>
      <c r="AI374">
        <v>250</v>
      </c>
      <c r="AJ374">
        <v>1.5</v>
      </c>
      <c r="AK374">
        <v>0</v>
      </c>
      <c r="AL374">
        <v>1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13.4</v>
      </c>
      <c r="AV374">
        <v>1.5666666666666667</v>
      </c>
      <c r="AW374">
        <v>665.74</v>
      </c>
      <c r="AZ374">
        <v>1264.1199999999999</v>
      </c>
      <c r="BA374">
        <v>0.5</v>
      </c>
      <c r="BD374" t="s">
        <v>120</v>
      </c>
    </row>
    <row r="375" spans="1:56" x14ac:dyDescent="0.3">
      <c r="A375">
        <v>10374</v>
      </c>
      <c r="B375">
        <v>1</v>
      </c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1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0</v>
      </c>
      <c r="AD375">
        <v>900</v>
      </c>
      <c r="AE375">
        <v>0.5</v>
      </c>
      <c r="AF375">
        <v>1</v>
      </c>
      <c r="AG375">
        <v>0</v>
      </c>
      <c r="AH375">
        <v>0</v>
      </c>
      <c r="AI375">
        <v>500</v>
      </c>
      <c r="AJ375">
        <v>4</v>
      </c>
      <c r="AK375">
        <v>0</v>
      </c>
      <c r="AL375">
        <v>1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9.1999999999999993</v>
      </c>
      <c r="AV375">
        <v>4.4000000000000004</v>
      </c>
      <c r="AW375">
        <v>762.04</v>
      </c>
      <c r="AY375">
        <v>1290</v>
      </c>
      <c r="AZ375">
        <v>1393.33</v>
      </c>
      <c r="BA375">
        <v>5.67</v>
      </c>
      <c r="BD375" t="s">
        <v>108</v>
      </c>
    </row>
    <row r="376" spans="1:56" x14ac:dyDescent="0.3">
      <c r="A376">
        <v>10375</v>
      </c>
      <c r="B376">
        <v>1</v>
      </c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1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0</v>
      </c>
      <c r="AD376">
        <v>900</v>
      </c>
      <c r="AE376">
        <v>0.5</v>
      </c>
      <c r="AF376">
        <v>1</v>
      </c>
      <c r="AG376">
        <v>0</v>
      </c>
      <c r="AH376">
        <v>0</v>
      </c>
      <c r="AI376">
        <v>600</v>
      </c>
      <c r="AJ376">
        <v>4</v>
      </c>
      <c r="AK376">
        <v>0</v>
      </c>
      <c r="AL376">
        <v>1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9.1999999999999993</v>
      </c>
      <c r="AV376">
        <v>4.4000000000000004</v>
      </c>
      <c r="AW376">
        <v>762.04</v>
      </c>
      <c r="AY376">
        <v>1020</v>
      </c>
      <c r="AZ376">
        <v>1116.67</v>
      </c>
      <c r="BA376">
        <v>12.5</v>
      </c>
      <c r="BD376" t="s">
        <v>108</v>
      </c>
    </row>
    <row r="377" spans="1:56" x14ac:dyDescent="0.3">
      <c r="A377">
        <v>10376</v>
      </c>
      <c r="B377">
        <v>1</v>
      </c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1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0</v>
      </c>
      <c r="AD377">
        <v>900</v>
      </c>
      <c r="AE377">
        <v>0.5</v>
      </c>
      <c r="AF377">
        <v>1</v>
      </c>
      <c r="AG377">
        <v>0</v>
      </c>
      <c r="AH377">
        <v>0</v>
      </c>
      <c r="AI377">
        <v>700</v>
      </c>
      <c r="AJ377">
        <v>4</v>
      </c>
      <c r="AK377">
        <v>0</v>
      </c>
      <c r="AL377">
        <v>1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9.1999999999999993</v>
      </c>
      <c r="AV377">
        <v>4.4000000000000004</v>
      </c>
      <c r="AW377">
        <v>762.04</v>
      </c>
      <c r="AY377">
        <v>898.33</v>
      </c>
      <c r="AZ377">
        <v>945</v>
      </c>
      <c r="BA377">
        <v>18.670000000000002</v>
      </c>
      <c r="BD377" t="s">
        <v>108</v>
      </c>
    </row>
    <row r="378" spans="1:56" x14ac:dyDescent="0.3">
      <c r="A378">
        <v>10377</v>
      </c>
      <c r="B378">
        <v>1</v>
      </c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1</v>
      </c>
      <c r="AB378">
        <v>0</v>
      </c>
      <c r="AC378">
        <v>0</v>
      </c>
      <c r="AD378">
        <f>AW378</f>
        <v>797.71799999999996</v>
      </c>
      <c r="AE378">
        <v>0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13.962000000000002</v>
      </c>
      <c r="AV378">
        <v>0</v>
      </c>
      <c r="AW378">
        <v>797.71799999999996</v>
      </c>
      <c r="AX378">
        <v>83</v>
      </c>
      <c r="AY378">
        <v>936</v>
      </c>
      <c r="BD378" t="s">
        <v>60</v>
      </c>
    </row>
    <row r="379" spans="1:56" x14ac:dyDescent="0.3">
      <c r="A379">
        <v>10378</v>
      </c>
      <c r="B379">
        <v>1</v>
      </c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0</v>
      </c>
      <c r="AD379">
        <f>AW379</f>
        <v>819.56200000000001</v>
      </c>
      <c r="AE379">
        <v>0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6.5979999999999999</v>
      </c>
      <c r="AV379">
        <v>0</v>
      </c>
      <c r="AW379">
        <v>819.56200000000001</v>
      </c>
      <c r="AX379">
        <v>78</v>
      </c>
      <c r="AY379">
        <v>481</v>
      </c>
      <c r="BD379" t="s">
        <v>60</v>
      </c>
    </row>
    <row r="380" spans="1:56" x14ac:dyDescent="0.3">
      <c r="A380">
        <v>10379</v>
      </c>
      <c r="B380">
        <v>1</v>
      </c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v>1</v>
      </c>
      <c r="AB380">
        <v>0</v>
      </c>
      <c r="AC380">
        <v>0</v>
      </c>
      <c r="AD380">
        <f>AW380</f>
        <v>821.17700000000002</v>
      </c>
      <c r="AE380">
        <v>0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6.4280000000000008</v>
      </c>
      <c r="AV380">
        <v>0</v>
      </c>
      <c r="AW380">
        <v>821.17700000000002</v>
      </c>
      <c r="AX380">
        <v>84</v>
      </c>
      <c r="AY380">
        <v>480</v>
      </c>
      <c r="BD380" t="s">
        <v>60</v>
      </c>
    </row>
    <row r="381" spans="1:56" x14ac:dyDescent="0.3">
      <c r="A381">
        <v>10380</v>
      </c>
      <c r="B381">
        <v>1</v>
      </c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</v>
      </c>
      <c r="W381">
        <v>0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0</v>
      </c>
      <c r="AD381">
        <v>900</v>
      </c>
      <c r="AE381">
        <v>0.5</v>
      </c>
      <c r="AF381">
        <v>1</v>
      </c>
      <c r="AG381">
        <v>0</v>
      </c>
      <c r="AH381">
        <v>0</v>
      </c>
      <c r="AI381">
        <v>600</v>
      </c>
      <c r="AJ381">
        <v>4</v>
      </c>
      <c r="AK381">
        <v>0</v>
      </c>
      <c r="AL381">
        <v>1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10.428000000000001</v>
      </c>
      <c r="AV381">
        <v>5.0599999999999996</v>
      </c>
      <c r="AW381">
        <v>775.49799999999993</v>
      </c>
      <c r="AZ381">
        <v>1043.33</v>
      </c>
      <c r="BD381" t="s">
        <v>108</v>
      </c>
    </row>
    <row r="382" spans="1:56" x14ac:dyDescent="0.3">
      <c r="A382">
        <v>10381</v>
      </c>
      <c r="B382">
        <v>1</v>
      </c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1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900</v>
      </c>
      <c r="AE382">
        <v>0.5</v>
      </c>
      <c r="AF382">
        <v>1</v>
      </c>
      <c r="AG382">
        <v>0</v>
      </c>
      <c r="AH382">
        <v>0</v>
      </c>
      <c r="AI382">
        <v>700</v>
      </c>
      <c r="AJ382">
        <v>4</v>
      </c>
      <c r="AK382">
        <v>0</v>
      </c>
      <c r="AL382">
        <v>1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10.428000000000001</v>
      </c>
      <c r="AV382">
        <v>5.0599999999999996</v>
      </c>
      <c r="AW382">
        <v>775.49799999999993</v>
      </c>
      <c r="AZ382">
        <v>1143.3</v>
      </c>
      <c r="BD382" t="s">
        <v>108</v>
      </c>
    </row>
    <row r="383" spans="1:56" x14ac:dyDescent="0.3">
      <c r="A383">
        <v>10382</v>
      </c>
      <c r="B383">
        <v>1</v>
      </c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v>1</v>
      </c>
      <c r="AB383">
        <v>0</v>
      </c>
      <c r="AC383">
        <v>0</v>
      </c>
      <c r="AD383">
        <f>AW383</f>
        <v>831.48799999999994</v>
      </c>
      <c r="AE383">
        <v>0</v>
      </c>
      <c r="AF383">
        <v>1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9.9695999999999998</v>
      </c>
      <c r="AV383">
        <v>0</v>
      </c>
      <c r="AW383">
        <v>831.48799999999994</v>
      </c>
      <c r="AX383">
        <v>110</v>
      </c>
      <c r="AY383">
        <v>1250</v>
      </c>
      <c r="BD383" t="s">
        <v>60</v>
      </c>
    </row>
    <row r="384" spans="1:56" x14ac:dyDescent="0.3">
      <c r="A384">
        <v>10383</v>
      </c>
      <c r="B384">
        <v>1</v>
      </c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1</v>
      </c>
      <c r="X384">
        <v>0</v>
      </c>
      <c r="Y384">
        <v>0</v>
      </c>
      <c r="Z384">
        <v>0</v>
      </c>
      <c r="AA384">
        <v>1</v>
      </c>
      <c r="AB384">
        <v>0</v>
      </c>
      <c r="AC384">
        <v>0</v>
      </c>
      <c r="AD384">
        <f>AW384</f>
        <v>829.178</v>
      </c>
      <c r="AE384">
        <v>0</v>
      </c>
      <c r="AF384">
        <v>1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10.552</v>
      </c>
      <c r="AV384">
        <v>0</v>
      </c>
      <c r="AW384">
        <v>829.178</v>
      </c>
      <c r="AX384">
        <v>121</v>
      </c>
      <c r="AY384">
        <v>1360</v>
      </c>
      <c r="BD384" t="s">
        <v>60</v>
      </c>
    </row>
    <row r="385" spans="1:56" x14ac:dyDescent="0.3">
      <c r="A385">
        <v>10384</v>
      </c>
      <c r="B385">
        <v>1</v>
      </c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1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21.1858</v>
      </c>
      <c r="AV385">
        <v>0</v>
      </c>
      <c r="AW385">
        <v>771.12</v>
      </c>
      <c r="AX385">
        <v>120</v>
      </c>
      <c r="AY385">
        <v>1103</v>
      </c>
      <c r="BD385" t="s">
        <v>60</v>
      </c>
    </row>
    <row r="386" spans="1:56" x14ac:dyDescent="0.3">
      <c r="A386">
        <v>10385</v>
      </c>
      <c r="B386">
        <v>1</v>
      </c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21.903600000000001</v>
      </c>
      <c r="AV386">
        <v>0</v>
      </c>
      <c r="AW386">
        <v>768.34799999999996</v>
      </c>
      <c r="AX386">
        <v>106</v>
      </c>
      <c r="AY386">
        <v>1050</v>
      </c>
      <c r="BD386" t="s">
        <v>60</v>
      </c>
    </row>
    <row r="387" spans="1:56" x14ac:dyDescent="0.3">
      <c r="A387">
        <v>10386</v>
      </c>
      <c r="B387">
        <v>1</v>
      </c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23.1158</v>
      </c>
      <c r="AV387">
        <v>0</v>
      </c>
      <c r="AW387">
        <v>759.87800000000004</v>
      </c>
      <c r="AX387">
        <v>110</v>
      </c>
      <c r="AY387">
        <v>1143</v>
      </c>
      <c r="BD387" t="s">
        <v>60</v>
      </c>
    </row>
    <row r="388" spans="1:56" x14ac:dyDescent="0.3">
      <c r="A388">
        <v>10387</v>
      </c>
      <c r="B388">
        <v>1</v>
      </c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23.8538</v>
      </c>
      <c r="AV388">
        <v>0</v>
      </c>
      <c r="AW388">
        <v>756.952</v>
      </c>
      <c r="AX388">
        <v>103</v>
      </c>
      <c r="AY388">
        <v>1079</v>
      </c>
      <c r="BD388" t="s">
        <v>60</v>
      </c>
    </row>
    <row r="389" spans="1:56" x14ac:dyDescent="0.3">
      <c r="A389">
        <v>10388</v>
      </c>
      <c r="B389">
        <v>1</v>
      </c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24.871800000000004</v>
      </c>
      <c r="AV389">
        <v>0</v>
      </c>
      <c r="AW389">
        <v>752.94799999999998</v>
      </c>
      <c r="AX389">
        <v>99</v>
      </c>
      <c r="AY389">
        <v>1016</v>
      </c>
      <c r="BD389" t="s">
        <v>60</v>
      </c>
    </row>
    <row r="390" spans="1:56" x14ac:dyDescent="0.3">
      <c r="A390">
        <v>10389</v>
      </c>
      <c r="B390">
        <v>1</v>
      </c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1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27.898000000000003</v>
      </c>
      <c r="AV390">
        <v>0</v>
      </c>
      <c r="AW390">
        <v>737.24</v>
      </c>
      <c r="AX390">
        <v>92</v>
      </c>
      <c r="AY390">
        <v>1008</v>
      </c>
      <c r="BC390" t="s">
        <v>271</v>
      </c>
      <c r="BD390" t="s">
        <v>60</v>
      </c>
    </row>
    <row r="391" spans="1:56" x14ac:dyDescent="0.3">
      <c r="A391">
        <v>10390</v>
      </c>
      <c r="B391">
        <v>1</v>
      </c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1</v>
      </c>
      <c r="X391">
        <v>0</v>
      </c>
      <c r="Y391">
        <v>0</v>
      </c>
      <c r="Z391">
        <v>0</v>
      </c>
      <c r="AA391">
        <v>1</v>
      </c>
      <c r="AB391">
        <v>0</v>
      </c>
      <c r="AC391">
        <v>0</v>
      </c>
      <c r="AD391">
        <f t="shared" ref="AD391:AD402" si="3">AW391</f>
        <v>882</v>
      </c>
      <c r="AE391">
        <v>0</v>
      </c>
      <c r="AF391">
        <v>1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6.4668000000000001</v>
      </c>
      <c r="AV391">
        <v>0</v>
      </c>
      <c r="AW391">
        <v>882</v>
      </c>
      <c r="AX391">
        <v>66</v>
      </c>
      <c r="AY391">
        <v>213</v>
      </c>
      <c r="BD391" t="s">
        <v>60</v>
      </c>
    </row>
    <row r="392" spans="1:56" x14ac:dyDescent="0.3">
      <c r="A392">
        <v>10391</v>
      </c>
      <c r="B392">
        <v>1</v>
      </c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1</v>
      </c>
      <c r="AB392">
        <v>0</v>
      </c>
      <c r="AC392">
        <v>0</v>
      </c>
      <c r="AD392">
        <f t="shared" si="3"/>
        <v>882</v>
      </c>
      <c r="AE392">
        <v>0</v>
      </c>
      <c r="AF392">
        <v>1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7.2827999999999999</v>
      </c>
      <c r="AV392">
        <v>0</v>
      </c>
      <c r="AW392">
        <v>882</v>
      </c>
      <c r="AX392">
        <v>55</v>
      </c>
      <c r="AY392">
        <v>200</v>
      </c>
      <c r="BD392" t="s">
        <v>60</v>
      </c>
    </row>
    <row r="393" spans="1:56" x14ac:dyDescent="0.3">
      <c r="A393">
        <v>10392</v>
      </c>
      <c r="B393">
        <v>1</v>
      </c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>
        <v>1</v>
      </c>
      <c r="AB393">
        <v>0</v>
      </c>
      <c r="AC393">
        <v>0</v>
      </c>
      <c r="AD393">
        <f t="shared" si="3"/>
        <v>882</v>
      </c>
      <c r="AE393">
        <v>0</v>
      </c>
      <c r="AF393">
        <v>1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4.3610000000000007</v>
      </c>
      <c r="AV393">
        <v>0</v>
      </c>
      <c r="AW393">
        <v>882</v>
      </c>
      <c r="AX393">
        <v>71</v>
      </c>
      <c r="AY393">
        <v>374</v>
      </c>
      <c r="BC393" t="s">
        <v>272</v>
      </c>
      <c r="BD393" t="s">
        <v>60</v>
      </c>
    </row>
    <row r="394" spans="1:56" x14ac:dyDescent="0.3">
      <c r="A394">
        <v>10393</v>
      </c>
      <c r="B394">
        <v>1</v>
      </c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>
        <v>1</v>
      </c>
      <c r="AB394">
        <v>0</v>
      </c>
      <c r="AC394">
        <v>0</v>
      </c>
      <c r="AD394">
        <f t="shared" si="3"/>
        <v>882</v>
      </c>
      <c r="AE394">
        <v>0</v>
      </c>
      <c r="AF394">
        <v>1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4.6293999999999995</v>
      </c>
      <c r="AV394">
        <v>0</v>
      </c>
      <c r="AW394">
        <v>882</v>
      </c>
      <c r="AX394">
        <v>78</v>
      </c>
      <c r="AY394">
        <v>433</v>
      </c>
      <c r="BC394" t="s">
        <v>273</v>
      </c>
      <c r="BD394" t="s">
        <v>60</v>
      </c>
    </row>
    <row r="395" spans="1:56" x14ac:dyDescent="0.3">
      <c r="A395">
        <v>10394</v>
      </c>
      <c r="B395">
        <v>1</v>
      </c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>
        <v>1</v>
      </c>
      <c r="AB395">
        <v>0</v>
      </c>
      <c r="AC395">
        <v>0</v>
      </c>
      <c r="AD395">
        <f t="shared" si="3"/>
        <v>882</v>
      </c>
      <c r="AE395">
        <v>0</v>
      </c>
      <c r="AF395">
        <v>1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4.9094000000000007</v>
      </c>
      <c r="AV395">
        <v>0</v>
      </c>
      <c r="AW395">
        <v>882</v>
      </c>
      <c r="AX395">
        <v>78</v>
      </c>
      <c r="AY395">
        <v>376</v>
      </c>
      <c r="BC395" t="s">
        <v>274</v>
      </c>
      <c r="BD395" t="s">
        <v>60</v>
      </c>
    </row>
    <row r="396" spans="1:56" x14ac:dyDescent="0.3">
      <c r="A396">
        <v>10395</v>
      </c>
      <c r="B396">
        <v>1</v>
      </c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f t="shared" si="3"/>
        <v>882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5.3482000000000003</v>
      </c>
      <c r="AV396">
        <v>0</v>
      </c>
      <c r="AW396">
        <v>882</v>
      </c>
      <c r="AX396">
        <v>81</v>
      </c>
      <c r="AY396">
        <v>411</v>
      </c>
      <c r="BC396" t="s">
        <v>275</v>
      </c>
      <c r="BD396" t="s">
        <v>60</v>
      </c>
    </row>
    <row r="397" spans="1:56" x14ac:dyDescent="0.3">
      <c r="A397">
        <v>10396</v>
      </c>
      <c r="B397">
        <v>1</v>
      </c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>
        <v>1</v>
      </c>
      <c r="AB397">
        <v>0</v>
      </c>
      <c r="AC397">
        <v>0</v>
      </c>
      <c r="AD397">
        <f t="shared" si="3"/>
        <v>882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5.6483999999999996</v>
      </c>
      <c r="AV397">
        <v>0</v>
      </c>
      <c r="AW397">
        <v>882</v>
      </c>
      <c r="AX397">
        <v>80</v>
      </c>
      <c r="AY397">
        <v>377</v>
      </c>
      <c r="BD397" t="s">
        <v>60</v>
      </c>
    </row>
    <row r="398" spans="1:56" x14ac:dyDescent="0.3">
      <c r="A398">
        <v>10397</v>
      </c>
      <c r="B398">
        <v>1</v>
      </c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>
        <v>1</v>
      </c>
      <c r="AB398">
        <v>0</v>
      </c>
      <c r="AC398">
        <v>0</v>
      </c>
      <c r="AD398">
        <f t="shared" si="3"/>
        <v>882</v>
      </c>
      <c r="AE398">
        <v>0</v>
      </c>
      <c r="AF398">
        <v>1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5.9608000000000008</v>
      </c>
      <c r="AV398">
        <v>0</v>
      </c>
      <c r="AW398">
        <v>882</v>
      </c>
      <c r="AX398">
        <v>81</v>
      </c>
      <c r="AY398">
        <v>395</v>
      </c>
      <c r="BD398" t="s">
        <v>60</v>
      </c>
    </row>
    <row r="399" spans="1:56" x14ac:dyDescent="0.3">
      <c r="A399">
        <v>10398</v>
      </c>
      <c r="B399">
        <v>1</v>
      </c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1</v>
      </c>
      <c r="X399">
        <v>0</v>
      </c>
      <c r="Y399">
        <v>0</v>
      </c>
      <c r="Z399">
        <v>0</v>
      </c>
      <c r="AA399">
        <v>1</v>
      </c>
      <c r="AB399">
        <v>0</v>
      </c>
      <c r="AC399">
        <v>0</v>
      </c>
      <c r="AD399">
        <f t="shared" si="3"/>
        <v>882</v>
      </c>
      <c r="AE399">
        <v>0</v>
      </c>
      <c r="AF399">
        <v>1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6.3970000000000011</v>
      </c>
      <c r="AV399">
        <v>0</v>
      </c>
      <c r="AW399">
        <v>882</v>
      </c>
      <c r="AX399">
        <v>85</v>
      </c>
      <c r="AY399">
        <v>303</v>
      </c>
      <c r="BD399" t="s">
        <v>60</v>
      </c>
    </row>
    <row r="400" spans="1:56" x14ac:dyDescent="0.3">
      <c r="A400">
        <v>10399</v>
      </c>
      <c r="B400">
        <v>1</v>
      </c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1</v>
      </c>
      <c r="X400">
        <v>0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f t="shared" si="3"/>
        <v>882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6.729000000000001</v>
      </c>
      <c r="AV400">
        <v>0</v>
      </c>
      <c r="AW400">
        <v>882</v>
      </c>
      <c r="AX400">
        <v>84</v>
      </c>
      <c r="AY400">
        <v>340</v>
      </c>
      <c r="BD400" t="s">
        <v>60</v>
      </c>
    </row>
    <row r="401" spans="1:56" x14ac:dyDescent="0.3">
      <c r="A401">
        <v>10400</v>
      </c>
      <c r="B401">
        <v>1</v>
      </c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1</v>
      </c>
      <c r="X401">
        <v>0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f t="shared" si="3"/>
        <v>882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7.0760000000000014</v>
      </c>
      <c r="AV401">
        <v>0</v>
      </c>
      <c r="AW401">
        <v>882</v>
      </c>
      <c r="AX401">
        <v>90</v>
      </c>
      <c r="AY401">
        <v>314</v>
      </c>
      <c r="BD401" t="s">
        <v>60</v>
      </c>
    </row>
    <row r="402" spans="1:56" x14ac:dyDescent="0.3">
      <c r="A402">
        <v>10401</v>
      </c>
      <c r="B402">
        <v>1</v>
      </c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1</v>
      </c>
      <c r="X402">
        <v>0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f t="shared" si="3"/>
        <v>882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6.38</v>
      </c>
      <c r="AV402">
        <v>0</v>
      </c>
      <c r="AW402">
        <v>882</v>
      </c>
      <c r="AX402">
        <v>72</v>
      </c>
      <c r="AY402">
        <v>401</v>
      </c>
      <c r="BD402" t="s">
        <v>60</v>
      </c>
    </row>
    <row r="403" spans="1:56" x14ac:dyDescent="0.3">
      <c r="A403">
        <v>10402</v>
      </c>
      <c r="B403">
        <v>1</v>
      </c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1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7.2827999999999999</v>
      </c>
      <c r="AV403">
        <v>0</v>
      </c>
      <c r="AW403">
        <v>882</v>
      </c>
      <c r="AX403">
        <v>55</v>
      </c>
    </row>
    <row r="404" spans="1:56" x14ac:dyDescent="0.3">
      <c r="A404">
        <v>10403</v>
      </c>
      <c r="B404">
        <v>1</v>
      </c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1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6.4668000000000001</v>
      </c>
      <c r="AV404">
        <v>0</v>
      </c>
      <c r="AW404">
        <v>882</v>
      </c>
      <c r="AX404">
        <v>63</v>
      </c>
    </row>
    <row r="405" spans="1:56" x14ac:dyDescent="0.3">
      <c r="A405">
        <v>10404</v>
      </c>
      <c r="B405">
        <v>1</v>
      </c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1</v>
      </c>
      <c r="X405">
        <v>0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f>AW405</f>
        <v>693.35700000000008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-10.91</v>
      </c>
      <c r="AV405">
        <v>16.02</v>
      </c>
      <c r="AW405">
        <v>693.35700000000008</v>
      </c>
      <c r="AX405">
        <v>100</v>
      </c>
      <c r="AY405">
        <v>1710</v>
      </c>
      <c r="BD405" t="s">
        <v>60</v>
      </c>
    </row>
    <row r="406" spans="1:56" x14ac:dyDescent="0.3">
      <c r="A406">
        <v>10405</v>
      </c>
      <c r="B406">
        <v>1</v>
      </c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6.9512</v>
      </c>
      <c r="AV406">
        <v>0</v>
      </c>
      <c r="AW406">
        <v>819.01499999999999</v>
      </c>
      <c r="AX406">
        <v>74</v>
      </c>
    </row>
    <row r="407" spans="1:56" x14ac:dyDescent="0.3">
      <c r="A407">
        <v>10406</v>
      </c>
      <c r="B407">
        <v>1</v>
      </c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0</v>
      </c>
      <c r="AD407">
        <v>800</v>
      </c>
      <c r="AE407">
        <v>1</v>
      </c>
      <c r="AF407">
        <v>1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10.98</v>
      </c>
      <c r="AV407">
        <v>0.76666666666666661</v>
      </c>
      <c r="AW407">
        <v>850.26</v>
      </c>
      <c r="AX407">
        <v>42</v>
      </c>
      <c r="AY407">
        <v>88</v>
      </c>
      <c r="AZ407">
        <v>421</v>
      </c>
      <c r="BA407">
        <v>80.34</v>
      </c>
      <c r="BD407" t="s">
        <v>121</v>
      </c>
    </row>
    <row r="408" spans="1:56" x14ac:dyDescent="0.3">
      <c r="A408">
        <v>10407</v>
      </c>
      <c r="B408">
        <v>1</v>
      </c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1</v>
      </c>
      <c r="X408">
        <v>20</v>
      </c>
      <c r="Y408">
        <v>88.75</v>
      </c>
      <c r="Z408">
        <v>0</v>
      </c>
      <c r="AA408">
        <v>1</v>
      </c>
      <c r="AB408">
        <v>0</v>
      </c>
      <c r="AC408">
        <v>0</v>
      </c>
      <c r="AD408">
        <v>800</v>
      </c>
      <c r="AE408">
        <v>1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10.98</v>
      </c>
      <c r="AV408">
        <v>0.76666666666666661</v>
      </c>
      <c r="AW408">
        <v>850.26</v>
      </c>
      <c r="AX408">
        <v>46</v>
      </c>
      <c r="AY408">
        <v>356</v>
      </c>
      <c r="AZ408">
        <v>686</v>
      </c>
      <c r="BA408">
        <v>4.7300000000000004</v>
      </c>
      <c r="BD408" t="s">
        <v>121</v>
      </c>
    </row>
    <row r="409" spans="1:56" x14ac:dyDescent="0.3">
      <c r="A409">
        <v>10408</v>
      </c>
      <c r="B409">
        <v>1</v>
      </c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1</v>
      </c>
      <c r="X409">
        <v>20</v>
      </c>
      <c r="Y409">
        <v>88.75</v>
      </c>
      <c r="Z409">
        <v>0</v>
      </c>
      <c r="AA409">
        <v>1</v>
      </c>
      <c r="AB409">
        <v>0</v>
      </c>
      <c r="AC409">
        <v>0</v>
      </c>
      <c r="AD409">
        <v>800</v>
      </c>
      <c r="AE409">
        <v>1</v>
      </c>
      <c r="AF409">
        <v>1</v>
      </c>
      <c r="AG409">
        <v>0</v>
      </c>
      <c r="AH409">
        <v>0</v>
      </c>
      <c r="AI409">
        <v>400</v>
      </c>
      <c r="AJ409">
        <v>0.33</v>
      </c>
      <c r="AK409">
        <v>1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10.98</v>
      </c>
      <c r="AV409">
        <v>0.76666666666666661</v>
      </c>
      <c r="AW409">
        <v>850.26</v>
      </c>
      <c r="AX409">
        <v>48</v>
      </c>
      <c r="AY409">
        <v>920</v>
      </c>
      <c r="AZ409">
        <v>967</v>
      </c>
      <c r="BA409">
        <v>2.91</v>
      </c>
      <c r="BD409" t="s">
        <v>121</v>
      </c>
    </row>
    <row r="410" spans="1:56" x14ac:dyDescent="0.3">
      <c r="A410">
        <v>10409</v>
      </c>
      <c r="B410">
        <v>1</v>
      </c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1</v>
      </c>
      <c r="X410">
        <v>20</v>
      </c>
      <c r="Y410">
        <v>88.75</v>
      </c>
      <c r="Z410">
        <v>0</v>
      </c>
      <c r="AA410">
        <v>1</v>
      </c>
      <c r="AB410">
        <v>0</v>
      </c>
      <c r="AC410">
        <v>0</v>
      </c>
      <c r="AD410">
        <v>800</v>
      </c>
      <c r="AE410">
        <v>1</v>
      </c>
      <c r="AF410">
        <v>1</v>
      </c>
      <c r="AG410">
        <v>0</v>
      </c>
      <c r="AH410">
        <v>0</v>
      </c>
      <c r="AI410">
        <v>400</v>
      </c>
      <c r="AJ410">
        <v>1.67</v>
      </c>
      <c r="AK410">
        <v>1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10.98</v>
      </c>
      <c r="AV410">
        <v>0.76666666666666661</v>
      </c>
      <c r="AW410">
        <v>850.26</v>
      </c>
      <c r="AX410">
        <v>83</v>
      </c>
      <c r="AY410">
        <v>1180</v>
      </c>
      <c r="AZ410">
        <v>1192</v>
      </c>
      <c r="BA410">
        <v>1.66</v>
      </c>
      <c r="BD410" t="s">
        <v>121</v>
      </c>
    </row>
    <row r="411" spans="1:56" x14ac:dyDescent="0.3">
      <c r="A411">
        <v>10410</v>
      </c>
      <c r="B411">
        <v>1</v>
      </c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0</v>
      </c>
      <c r="AD411">
        <v>850</v>
      </c>
      <c r="AE411">
        <v>0.5</v>
      </c>
      <c r="AF411">
        <v>1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10.9</v>
      </c>
      <c r="AV411">
        <v>1.1666666666666667</v>
      </c>
      <c r="AW411">
        <v>833.7</v>
      </c>
      <c r="AZ411">
        <v>480</v>
      </c>
      <c r="BA411">
        <v>22.13</v>
      </c>
      <c r="BD411" t="s">
        <v>122</v>
      </c>
    </row>
    <row r="412" spans="1:56" x14ac:dyDescent="0.3">
      <c r="A412">
        <v>10411</v>
      </c>
      <c r="B412">
        <v>1</v>
      </c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0</v>
      </c>
      <c r="AD412">
        <v>850</v>
      </c>
      <c r="AE412">
        <v>0.5</v>
      </c>
      <c r="AF412">
        <v>1</v>
      </c>
      <c r="AG412">
        <v>0</v>
      </c>
      <c r="AH412">
        <v>0</v>
      </c>
      <c r="AI412">
        <v>400</v>
      </c>
      <c r="AJ412">
        <v>12</v>
      </c>
      <c r="AK412">
        <v>1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10.9</v>
      </c>
      <c r="AV412">
        <v>1.1666666666666667</v>
      </c>
      <c r="AW412">
        <v>833.7</v>
      </c>
      <c r="AZ412">
        <v>492</v>
      </c>
      <c r="BA412">
        <v>6.17</v>
      </c>
      <c r="BD412" t="s">
        <v>122</v>
      </c>
    </row>
    <row r="413" spans="1:56" x14ac:dyDescent="0.3">
      <c r="A413">
        <v>10412</v>
      </c>
      <c r="B413">
        <v>1</v>
      </c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0</v>
      </c>
      <c r="AD413">
        <v>850</v>
      </c>
      <c r="AE413">
        <v>0.5</v>
      </c>
      <c r="AF413">
        <v>1</v>
      </c>
      <c r="AG413">
        <v>0</v>
      </c>
      <c r="AH413">
        <v>0</v>
      </c>
      <c r="AI413">
        <v>450</v>
      </c>
      <c r="AJ413">
        <v>12</v>
      </c>
      <c r="AK413">
        <v>1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10.9</v>
      </c>
      <c r="AV413">
        <v>1.1666666666666667</v>
      </c>
      <c r="AW413">
        <v>833.7</v>
      </c>
      <c r="AZ413">
        <v>854</v>
      </c>
      <c r="BA413">
        <v>6.66</v>
      </c>
      <c r="BD413" t="s">
        <v>122</v>
      </c>
    </row>
    <row r="414" spans="1:56" x14ac:dyDescent="0.3">
      <c r="A414">
        <v>10413</v>
      </c>
      <c r="B414">
        <v>1</v>
      </c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1</v>
      </c>
      <c r="AA414">
        <v>0</v>
      </c>
      <c r="AB414">
        <v>0</v>
      </c>
      <c r="AC414">
        <v>0</v>
      </c>
      <c r="AD414">
        <v>850</v>
      </c>
      <c r="AE414">
        <v>0.5</v>
      </c>
      <c r="AF414">
        <v>1</v>
      </c>
      <c r="AG414">
        <v>0</v>
      </c>
      <c r="AH414">
        <v>0</v>
      </c>
      <c r="AI414">
        <v>500</v>
      </c>
      <c r="AJ414">
        <v>12</v>
      </c>
      <c r="AK414">
        <v>1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10.9</v>
      </c>
      <c r="AV414">
        <v>1.1666666666666667</v>
      </c>
      <c r="AW414">
        <v>833.7</v>
      </c>
      <c r="AZ414">
        <v>613</v>
      </c>
      <c r="BA414">
        <v>11.31</v>
      </c>
      <c r="BD414" t="s">
        <v>122</v>
      </c>
    </row>
    <row r="415" spans="1:56" x14ac:dyDescent="0.3">
      <c r="A415">
        <v>10414</v>
      </c>
      <c r="B415">
        <v>1</v>
      </c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0</v>
      </c>
      <c r="AD415">
        <v>850</v>
      </c>
      <c r="AE415">
        <v>0.5</v>
      </c>
      <c r="AF415">
        <v>1</v>
      </c>
      <c r="AG415">
        <v>0</v>
      </c>
      <c r="AH415">
        <v>0</v>
      </c>
      <c r="AI415">
        <v>550</v>
      </c>
      <c r="AJ415">
        <v>12</v>
      </c>
      <c r="AK415">
        <v>1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10.9</v>
      </c>
      <c r="AV415">
        <v>1.1666666666666667</v>
      </c>
      <c r="AW415">
        <v>833.7</v>
      </c>
      <c r="AZ415">
        <v>529</v>
      </c>
      <c r="BA415">
        <v>17.440000000000001</v>
      </c>
      <c r="BD415" t="s">
        <v>122</v>
      </c>
    </row>
    <row r="416" spans="1:56" x14ac:dyDescent="0.3">
      <c r="A416">
        <v>10415</v>
      </c>
      <c r="B416">
        <v>1</v>
      </c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20</v>
      </c>
      <c r="Y416">
        <v>90</v>
      </c>
      <c r="Z416">
        <v>0</v>
      </c>
      <c r="AA416">
        <v>1</v>
      </c>
      <c r="AB416">
        <v>0</v>
      </c>
      <c r="AC416">
        <v>0</v>
      </c>
      <c r="AD416">
        <v>450</v>
      </c>
      <c r="AE416">
        <v>0.16700000000000001</v>
      </c>
      <c r="AF416">
        <v>0</v>
      </c>
      <c r="AG416">
        <v>1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10.24</v>
      </c>
      <c r="AV416">
        <v>0.5</v>
      </c>
      <c r="AW416">
        <v>861.3</v>
      </c>
      <c r="AZ416">
        <v>864</v>
      </c>
      <c r="BA416">
        <v>1.55</v>
      </c>
      <c r="BD416" t="s">
        <v>123</v>
      </c>
    </row>
    <row r="417" spans="1:56" x14ac:dyDescent="0.3">
      <c r="A417">
        <v>10416</v>
      </c>
      <c r="B417">
        <v>1</v>
      </c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20</v>
      </c>
      <c r="Y417">
        <v>90</v>
      </c>
      <c r="Z417">
        <v>0</v>
      </c>
      <c r="AA417">
        <v>1</v>
      </c>
      <c r="AB417">
        <v>0</v>
      </c>
      <c r="AC417">
        <v>0</v>
      </c>
      <c r="AD417">
        <v>550</v>
      </c>
      <c r="AE417">
        <v>0.16700000000000001</v>
      </c>
      <c r="AF417">
        <v>0</v>
      </c>
      <c r="AG417">
        <v>1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10.24</v>
      </c>
      <c r="AV417">
        <v>0.5</v>
      </c>
      <c r="AW417">
        <v>861.3</v>
      </c>
      <c r="AZ417">
        <v>780</v>
      </c>
      <c r="BA417">
        <v>17.399999999999999</v>
      </c>
      <c r="BD417" t="s">
        <v>123</v>
      </c>
    </row>
    <row r="418" spans="1:56" x14ac:dyDescent="0.3">
      <c r="A418">
        <v>10417</v>
      </c>
      <c r="B418">
        <v>1</v>
      </c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20</v>
      </c>
      <c r="Y418">
        <v>90</v>
      </c>
      <c r="Z418">
        <v>0</v>
      </c>
      <c r="AA418">
        <v>1</v>
      </c>
      <c r="AB418">
        <v>0</v>
      </c>
      <c r="AC418">
        <v>0</v>
      </c>
      <c r="AD418">
        <v>650</v>
      </c>
      <c r="AE418">
        <v>0.16700000000000001</v>
      </c>
      <c r="AF418">
        <v>0</v>
      </c>
      <c r="AG418">
        <v>1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10.24</v>
      </c>
      <c r="AV418">
        <v>0.5</v>
      </c>
      <c r="AW418">
        <v>861.3</v>
      </c>
      <c r="AZ418">
        <v>456</v>
      </c>
      <c r="BA418">
        <v>25.44</v>
      </c>
      <c r="BD418" t="s">
        <v>123</v>
      </c>
    </row>
    <row r="419" spans="1:56" x14ac:dyDescent="0.3">
      <c r="A419">
        <v>10418</v>
      </c>
      <c r="B419">
        <v>1</v>
      </c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20</v>
      </c>
      <c r="Y419">
        <v>90</v>
      </c>
      <c r="Z419">
        <v>0</v>
      </c>
      <c r="AA419">
        <v>1</v>
      </c>
      <c r="AB419">
        <v>0</v>
      </c>
      <c r="AC419">
        <v>0</v>
      </c>
      <c r="AD419">
        <v>750</v>
      </c>
      <c r="AE419">
        <v>0.16700000000000001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10.24</v>
      </c>
      <c r="AV419">
        <v>0.5</v>
      </c>
      <c r="AW419">
        <v>861.3</v>
      </c>
      <c r="AZ419">
        <v>589</v>
      </c>
      <c r="BA419">
        <v>18.579999999999998</v>
      </c>
      <c r="BD419" t="s">
        <v>123</v>
      </c>
    </row>
    <row r="420" spans="1:56" x14ac:dyDescent="0.3">
      <c r="A420">
        <v>10419</v>
      </c>
      <c r="B420">
        <v>1</v>
      </c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>
        <v>1</v>
      </c>
      <c r="AB420">
        <v>0</v>
      </c>
      <c r="AC420">
        <v>0</v>
      </c>
      <c r="AD420">
        <f t="shared" ref="AD420:AD429" si="4">AW420</f>
        <v>743.37900000000002</v>
      </c>
      <c r="AE420">
        <v>0</v>
      </c>
      <c r="AF420">
        <v>1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5.9136000000000006</v>
      </c>
      <c r="AV420">
        <v>3.3483333333333332</v>
      </c>
      <c r="AW420">
        <v>743.37900000000002</v>
      </c>
      <c r="AX420">
        <v>73</v>
      </c>
      <c r="AY420">
        <v>1107</v>
      </c>
      <c r="BD420" t="s">
        <v>60</v>
      </c>
    </row>
    <row r="421" spans="1:56" x14ac:dyDescent="0.3">
      <c r="A421">
        <v>10420</v>
      </c>
      <c r="B421">
        <v>1</v>
      </c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>
        <v>1</v>
      </c>
      <c r="AB421">
        <v>0</v>
      </c>
      <c r="AC421">
        <v>0</v>
      </c>
      <c r="AD421">
        <f t="shared" si="4"/>
        <v>723.43799999999999</v>
      </c>
      <c r="AE421">
        <v>0</v>
      </c>
      <c r="AF421">
        <v>1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5.2294</v>
      </c>
      <c r="AV421">
        <v>3.83</v>
      </c>
      <c r="AW421">
        <v>723.43799999999999</v>
      </c>
      <c r="AX421">
        <v>75</v>
      </c>
      <c r="AY421">
        <v>932</v>
      </c>
      <c r="BD421" t="s">
        <v>60</v>
      </c>
    </row>
    <row r="422" spans="1:56" x14ac:dyDescent="0.3">
      <c r="A422">
        <v>10421</v>
      </c>
      <c r="B422">
        <v>1</v>
      </c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>
        <v>1</v>
      </c>
      <c r="AB422">
        <v>0</v>
      </c>
      <c r="AC422">
        <v>0</v>
      </c>
      <c r="AD422">
        <f t="shared" si="4"/>
        <v>702.32399999999996</v>
      </c>
      <c r="AE422">
        <v>0</v>
      </c>
      <c r="AF422">
        <v>1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4.7127999999999997</v>
      </c>
      <c r="AV422">
        <v>4.3400000000000007</v>
      </c>
      <c r="AW422">
        <v>702.32399999999996</v>
      </c>
      <c r="AX422">
        <v>77</v>
      </c>
      <c r="AY422">
        <v>953</v>
      </c>
      <c r="BD422" t="s">
        <v>60</v>
      </c>
    </row>
    <row r="423" spans="1:56" x14ac:dyDescent="0.3">
      <c r="A423">
        <v>10422</v>
      </c>
      <c r="B423">
        <v>1</v>
      </c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>
        <v>1</v>
      </c>
      <c r="AB423">
        <v>0</v>
      </c>
      <c r="AC423">
        <v>0</v>
      </c>
      <c r="AD423">
        <f t="shared" si="4"/>
        <v>859.57500000000005</v>
      </c>
      <c r="AE423">
        <v>0</v>
      </c>
      <c r="AF423">
        <v>1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6.66</v>
      </c>
      <c r="AV423">
        <v>0.54166666666666663</v>
      </c>
      <c r="AW423">
        <v>859.57500000000005</v>
      </c>
      <c r="AX423">
        <v>65</v>
      </c>
      <c r="AY423">
        <v>600</v>
      </c>
      <c r="BD423" t="s">
        <v>60</v>
      </c>
    </row>
    <row r="424" spans="1:56" x14ac:dyDescent="0.3">
      <c r="A424">
        <v>10423</v>
      </c>
      <c r="B424">
        <v>1</v>
      </c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>
        <v>1</v>
      </c>
      <c r="AB424">
        <v>0</v>
      </c>
      <c r="AC424">
        <v>0</v>
      </c>
      <c r="AD424">
        <f t="shared" si="4"/>
        <v>859.57500000000005</v>
      </c>
      <c r="AE424">
        <v>0</v>
      </c>
      <c r="AF424">
        <v>1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6.66</v>
      </c>
      <c r="AV424">
        <v>0.54166666666666663</v>
      </c>
      <c r="AW424">
        <v>859.57500000000005</v>
      </c>
      <c r="AX424">
        <v>55</v>
      </c>
      <c r="AY424">
        <v>257</v>
      </c>
      <c r="BD424" t="s">
        <v>60</v>
      </c>
    </row>
    <row r="425" spans="1:56" x14ac:dyDescent="0.3">
      <c r="A425">
        <v>10424</v>
      </c>
      <c r="B425">
        <v>1</v>
      </c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>
        <v>1</v>
      </c>
      <c r="AB425">
        <v>0</v>
      </c>
      <c r="AC425">
        <v>0</v>
      </c>
      <c r="AD425">
        <f t="shared" si="4"/>
        <v>867.99300000000005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6.4630000000000001</v>
      </c>
      <c r="AV425">
        <v>0.33833333333333332</v>
      </c>
      <c r="AW425">
        <v>867.99300000000005</v>
      </c>
      <c r="AX425">
        <v>64.5</v>
      </c>
      <c r="AY425">
        <v>700</v>
      </c>
      <c r="BD425" t="s">
        <v>60</v>
      </c>
    </row>
    <row r="426" spans="1:56" x14ac:dyDescent="0.3">
      <c r="A426">
        <v>10425</v>
      </c>
      <c r="B426">
        <v>1</v>
      </c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>
        <v>1</v>
      </c>
      <c r="AB426">
        <v>0</v>
      </c>
      <c r="AC426">
        <v>0</v>
      </c>
      <c r="AD426">
        <f t="shared" si="4"/>
        <v>858.12599999999998</v>
      </c>
      <c r="AE426">
        <v>0</v>
      </c>
      <c r="AF426">
        <v>0</v>
      </c>
      <c r="AG426">
        <v>1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6.4522000000000004</v>
      </c>
      <c r="AV426">
        <v>0.57666666666666666</v>
      </c>
      <c r="AW426">
        <v>858.12599999999998</v>
      </c>
      <c r="AX426">
        <v>57.1</v>
      </c>
      <c r="AY426">
        <v>400</v>
      </c>
      <c r="BD426" t="s">
        <v>60</v>
      </c>
    </row>
    <row r="427" spans="1:56" x14ac:dyDescent="0.3">
      <c r="A427">
        <v>10426</v>
      </c>
      <c r="B427">
        <v>1</v>
      </c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1</v>
      </c>
      <c r="X427">
        <v>0</v>
      </c>
      <c r="Y427">
        <v>0</v>
      </c>
      <c r="Z427">
        <v>0</v>
      </c>
      <c r="AA427">
        <v>1</v>
      </c>
      <c r="AB427">
        <v>0</v>
      </c>
      <c r="AC427">
        <v>0</v>
      </c>
      <c r="AD427">
        <f t="shared" si="4"/>
        <v>859.71299999999997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6.1724000000000006</v>
      </c>
      <c r="AV427">
        <v>0.53833333333333344</v>
      </c>
      <c r="AW427">
        <v>859.71299999999997</v>
      </c>
      <c r="AX427">
        <v>53.7</v>
      </c>
      <c r="AY427">
        <v>435</v>
      </c>
      <c r="BD427" t="s">
        <v>60</v>
      </c>
    </row>
    <row r="428" spans="1:56" x14ac:dyDescent="0.3">
      <c r="A428">
        <v>10427</v>
      </c>
      <c r="B428">
        <v>1</v>
      </c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1</v>
      </c>
      <c r="X428">
        <v>0</v>
      </c>
      <c r="Y428">
        <v>0</v>
      </c>
      <c r="Z428">
        <v>0</v>
      </c>
      <c r="AA428">
        <v>1</v>
      </c>
      <c r="AB428">
        <v>0</v>
      </c>
      <c r="AC428">
        <v>0</v>
      </c>
      <c r="AD428">
        <f t="shared" si="4"/>
        <v>868.2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6.5940000000000003</v>
      </c>
      <c r="AV428">
        <v>0.33333333333333331</v>
      </c>
      <c r="AW428">
        <v>868.2</v>
      </c>
      <c r="AX428">
        <v>55</v>
      </c>
      <c r="AY428">
        <v>280</v>
      </c>
      <c r="BD428" t="s">
        <v>60</v>
      </c>
    </row>
    <row r="429" spans="1:56" x14ac:dyDescent="0.3">
      <c r="A429">
        <v>10428</v>
      </c>
      <c r="B429">
        <v>1</v>
      </c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>
        <v>1</v>
      </c>
      <c r="AB429">
        <v>0</v>
      </c>
      <c r="AC429">
        <v>0</v>
      </c>
      <c r="AD429">
        <f t="shared" si="4"/>
        <v>858.26400000000001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7.0294000000000008</v>
      </c>
      <c r="AV429">
        <v>0.57333333333333336</v>
      </c>
      <c r="AW429">
        <v>858.26400000000001</v>
      </c>
      <c r="AX429">
        <v>61</v>
      </c>
      <c r="AY429">
        <v>521</v>
      </c>
      <c r="BD429" t="s">
        <v>60</v>
      </c>
    </row>
    <row r="430" spans="1:56" x14ac:dyDescent="0.3">
      <c r="A430">
        <v>10429</v>
      </c>
      <c r="B430">
        <v>1</v>
      </c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6.6550000000000002</v>
      </c>
      <c r="AV430">
        <v>0.53</v>
      </c>
      <c r="AW430">
        <v>860.05799999999999</v>
      </c>
      <c r="AX430">
        <v>65</v>
      </c>
      <c r="BC430" t="s">
        <v>346</v>
      </c>
    </row>
    <row r="431" spans="1:56" x14ac:dyDescent="0.3">
      <c r="A431">
        <v>10430</v>
      </c>
      <c r="B431">
        <v>1</v>
      </c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7.1160000000000005</v>
      </c>
      <c r="AV431">
        <v>0.81666666666666676</v>
      </c>
      <c r="AW431">
        <v>848.19</v>
      </c>
      <c r="AX431">
        <v>55</v>
      </c>
      <c r="BC431" t="s">
        <v>346</v>
      </c>
    </row>
    <row r="432" spans="1:56" x14ac:dyDescent="0.3">
      <c r="A432">
        <v>10431</v>
      </c>
      <c r="B432">
        <v>1</v>
      </c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6.5940000000000003</v>
      </c>
      <c r="AV432">
        <v>0.33333333333333331</v>
      </c>
      <c r="AW432">
        <v>868.2</v>
      </c>
      <c r="AX432">
        <v>56</v>
      </c>
      <c r="BC432" t="s">
        <v>346</v>
      </c>
    </row>
    <row r="433" spans="1:55" x14ac:dyDescent="0.3">
      <c r="A433">
        <v>10432</v>
      </c>
      <c r="B433">
        <v>1</v>
      </c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X433">
        <v>0</v>
      </c>
      <c r="Y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2.3148000000000004</v>
      </c>
      <c r="AV433">
        <v>1.3216666666666665</v>
      </c>
      <c r="AW433">
        <v>827.28300000000002</v>
      </c>
      <c r="AX433">
        <v>90</v>
      </c>
      <c r="BC433" t="s">
        <v>346</v>
      </c>
    </row>
    <row r="434" spans="1:55" x14ac:dyDescent="0.3">
      <c r="A434">
        <v>10433</v>
      </c>
      <c r="B434">
        <v>1</v>
      </c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  <c r="Y434">
        <v>0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2.4925999999999999</v>
      </c>
      <c r="AV434">
        <v>1.345</v>
      </c>
      <c r="AW434">
        <v>826.31700000000001</v>
      </c>
      <c r="AX434">
        <v>92.54</v>
      </c>
      <c r="BC434" t="s">
        <v>347</v>
      </c>
    </row>
    <row r="435" spans="1:55" x14ac:dyDescent="0.3">
      <c r="A435">
        <v>10434</v>
      </c>
      <c r="B435">
        <v>1</v>
      </c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  <c r="Y435">
        <v>0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2.677</v>
      </c>
      <c r="AV435">
        <v>1.3683333333333334</v>
      </c>
      <c r="AW435">
        <v>825.351</v>
      </c>
      <c r="AX435">
        <v>93.66</v>
      </c>
      <c r="BC435" t="s">
        <v>347</v>
      </c>
    </row>
    <row r="436" spans="1:55" x14ac:dyDescent="0.3">
      <c r="A436">
        <v>10435</v>
      </c>
      <c r="B436">
        <v>1</v>
      </c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X436">
        <v>0</v>
      </c>
      <c r="Y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2.8657999999999997</v>
      </c>
      <c r="AV436">
        <v>1.3933333333333333</v>
      </c>
      <c r="AW436">
        <v>824.31600000000003</v>
      </c>
      <c r="AX436">
        <v>83.52</v>
      </c>
      <c r="BC436" t="s">
        <v>347</v>
      </c>
    </row>
    <row r="437" spans="1:55" x14ac:dyDescent="0.3">
      <c r="A437">
        <v>10436</v>
      </c>
      <c r="B437">
        <v>1</v>
      </c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0</v>
      </c>
      <c r="X437">
        <v>0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7.1144000000000016</v>
      </c>
      <c r="AV437">
        <v>0.82</v>
      </c>
      <c r="AW437">
        <v>848.05200000000002</v>
      </c>
      <c r="AX437">
        <v>55</v>
      </c>
      <c r="BC437" t="s">
        <v>347</v>
      </c>
    </row>
    <row r="438" spans="1:55" x14ac:dyDescent="0.3">
      <c r="A438">
        <v>10437</v>
      </c>
      <c r="B438">
        <v>1</v>
      </c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1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15.132800000000001</v>
      </c>
      <c r="AV438">
        <v>1.4516666666666669</v>
      </c>
      <c r="AW438">
        <v>821.90099999999995</v>
      </c>
      <c r="AX438">
        <v>64</v>
      </c>
      <c r="BC438" t="s">
        <v>347</v>
      </c>
    </row>
    <row r="439" spans="1:55" x14ac:dyDescent="0.3">
      <c r="A439">
        <v>10438</v>
      </c>
      <c r="B439">
        <v>1</v>
      </c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1</v>
      </c>
      <c r="W439">
        <v>0</v>
      </c>
      <c r="X439">
        <v>0</v>
      </c>
      <c r="Y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5.9136000000000006</v>
      </c>
      <c r="AV439">
        <v>3.3483333333333332</v>
      </c>
      <c r="AW439">
        <v>743.37900000000002</v>
      </c>
      <c r="AX439">
        <v>73.12</v>
      </c>
      <c r="BC439" t="s">
        <v>243</v>
      </c>
    </row>
    <row r="440" spans="1:55" x14ac:dyDescent="0.3">
      <c r="A440">
        <v>10439</v>
      </c>
      <c r="B440">
        <v>1</v>
      </c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1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5.2294</v>
      </c>
      <c r="AV440">
        <v>3.83</v>
      </c>
      <c r="AW440">
        <v>723.43799999999999</v>
      </c>
      <c r="AX440">
        <v>74.98</v>
      </c>
      <c r="BC440" t="s">
        <v>276</v>
      </c>
    </row>
    <row r="441" spans="1:55" x14ac:dyDescent="0.3">
      <c r="A441">
        <v>10440</v>
      </c>
      <c r="B441">
        <v>1</v>
      </c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4.7127999999999997</v>
      </c>
      <c r="AV441">
        <v>4.34</v>
      </c>
      <c r="AW441">
        <v>702.32399999999996</v>
      </c>
      <c r="AX441">
        <v>76.62</v>
      </c>
      <c r="BC441" t="s">
        <v>276</v>
      </c>
    </row>
    <row r="442" spans="1:55" x14ac:dyDescent="0.3">
      <c r="A442">
        <v>10441</v>
      </c>
      <c r="B442">
        <v>1</v>
      </c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X442">
        <v>0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7.7800000000000011</v>
      </c>
      <c r="AV442">
        <v>0.6</v>
      </c>
      <c r="AW442">
        <v>857.16</v>
      </c>
      <c r="AX442">
        <v>65.8</v>
      </c>
      <c r="BC442" t="s">
        <v>276</v>
      </c>
    </row>
    <row r="443" spans="1:55" x14ac:dyDescent="0.3">
      <c r="A443">
        <v>10442</v>
      </c>
      <c r="B443">
        <v>1</v>
      </c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7.3360000000000003</v>
      </c>
      <c r="AV443">
        <v>0.53333333333333333</v>
      </c>
      <c r="AW443">
        <v>859.92</v>
      </c>
      <c r="AX443">
        <v>64.2</v>
      </c>
      <c r="BC443" t="s">
        <v>276</v>
      </c>
    </row>
    <row r="444" spans="1:55" x14ac:dyDescent="0.3">
      <c r="A444">
        <v>10443</v>
      </c>
      <c r="B444">
        <v>1</v>
      </c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1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6.9740000000000002</v>
      </c>
      <c r="AV444">
        <v>0.56666666666666665</v>
      </c>
      <c r="AW444">
        <v>858.54</v>
      </c>
      <c r="AX444">
        <v>63</v>
      </c>
    </row>
    <row r="445" spans="1:55" x14ac:dyDescent="0.3">
      <c r="A445">
        <v>10444</v>
      </c>
      <c r="B445">
        <v>1</v>
      </c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6.4540000000000006</v>
      </c>
      <c r="AV445">
        <v>0.33333333333333331</v>
      </c>
      <c r="AW445">
        <v>868.2</v>
      </c>
      <c r="AX445">
        <v>59.5</v>
      </c>
    </row>
    <row r="446" spans="1:55" x14ac:dyDescent="0.3">
      <c r="A446">
        <v>10445</v>
      </c>
      <c r="B446">
        <v>1</v>
      </c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1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7.0244</v>
      </c>
      <c r="AV446">
        <v>0.80500000000000005</v>
      </c>
      <c r="AW446">
        <v>848.673</v>
      </c>
      <c r="AX446">
        <v>62.2</v>
      </c>
    </row>
    <row r="447" spans="1:55" x14ac:dyDescent="0.3">
      <c r="A447">
        <v>10446</v>
      </c>
      <c r="B447">
        <v>1</v>
      </c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6.6160000000000005</v>
      </c>
      <c r="AV447">
        <v>0.32666666666666666</v>
      </c>
      <c r="AW447">
        <v>868.476</v>
      </c>
      <c r="AX447">
        <v>60.2</v>
      </c>
    </row>
    <row r="448" spans="1:55" x14ac:dyDescent="0.3">
      <c r="A448">
        <v>10447</v>
      </c>
      <c r="B448">
        <v>1</v>
      </c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1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6.4826000000000006</v>
      </c>
      <c r="AV448">
        <v>0.57833333333333337</v>
      </c>
      <c r="AW448">
        <v>858.05700000000002</v>
      </c>
      <c r="AX448">
        <v>56</v>
      </c>
    </row>
    <row r="449" spans="1:56" x14ac:dyDescent="0.3">
      <c r="A449">
        <v>10448</v>
      </c>
      <c r="B449">
        <v>1</v>
      </c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7.6822000000000008</v>
      </c>
      <c r="AV449">
        <v>0.59666666666666668</v>
      </c>
      <c r="AW449">
        <v>857.298</v>
      </c>
      <c r="AX449">
        <v>62</v>
      </c>
    </row>
    <row r="450" spans="1:56" x14ac:dyDescent="0.3">
      <c r="A450">
        <v>10449</v>
      </c>
      <c r="B450">
        <v>1</v>
      </c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1</v>
      </c>
      <c r="W450">
        <v>0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7.1220000000000008</v>
      </c>
      <c r="AV450">
        <v>0.83333333333333337</v>
      </c>
      <c r="AW450">
        <v>847.5</v>
      </c>
      <c r="AX450">
        <v>56</v>
      </c>
    </row>
    <row r="451" spans="1:56" x14ac:dyDescent="0.3">
      <c r="A451">
        <v>10450</v>
      </c>
      <c r="B451">
        <v>1</v>
      </c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1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6.73</v>
      </c>
      <c r="AV451">
        <v>0.85</v>
      </c>
      <c r="AW451">
        <v>846.81</v>
      </c>
      <c r="AX451">
        <v>50</v>
      </c>
    </row>
    <row r="452" spans="1:56" x14ac:dyDescent="0.3">
      <c r="A452">
        <v>10451</v>
      </c>
      <c r="B452">
        <v>1</v>
      </c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1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5.3240000000000007</v>
      </c>
      <c r="AV452">
        <v>2.9333333333333336</v>
      </c>
      <c r="AW452">
        <v>760.56</v>
      </c>
      <c r="AX452">
        <v>48.3</v>
      </c>
    </row>
    <row r="453" spans="1:56" x14ac:dyDescent="0.3">
      <c r="A453">
        <v>10452</v>
      </c>
      <c r="B453">
        <v>1</v>
      </c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0</v>
      </c>
      <c r="AD453">
        <v>800</v>
      </c>
      <c r="AE453">
        <v>1</v>
      </c>
      <c r="AF453">
        <v>1</v>
      </c>
      <c r="AG453">
        <v>0</v>
      </c>
      <c r="AH453">
        <v>0</v>
      </c>
      <c r="AI453">
        <v>550</v>
      </c>
      <c r="AJ453">
        <v>6</v>
      </c>
      <c r="AK453">
        <v>0</v>
      </c>
      <c r="AL453">
        <v>1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0.67999999999999972</v>
      </c>
      <c r="AV453">
        <v>6</v>
      </c>
      <c r="AW453">
        <v>809.4</v>
      </c>
      <c r="AZ453">
        <v>1032</v>
      </c>
      <c r="BA453">
        <v>18.440000000000001</v>
      </c>
      <c r="BD453" t="s">
        <v>124</v>
      </c>
    </row>
    <row r="454" spans="1:56" x14ac:dyDescent="0.3">
      <c r="A454">
        <v>10453</v>
      </c>
      <c r="B454">
        <v>1</v>
      </c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1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830</v>
      </c>
      <c r="AE454">
        <v>1</v>
      </c>
      <c r="AF454">
        <v>1</v>
      </c>
      <c r="AG454">
        <v>0</v>
      </c>
      <c r="AH454">
        <v>0</v>
      </c>
      <c r="AI454">
        <v>550</v>
      </c>
      <c r="AJ454">
        <v>6</v>
      </c>
      <c r="AK454">
        <v>0</v>
      </c>
      <c r="AL454">
        <v>1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0.67999999999999972</v>
      </c>
      <c r="AV454">
        <v>6</v>
      </c>
      <c r="AW454">
        <v>809.4</v>
      </c>
      <c r="AZ454">
        <v>1084</v>
      </c>
      <c r="BA454">
        <v>15.76</v>
      </c>
      <c r="BD454" t="s">
        <v>124</v>
      </c>
    </row>
    <row r="455" spans="1:56" x14ac:dyDescent="0.3">
      <c r="A455">
        <v>10454</v>
      </c>
      <c r="B455">
        <v>1</v>
      </c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860</v>
      </c>
      <c r="AE455">
        <v>1</v>
      </c>
      <c r="AF455">
        <v>1</v>
      </c>
      <c r="AG455">
        <v>0</v>
      </c>
      <c r="AH455">
        <v>0</v>
      </c>
      <c r="AI455">
        <v>550</v>
      </c>
      <c r="AJ455">
        <v>6</v>
      </c>
      <c r="AK455">
        <v>0</v>
      </c>
      <c r="AL455">
        <v>1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0.67999999999999972</v>
      </c>
      <c r="AV455">
        <v>6</v>
      </c>
      <c r="AW455">
        <v>809.4</v>
      </c>
      <c r="AZ455">
        <v>1124</v>
      </c>
      <c r="BA455">
        <v>14.54</v>
      </c>
      <c r="BD455" t="s">
        <v>124</v>
      </c>
    </row>
    <row r="456" spans="1:56" x14ac:dyDescent="0.3">
      <c r="A456">
        <v>10455</v>
      </c>
      <c r="B456">
        <v>1</v>
      </c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890</v>
      </c>
      <c r="AE456">
        <v>1</v>
      </c>
      <c r="AF456">
        <v>1</v>
      </c>
      <c r="AG456">
        <v>0</v>
      </c>
      <c r="AH456">
        <v>0</v>
      </c>
      <c r="AI456">
        <v>550</v>
      </c>
      <c r="AJ456">
        <v>6</v>
      </c>
      <c r="AK456">
        <v>0</v>
      </c>
      <c r="AL456">
        <v>1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0.67999999999999972</v>
      </c>
      <c r="AV456">
        <v>6</v>
      </c>
      <c r="AW456">
        <v>809.4</v>
      </c>
      <c r="AZ456">
        <v>1225</v>
      </c>
      <c r="BA456">
        <v>5.12</v>
      </c>
      <c r="BD456" t="s">
        <v>124</v>
      </c>
    </row>
    <row r="457" spans="1:56" x14ac:dyDescent="0.3">
      <c r="A457">
        <v>10456</v>
      </c>
      <c r="B457">
        <v>1</v>
      </c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920</v>
      </c>
      <c r="AE457">
        <v>1</v>
      </c>
      <c r="AF457">
        <v>1</v>
      </c>
      <c r="AG457">
        <v>0</v>
      </c>
      <c r="AH457">
        <v>0</v>
      </c>
      <c r="AI457">
        <v>550</v>
      </c>
      <c r="AJ457">
        <v>6</v>
      </c>
      <c r="AK457">
        <v>0</v>
      </c>
      <c r="AL457">
        <v>1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0.67999999999999972</v>
      </c>
      <c r="AV457">
        <v>6</v>
      </c>
      <c r="AW457">
        <v>809.4</v>
      </c>
      <c r="AZ457">
        <v>1285</v>
      </c>
      <c r="BA457">
        <v>3.12</v>
      </c>
      <c r="BD457" t="s">
        <v>124</v>
      </c>
    </row>
    <row r="458" spans="1:56" x14ac:dyDescent="0.3">
      <c r="A458">
        <v>10457</v>
      </c>
      <c r="B458">
        <v>1</v>
      </c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0</v>
      </c>
      <c r="AC458">
        <v>0</v>
      </c>
      <c r="AD458">
        <v>915</v>
      </c>
      <c r="AE458">
        <v>1</v>
      </c>
      <c r="AF458">
        <v>1</v>
      </c>
      <c r="AG458">
        <v>0</v>
      </c>
      <c r="AH458">
        <v>0</v>
      </c>
      <c r="AI458">
        <v>580</v>
      </c>
      <c r="AJ458">
        <v>8</v>
      </c>
      <c r="AK458">
        <v>0</v>
      </c>
      <c r="AL458">
        <v>1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-6.3866999999999994</v>
      </c>
      <c r="AV458">
        <v>8.1</v>
      </c>
      <c r="AW458">
        <v>877.35299999999995</v>
      </c>
      <c r="AY458">
        <v>953.5</v>
      </c>
      <c r="AZ458">
        <v>969</v>
      </c>
      <c r="BA458">
        <v>18</v>
      </c>
      <c r="BD458" t="s">
        <v>108</v>
      </c>
    </row>
    <row r="459" spans="1:56" x14ac:dyDescent="0.3">
      <c r="A459">
        <v>10458</v>
      </c>
      <c r="B459">
        <v>1</v>
      </c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915</v>
      </c>
      <c r="AE459">
        <v>1</v>
      </c>
      <c r="AF459">
        <v>1</v>
      </c>
      <c r="AG459">
        <v>0</v>
      </c>
      <c r="AH459">
        <v>0</v>
      </c>
      <c r="AI459">
        <v>580</v>
      </c>
      <c r="AJ459">
        <v>8</v>
      </c>
      <c r="AK459">
        <v>0</v>
      </c>
      <c r="AL459">
        <v>1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-6.3866999999999994</v>
      </c>
      <c r="AV459">
        <v>8.1</v>
      </c>
      <c r="AW459">
        <v>877.35299999999995</v>
      </c>
      <c r="AY459">
        <v>926.5</v>
      </c>
      <c r="AZ459">
        <v>971</v>
      </c>
      <c r="BA459">
        <v>16.8</v>
      </c>
      <c r="BD459" t="s">
        <v>108</v>
      </c>
    </row>
    <row r="460" spans="1:56" x14ac:dyDescent="0.3">
      <c r="A460">
        <v>10459</v>
      </c>
      <c r="B460">
        <v>1</v>
      </c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0</v>
      </c>
      <c r="AC460">
        <v>0</v>
      </c>
      <c r="AD460">
        <v>960</v>
      </c>
      <c r="AE460">
        <v>1</v>
      </c>
      <c r="AF460">
        <v>0</v>
      </c>
      <c r="AG460">
        <v>1</v>
      </c>
      <c r="AH460">
        <v>0</v>
      </c>
      <c r="AI460">
        <v>580</v>
      </c>
      <c r="AJ460">
        <v>8</v>
      </c>
      <c r="AK460">
        <v>0</v>
      </c>
      <c r="AL460">
        <v>1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-6.3866999999999994</v>
      </c>
      <c r="AV460">
        <v>8.1</v>
      </c>
      <c r="AW460">
        <v>877.35299999999995</v>
      </c>
      <c r="AY460">
        <v>908.5</v>
      </c>
      <c r="AZ460">
        <v>928.5</v>
      </c>
      <c r="BA460">
        <v>16.8</v>
      </c>
      <c r="BD460" t="s">
        <v>108</v>
      </c>
    </row>
    <row r="461" spans="1:56" x14ac:dyDescent="0.3">
      <c r="A461">
        <v>10460</v>
      </c>
      <c r="B461">
        <v>1</v>
      </c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1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960</v>
      </c>
      <c r="AE461">
        <v>1</v>
      </c>
      <c r="AF461">
        <v>1</v>
      </c>
      <c r="AG461">
        <v>0</v>
      </c>
      <c r="AH461">
        <v>0</v>
      </c>
      <c r="AI461">
        <v>580</v>
      </c>
      <c r="AJ461">
        <v>8</v>
      </c>
      <c r="AK461">
        <v>0</v>
      </c>
      <c r="AL461">
        <v>1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-6.3866999999999994</v>
      </c>
      <c r="AV461">
        <v>8.1</v>
      </c>
      <c r="AW461">
        <v>877.35299999999995</v>
      </c>
      <c r="AY461">
        <v>931.5</v>
      </c>
      <c r="AZ461">
        <v>964</v>
      </c>
      <c r="BA461">
        <v>15</v>
      </c>
      <c r="BD461" t="s">
        <v>108</v>
      </c>
    </row>
    <row r="462" spans="1:56" x14ac:dyDescent="0.3">
      <c r="A462">
        <v>10461</v>
      </c>
      <c r="B462">
        <v>1</v>
      </c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1010</v>
      </c>
      <c r="AE462">
        <v>1</v>
      </c>
      <c r="AF462">
        <v>1</v>
      </c>
      <c r="AG462">
        <v>0</v>
      </c>
      <c r="AH462">
        <v>0</v>
      </c>
      <c r="AI462">
        <v>580</v>
      </c>
      <c r="AJ462">
        <v>8</v>
      </c>
      <c r="AK462">
        <v>0</v>
      </c>
      <c r="AL462">
        <v>1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-6.3866999999999994</v>
      </c>
      <c r="AV462">
        <v>8.1</v>
      </c>
      <c r="AW462">
        <v>877.35299999999995</v>
      </c>
      <c r="AY462">
        <v>937.5</v>
      </c>
      <c r="AZ462">
        <v>989.5</v>
      </c>
      <c r="BA462">
        <v>15.3</v>
      </c>
      <c r="BD462" t="s">
        <v>108</v>
      </c>
    </row>
    <row r="463" spans="1:56" x14ac:dyDescent="0.3">
      <c r="A463">
        <v>10462</v>
      </c>
      <c r="B463">
        <v>1</v>
      </c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915</v>
      </c>
      <c r="AE463">
        <v>1</v>
      </c>
      <c r="AF463">
        <v>0</v>
      </c>
      <c r="AG463">
        <v>1</v>
      </c>
      <c r="AH463">
        <v>0</v>
      </c>
      <c r="AI463">
        <v>550</v>
      </c>
      <c r="AJ463">
        <v>8</v>
      </c>
      <c r="AK463">
        <v>0</v>
      </c>
      <c r="AL463">
        <v>1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-6.3866999999999994</v>
      </c>
      <c r="AV463">
        <v>8.1</v>
      </c>
      <c r="AW463">
        <v>877.35299999999995</v>
      </c>
      <c r="AY463">
        <v>907.5</v>
      </c>
      <c r="AZ463">
        <v>938.5</v>
      </c>
      <c r="BA463">
        <v>16.5</v>
      </c>
      <c r="BD463" t="s">
        <v>108</v>
      </c>
    </row>
    <row r="464" spans="1:56" x14ac:dyDescent="0.3">
      <c r="A464">
        <v>10463</v>
      </c>
      <c r="B464">
        <v>1</v>
      </c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1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960</v>
      </c>
      <c r="AE464">
        <v>1</v>
      </c>
      <c r="AF464">
        <v>1</v>
      </c>
      <c r="AG464">
        <v>0</v>
      </c>
      <c r="AH464">
        <v>0</v>
      </c>
      <c r="AI464">
        <v>580</v>
      </c>
      <c r="AJ464">
        <v>8</v>
      </c>
      <c r="AK464">
        <v>0</v>
      </c>
      <c r="AL464">
        <v>1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-6.3866999999999994</v>
      </c>
      <c r="AV464">
        <v>8.1</v>
      </c>
      <c r="AW464">
        <v>877.35299999999995</v>
      </c>
      <c r="AY464">
        <v>966</v>
      </c>
      <c r="AZ464">
        <v>1017.5</v>
      </c>
      <c r="BA464">
        <v>15.3</v>
      </c>
      <c r="BD464" t="s">
        <v>108</v>
      </c>
    </row>
    <row r="465" spans="1:56" x14ac:dyDescent="0.3">
      <c r="A465">
        <v>10464</v>
      </c>
      <c r="B465">
        <v>1</v>
      </c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960</v>
      </c>
      <c r="AE465">
        <v>1</v>
      </c>
      <c r="AF465">
        <v>0</v>
      </c>
      <c r="AG465">
        <v>1</v>
      </c>
      <c r="AH465">
        <v>0</v>
      </c>
      <c r="AI465">
        <v>550</v>
      </c>
      <c r="AJ465">
        <v>8</v>
      </c>
      <c r="AK465">
        <v>0</v>
      </c>
      <c r="AL465">
        <v>1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-6.3866999999999994</v>
      </c>
      <c r="AV465">
        <v>8.1</v>
      </c>
      <c r="AW465">
        <v>877.35299999999995</v>
      </c>
      <c r="AY465">
        <v>893.5</v>
      </c>
      <c r="AZ465">
        <v>919.5</v>
      </c>
      <c r="BA465">
        <v>16.5</v>
      </c>
      <c r="BD465" t="s">
        <v>108</v>
      </c>
    </row>
    <row r="466" spans="1:56" x14ac:dyDescent="0.3">
      <c r="A466">
        <v>10465</v>
      </c>
      <c r="B466">
        <v>1</v>
      </c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960</v>
      </c>
      <c r="AE466">
        <v>1</v>
      </c>
      <c r="AF466">
        <v>0</v>
      </c>
      <c r="AG466">
        <v>1</v>
      </c>
      <c r="AH466">
        <v>0</v>
      </c>
      <c r="AI466">
        <v>620</v>
      </c>
      <c r="AJ466">
        <v>8</v>
      </c>
      <c r="AK466">
        <v>0</v>
      </c>
      <c r="AL466">
        <v>1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-6.3866999999999994</v>
      </c>
      <c r="AV466">
        <v>8.1</v>
      </c>
      <c r="AW466">
        <v>877.35299999999995</v>
      </c>
      <c r="AY466">
        <v>914</v>
      </c>
      <c r="AZ466">
        <v>929</v>
      </c>
      <c r="BA466">
        <v>16.3</v>
      </c>
      <c r="BD466" t="s">
        <v>108</v>
      </c>
    </row>
    <row r="467" spans="1:56" x14ac:dyDescent="0.3">
      <c r="A467">
        <v>10466</v>
      </c>
      <c r="B467">
        <v>1</v>
      </c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1010</v>
      </c>
      <c r="AE467">
        <v>1</v>
      </c>
      <c r="AF467">
        <v>1</v>
      </c>
      <c r="AG467">
        <v>0</v>
      </c>
      <c r="AH467">
        <v>0</v>
      </c>
      <c r="AI467">
        <v>580</v>
      </c>
      <c r="AJ467">
        <v>8</v>
      </c>
      <c r="AK467">
        <v>0</v>
      </c>
      <c r="AL467">
        <v>1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-6.3866999999999994</v>
      </c>
      <c r="AV467">
        <v>8.1</v>
      </c>
      <c r="AW467">
        <v>877.35299999999995</v>
      </c>
      <c r="AY467">
        <v>968.5</v>
      </c>
      <c r="AZ467">
        <v>1028.5</v>
      </c>
      <c r="BA467">
        <v>16.8</v>
      </c>
      <c r="BD467" t="s">
        <v>108</v>
      </c>
    </row>
    <row r="468" spans="1:56" x14ac:dyDescent="0.3">
      <c r="A468">
        <v>10467</v>
      </c>
      <c r="B468">
        <v>1</v>
      </c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1010</v>
      </c>
      <c r="AE468">
        <v>1</v>
      </c>
      <c r="AF468">
        <v>0</v>
      </c>
      <c r="AG468">
        <v>1</v>
      </c>
      <c r="AH468">
        <v>0</v>
      </c>
      <c r="AI468">
        <v>550</v>
      </c>
      <c r="AJ468">
        <v>8</v>
      </c>
      <c r="AK468">
        <v>0</v>
      </c>
      <c r="AL468">
        <v>1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-6.3866999999999994</v>
      </c>
      <c r="AV468">
        <v>8.1</v>
      </c>
      <c r="AW468">
        <v>877.35299999999995</v>
      </c>
      <c r="AY468">
        <v>879</v>
      </c>
      <c r="AZ468">
        <v>919.5</v>
      </c>
      <c r="BA468">
        <v>16.3</v>
      </c>
      <c r="BD468" t="s">
        <v>108</v>
      </c>
    </row>
    <row r="469" spans="1:56" x14ac:dyDescent="0.3">
      <c r="A469">
        <v>10468</v>
      </c>
      <c r="B469">
        <v>1</v>
      </c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1010</v>
      </c>
      <c r="AE469">
        <v>1</v>
      </c>
      <c r="AF469">
        <v>0</v>
      </c>
      <c r="AG469">
        <v>1</v>
      </c>
      <c r="AH469">
        <v>0</v>
      </c>
      <c r="AI469">
        <v>620</v>
      </c>
      <c r="AJ469">
        <v>8</v>
      </c>
      <c r="AK469">
        <v>0</v>
      </c>
      <c r="AL469">
        <v>1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-6.3866999999999994</v>
      </c>
      <c r="AV469">
        <v>8.1</v>
      </c>
      <c r="AW469">
        <v>877.35299999999995</v>
      </c>
      <c r="AY469">
        <v>912</v>
      </c>
      <c r="AZ469">
        <v>938.5</v>
      </c>
      <c r="BA469">
        <v>17.8</v>
      </c>
      <c r="BD469" t="s">
        <v>108</v>
      </c>
    </row>
    <row r="470" spans="1:56" x14ac:dyDescent="0.3">
      <c r="A470">
        <v>10469</v>
      </c>
      <c r="B470">
        <v>1</v>
      </c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1</v>
      </c>
      <c r="AA470">
        <v>0</v>
      </c>
      <c r="AB470">
        <v>0</v>
      </c>
      <c r="AC470">
        <v>0</v>
      </c>
      <c r="AD470">
        <v>910</v>
      </c>
      <c r="AE470">
        <v>1</v>
      </c>
      <c r="AF470">
        <v>0</v>
      </c>
      <c r="AG470">
        <v>1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-6.3866999999999994</v>
      </c>
      <c r="AV470">
        <v>8.1</v>
      </c>
      <c r="AW470">
        <v>877.35299999999995</v>
      </c>
      <c r="AY470">
        <v>827</v>
      </c>
      <c r="AZ470">
        <v>936</v>
      </c>
      <c r="BA470">
        <v>16.7</v>
      </c>
      <c r="BD470" t="s">
        <v>108</v>
      </c>
    </row>
    <row r="471" spans="1:56" x14ac:dyDescent="0.3">
      <c r="A471">
        <v>10470</v>
      </c>
      <c r="B471">
        <v>1</v>
      </c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910</v>
      </c>
      <c r="AE471">
        <v>2</v>
      </c>
      <c r="AF471">
        <v>0</v>
      </c>
      <c r="AG471">
        <v>1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-6.3866999999999994</v>
      </c>
      <c r="AV471">
        <v>8.1</v>
      </c>
      <c r="AW471">
        <v>877.35299999999995</v>
      </c>
      <c r="AY471">
        <v>810</v>
      </c>
      <c r="AZ471">
        <v>921</v>
      </c>
      <c r="BA471">
        <v>16.899999999999999</v>
      </c>
      <c r="BD471" t="s">
        <v>108</v>
      </c>
    </row>
    <row r="472" spans="1:56" x14ac:dyDescent="0.3">
      <c r="A472">
        <v>10471</v>
      </c>
      <c r="B472">
        <v>1</v>
      </c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910</v>
      </c>
      <c r="AE472">
        <v>3</v>
      </c>
      <c r="AF472">
        <v>0</v>
      </c>
      <c r="AG472">
        <v>1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-6.3866999999999994</v>
      </c>
      <c r="AV472">
        <v>8.1</v>
      </c>
      <c r="AW472">
        <v>877.35299999999995</v>
      </c>
      <c r="AY472">
        <v>823</v>
      </c>
      <c r="AZ472">
        <v>910</v>
      </c>
      <c r="BA472">
        <v>16.399999999999999</v>
      </c>
      <c r="BD472" t="s">
        <v>108</v>
      </c>
    </row>
    <row r="473" spans="1:56" x14ac:dyDescent="0.3">
      <c r="A473">
        <v>10472</v>
      </c>
      <c r="B473">
        <v>1</v>
      </c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910</v>
      </c>
      <c r="AE473">
        <v>4</v>
      </c>
      <c r="AF473">
        <v>0</v>
      </c>
      <c r="AG473">
        <v>1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-6.3866999999999994</v>
      </c>
      <c r="AV473">
        <v>8.1</v>
      </c>
      <c r="AW473">
        <v>877.35299999999995</v>
      </c>
      <c r="AY473">
        <v>826</v>
      </c>
      <c r="AZ473">
        <v>913</v>
      </c>
      <c r="BA473">
        <v>19.100000000000001</v>
      </c>
      <c r="BD473" t="s">
        <v>108</v>
      </c>
    </row>
    <row r="474" spans="1:56" x14ac:dyDescent="0.3">
      <c r="A474">
        <v>10473</v>
      </c>
      <c r="B474">
        <v>1</v>
      </c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910</v>
      </c>
      <c r="AE474">
        <v>5</v>
      </c>
      <c r="AF474">
        <v>0</v>
      </c>
      <c r="AG474">
        <v>1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-6.3866999999999994</v>
      </c>
      <c r="AV474">
        <v>8.1</v>
      </c>
      <c r="AW474">
        <v>877.35299999999995</v>
      </c>
      <c r="AY474">
        <v>806</v>
      </c>
      <c r="AZ474">
        <v>890</v>
      </c>
      <c r="BA474">
        <v>17.399999999999999</v>
      </c>
      <c r="BD474" t="s">
        <v>108</v>
      </c>
    </row>
    <row r="475" spans="1:56" x14ac:dyDescent="0.3">
      <c r="A475">
        <v>10474</v>
      </c>
      <c r="B475">
        <v>1</v>
      </c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910</v>
      </c>
      <c r="AE475">
        <v>6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-6.3866999999999994</v>
      </c>
      <c r="AV475">
        <v>8.1</v>
      </c>
      <c r="AW475">
        <v>877.35299999999995</v>
      </c>
      <c r="AY475">
        <v>833</v>
      </c>
      <c r="AZ475">
        <v>906</v>
      </c>
      <c r="BA475">
        <v>21.1</v>
      </c>
      <c r="BD475" t="s">
        <v>108</v>
      </c>
    </row>
    <row r="476" spans="1:56" x14ac:dyDescent="0.3">
      <c r="A476">
        <v>10475</v>
      </c>
      <c r="B476">
        <v>1</v>
      </c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820</v>
      </c>
      <c r="AE476">
        <v>2</v>
      </c>
      <c r="AF476">
        <v>0</v>
      </c>
      <c r="AG476">
        <v>1</v>
      </c>
      <c r="AH476">
        <v>0</v>
      </c>
      <c r="AI476">
        <v>560</v>
      </c>
      <c r="AJ476">
        <v>6</v>
      </c>
      <c r="AK476">
        <v>0</v>
      </c>
      <c r="AL476">
        <v>1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4.4480000000000004</v>
      </c>
      <c r="AV476">
        <v>3.3</v>
      </c>
      <c r="AW476">
        <v>791.41</v>
      </c>
      <c r="AY476">
        <v>924.68</v>
      </c>
      <c r="AZ476">
        <v>961.72</v>
      </c>
      <c r="BA476">
        <v>21.72</v>
      </c>
      <c r="BD476" t="s">
        <v>108</v>
      </c>
    </row>
    <row r="477" spans="1:56" x14ac:dyDescent="0.3">
      <c r="A477">
        <v>10476</v>
      </c>
      <c r="B477">
        <v>1</v>
      </c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0</v>
      </c>
      <c r="AD477">
        <v>820</v>
      </c>
      <c r="AE477">
        <v>3</v>
      </c>
      <c r="AF477">
        <v>0</v>
      </c>
      <c r="AG477">
        <v>1</v>
      </c>
      <c r="AH477">
        <v>0</v>
      </c>
      <c r="AI477">
        <v>560</v>
      </c>
      <c r="AJ477">
        <v>7</v>
      </c>
      <c r="AK477">
        <v>0</v>
      </c>
      <c r="AL477">
        <v>1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4.4480000000000004</v>
      </c>
      <c r="AV477">
        <v>3.3</v>
      </c>
      <c r="AW477">
        <v>791.41</v>
      </c>
      <c r="AY477">
        <v>914.02</v>
      </c>
      <c r="AZ477">
        <v>961.51</v>
      </c>
      <c r="BA477">
        <v>23.11</v>
      </c>
      <c r="BC477" t="s">
        <v>348</v>
      </c>
      <c r="BD477" t="s">
        <v>108</v>
      </c>
    </row>
    <row r="478" spans="1:56" x14ac:dyDescent="0.3">
      <c r="A478">
        <v>10477</v>
      </c>
      <c r="B478">
        <v>1</v>
      </c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1</v>
      </c>
      <c r="W478">
        <v>0</v>
      </c>
      <c r="X478">
        <v>0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820</v>
      </c>
      <c r="AE478">
        <v>4</v>
      </c>
      <c r="AF478">
        <v>0</v>
      </c>
      <c r="AG478">
        <v>1</v>
      </c>
      <c r="AH478">
        <v>0</v>
      </c>
      <c r="AI478">
        <v>560</v>
      </c>
      <c r="AJ478">
        <v>8</v>
      </c>
      <c r="AK478">
        <v>0</v>
      </c>
      <c r="AL478">
        <v>1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4.4480000000000004</v>
      </c>
      <c r="AV478">
        <v>3.3</v>
      </c>
      <c r="AW478">
        <v>791.41</v>
      </c>
      <c r="AY478">
        <v>958.99</v>
      </c>
      <c r="AZ478">
        <v>998.15</v>
      </c>
      <c r="BA478">
        <v>23.45</v>
      </c>
      <c r="BC478" t="s">
        <v>348</v>
      </c>
      <c r="BD478" t="s">
        <v>108</v>
      </c>
    </row>
    <row r="479" spans="1:56" x14ac:dyDescent="0.3">
      <c r="A479">
        <v>10478</v>
      </c>
      <c r="B479">
        <v>1</v>
      </c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0</v>
      </c>
      <c r="AD479">
        <v>820</v>
      </c>
      <c r="AE479">
        <v>5</v>
      </c>
      <c r="AF479">
        <v>0</v>
      </c>
      <c r="AG479">
        <v>1</v>
      </c>
      <c r="AH479">
        <v>0</v>
      </c>
      <c r="AI479">
        <v>560</v>
      </c>
      <c r="AJ479">
        <v>9</v>
      </c>
      <c r="AK479">
        <v>0</v>
      </c>
      <c r="AL479">
        <v>1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4.4480000000000004</v>
      </c>
      <c r="AV479">
        <v>3.3</v>
      </c>
      <c r="AW479">
        <v>791.41</v>
      </c>
      <c r="AY479">
        <v>952.78</v>
      </c>
      <c r="AZ479">
        <v>987.01</v>
      </c>
      <c r="BA479">
        <v>23.35</v>
      </c>
      <c r="BC479" t="s">
        <v>348</v>
      </c>
      <c r="BD479" t="s">
        <v>108</v>
      </c>
    </row>
    <row r="480" spans="1:56" x14ac:dyDescent="0.3">
      <c r="A480">
        <v>10479</v>
      </c>
      <c r="B480">
        <v>1</v>
      </c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1</v>
      </c>
      <c r="W480">
        <v>0</v>
      </c>
      <c r="X480">
        <v>0</v>
      </c>
      <c r="Y480">
        <v>0</v>
      </c>
      <c r="Z480">
        <v>1</v>
      </c>
      <c r="AA480">
        <v>0</v>
      </c>
      <c r="AB480">
        <v>0</v>
      </c>
      <c r="AC480">
        <v>0</v>
      </c>
      <c r="AD480">
        <v>820</v>
      </c>
      <c r="AE480">
        <v>6</v>
      </c>
      <c r="AF480">
        <v>0</v>
      </c>
      <c r="AG480">
        <v>1</v>
      </c>
      <c r="AH480">
        <v>0</v>
      </c>
      <c r="AI480">
        <v>560</v>
      </c>
      <c r="AJ480">
        <v>10</v>
      </c>
      <c r="AK480">
        <v>0</v>
      </c>
      <c r="AL480">
        <v>1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4.4480000000000004</v>
      </c>
      <c r="AV480">
        <v>3.3</v>
      </c>
      <c r="AW480">
        <v>791.41</v>
      </c>
      <c r="AY480">
        <v>950.16</v>
      </c>
      <c r="AZ480">
        <v>980.21</v>
      </c>
      <c r="BA480">
        <v>23.3</v>
      </c>
      <c r="BC480" t="s">
        <v>348</v>
      </c>
      <c r="BD480" t="s">
        <v>108</v>
      </c>
    </row>
    <row r="481" spans="1:56" x14ac:dyDescent="0.3">
      <c r="A481">
        <v>10480</v>
      </c>
      <c r="B481">
        <v>1</v>
      </c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0</v>
      </c>
      <c r="X481">
        <v>0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820</v>
      </c>
      <c r="AE481">
        <v>7</v>
      </c>
      <c r="AF481">
        <v>0</v>
      </c>
      <c r="AG481">
        <v>1</v>
      </c>
      <c r="AH481">
        <v>0</v>
      </c>
      <c r="AI481">
        <v>580</v>
      </c>
      <c r="AJ481">
        <v>6</v>
      </c>
      <c r="AK481">
        <v>0</v>
      </c>
      <c r="AL481">
        <v>1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4.4480000000000004</v>
      </c>
      <c r="AV481">
        <v>3.3</v>
      </c>
      <c r="AW481">
        <v>791.41</v>
      </c>
      <c r="AY481">
        <v>891.24</v>
      </c>
      <c r="AZ481">
        <v>930.25</v>
      </c>
      <c r="BA481">
        <v>22.59</v>
      </c>
      <c r="BC481" t="s">
        <v>348</v>
      </c>
      <c r="BD481" t="s">
        <v>108</v>
      </c>
    </row>
    <row r="482" spans="1:56" x14ac:dyDescent="0.3">
      <c r="A482">
        <v>10481</v>
      </c>
      <c r="B482">
        <v>1</v>
      </c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820</v>
      </c>
      <c r="AE482">
        <v>8</v>
      </c>
      <c r="AF482">
        <v>0</v>
      </c>
      <c r="AG482">
        <v>1</v>
      </c>
      <c r="AH482">
        <v>0</v>
      </c>
      <c r="AI482">
        <v>580</v>
      </c>
      <c r="AJ482">
        <v>7</v>
      </c>
      <c r="AK482">
        <v>0</v>
      </c>
      <c r="AL482">
        <v>1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4.4480000000000004</v>
      </c>
      <c r="AV482">
        <v>3.3</v>
      </c>
      <c r="AW482">
        <v>791.41</v>
      </c>
      <c r="AY482">
        <v>889.85</v>
      </c>
      <c r="AZ482">
        <v>931.47</v>
      </c>
      <c r="BA482">
        <v>22.88</v>
      </c>
      <c r="BD482" t="s">
        <v>108</v>
      </c>
    </row>
    <row r="483" spans="1:56" x14ac:dyDescent="0.3">
      <c r="A483">
        <v>10482</v>
      </c>
      <c r="B483">
        <v>1</v>
      </c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1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820</v>
      </c>
      <c r="AE483">
        <v>9</v>
      </c>
      <c r="AF483">
        <v>0</v>
      </c>
      <c r="AG483">
        <v>1</v>
      </c>
      <c r="AH483">
        <v>0</v>
      </c>
      <c r="AI483">
        <v>580</v>
      </c>
      <c r="AJ483">
        <v>8</v>
      </c>
      <c r="AK483">
        <v>0</v>
      </c>
      <c r="AL483">
        <v>1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4.4480000000000004</v>
      </c>
      <c r="AV483">
        <v>3.3</v>
      </c>
      <c r="AW483">
        <v>791.41</v>
      </c>
      <c r="AY483">
        <v>972.03</v>
      </c>
      <c r="AZ483">
        <v>1007.3</v>
      </c>
      <c r="BA483">
        <v>24.25</v>
      </c>
      <c r="BD483" t="s">
        <v>108</v>
      </c>
    </row>
    <row r="484" spans="1:56" x14ac:dyDescent="0.3">
      <c r="A484">
        <v>10483</v>
      </c>
      <c r="B484">
        <v>1</v>
      </c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820</v>
      </c>
      <c r="AE484">
        <v>10</v>
      </c>
      <c r="AF484">
        <v>0</v>
      </c>
      <c r="AG484">
        <v>1</v>
      </c>
      <c r="AH484">
        <v>0</v>
      </c>
      <c r="AI484">
        <v>580</v>
      </c>
      <c r="AJ484">
        <v>9</v>
      </c>
      <c r="AK484">
        <v>0</v>
      </c>
      <c r="AL484">
        <v>1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4.4480000000000004</v>
      </c>
      <c r="AV484">
        <v>3.3</v>
      </c>
      <c r="AW484">
        <v>791.41</v>
      </c>
      <c r="AY484">
        <v>944.57</v>
      </c>
      <c r="AZ484">
        <v>977.95</v>
      </c>
      <c r="BA484">
        <v>24.05</v>
      </c>
      <c r="BD484" t="s">
        <v>108</v>
      </c>
    </row>
    <row r="485" spans="1:56" x14ac:dyDescent="0.3">
      <c r="A485">
        <v>10484</v>
      </c>
      <c r="B485">
        <v>1</v>
      </c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1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820</v>
      </c>
      <c r="AE485">
        <v>11</v>
      </c>
      <c r="AF485">
        <v>0</v>
      </c>
      <c r="AG485">
        <v>1</v>
      </c>
      <c r="AH485">
        <v>0</v>
      </c>
      <c r="AI485">
        <v>580</v>
      </c>
      <c r="AJ485">
        <v>10</v>
      </c>
      <c r="AK485">
        <v>0</v>
      </c>
      <c r="AL485">
        <v>1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4.4480000000000004</v>
      </c>
      <c r="AV485">
        <v>3.3</v>
      </c>
      <c r="AW485">
        <v>791.41</v>
      </c>
      <c r="AY485">
        <v>943.38</v>
      </c>
      <c r="AZ485">
        <v>974.97</v>
      </c>
      <c r="BA485">
        <v>24.01</v>
      </c>
      <c r="BD485" t="s">
        <v>108</v>
      </c>
    </row>
    <row r="486" spans="1:56" x14ac:dyDescent="0.3">
      <c r="A486">
        <v>10485</v>
      </c>
      <c r="B486">
        <v>1</v>
      </c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820</v>
      </c>
      <c r="AE486">
        <v>12</v>
      </c>
      <c r="AF486">
        <v>0</v>
      </c>
      <c r="AG486">
        <v>1</v>
      </c>
      <c r="AH486">
        <v>0</v>
      </c>
      <c r="AI486">
        <v>600</v>
      </c>
      <c r="AJ486">
        <v>6</v>
      </c>
      <c r="AK486">
        <v>0</v>
      </c>
      <c r="AL486">
        <v>1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4.4480000000000004</v>
      </c>
      <c r="AV486">
        <v>3.3</v>
      </c>
      <c r="AW486">
        <v>791.41</v>
      </c>
      <c r="AY486">
        <v>873.54</v>
      </c>
      <c r="AZ486">
        <v>913.02</v>
      </c>
      <c r="BA486">
        <v>25.34</v>
      </c>
      <c r="BD486" t="s">
        <v>108</v>
      </c>
    </row>
    <row r="487" spans="1:56" x14ac:dyDescent="0.3">
      <c r="A487">
        <v>10486</v>
      </c>
      <c r="B487">
        <v>1</v>
      </c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820</v>
      </c>
      <c r="AE487">
        <v>13</v>
      </c>
      <c r="AF487">
        <v>0</v>
      </c>
      <c r="AG487">
        <v>1</v>
      </c>
      <c r="AH487">
        <v>0</v>
      </c>
      <c r="AI487">
        <v>600</v>
      </c>
      <c r="AJ487">
        <v>7</v>
      </c>
      <c r="AK487">
        <v>0</v>
      </c>
      <c r="AL487">
        <v>1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4.4480000000000004</v>
      </c>
      <c r="AV487">
        <v>3.3</v>
      </c>
      <c r="AW487">
        <v>791.41</v>
      </c>
      <c r="AY487">
        <v>882.35</v>
      </c>
      <c r="AZ487">
        <v>917.65</v>
      </c>
      <c r="BA487">
        <v>25.51</v>
      </c>
      <c r="BD487" t="s">
        <v>108</v>
      </c>
    </row>
    <row r="488" spans="1:56" x14ac:dyDescent="0.3">
      <c r="A488">
        <v>10487</v>
      </c>
      <c r="B488">
        <v>1</v>
      </c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1</v>
      </c>
      <c r="AA488">
        <v>0</v>
      </c>
      <c r="AB488">
        <v>0</v>
      </c>
      <c r="AC488">
        <v>0</v>
      </c>
      <c r="AD488">
        <v>820</v>
      </c>
      <c r="AE488">
        <v>14</v>
      </c>
      <c r="AF488">
        <v>0</v>
      </c>
      <c r="AG488">
        <v>1</v>
      </c>
      <c r="AH488">
        <v>0</v>
      </c>
      <c r="AI488">
        <v>600</v>
      </c>
      <c r="AJ488">
        <v>8</v>
      </c>
      <c r="AK488">
        <v>0</v>
      </c>
      <c r="AL488">
        <v>1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4.4480000000000004</v>
      </c>
      <c r="AV488">
        <v>3.3</v>
      </c>
      <c r="AW488">
        <v>791.41</v>
      </c>
      <c r="AY488">
        <v>934.69</v>
      </c>
      <c r="AZ488">
        <v>970.81</v>
      </c>
      <c r="BA488">
        <v>25</v>
      </c>
      <c r="BD488" t="s">
        <v>108</v>
      </c>
    </row>
    <row r="489" spans="1:56" x14ac:dyDescent="0.3">
      <c r="A489">
        <v>10488</v>
      </c>
      <c r="B489">
        <v>1</v>
      </c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1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820</v>
      </c>
      <c r="AE489">
        <v>15</v>
      </c>
      <c r="AF489">
        <v>0</v>
      </c>
      <c r="AG489">
        <v>1</v>
      </c>
      <c r="AH489">
        <v>0</v>
      </c>
      <c r="AI489">
        <v>600</v>
      </c>
      <c r="AJ489">
        <v>9</v>
      </c>
      <c r="AK489">
        <v>0</v>
      </c>
      <c r="AL489">
        <v>1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4.4480000000000004</v>
      </c>
      <c r="AV489">
        <v>3.3</v>
      </c>
      <c r="AW489">
        <v>791.41</v>
      </c>
      <c r="AY489">
        <v>928.66</v>
      </c>
      <c r="AZ489">
        <v>958.4</v>
      </c>
      <c r="BA489">
        <v>24.95</v>
      </c>
      <c r="BD489" t="s">
        <v>108</v>
      </c>
    </row>
    <row r="490" spans="1:56" x14ac:dyDescent="0.3">
      <c r="A490">
        <v>10489</v>
      </c>
      <c r="B490">
        <v>1</v>
      </c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X490">
        <v>0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820</v>
      </c>
      <c r="AE490">
        <v>16</v>
      </c>
      <c r="AF490">
        <v>0</v>
      </c>
      <c r="AG490">
        <v>1</v>
      </c>
      <c r="AH490">
        <v>0</v>
      </c>
      <c r="AI490">
        <v>600</v>
      </c>
      <c r="AJ490">
        <v>10</v>
      </c>
      <c r="AK490">
        <v>0</v>
      </c>
      <c r="AL490">
        <v>1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4.4480000000000004</v>
      </c>
      <c r="AV490">
        <v>3.3</v>
      </c>
      <c r="AW490">
        <v>791.41</v>
      </c>
      <c r="AY490">
        <v>923.96</v>
      </c>
      <c r="AZ490">
        <v>951</v>
      </c>
      <c r="BA490">
        <v>24.7</v>
      </c>
      <c r="BD490" t="s">
        <v>108</v>
      </c>
    </row>
    <row r="491" spans="1:56" x14ac:dyDescent="0.3">
      <c r="A491">
        <v>10490</v>
      </c>
      <c r="B491">
        <v>1</v>
      </c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4.4480000000000004</v>
      </c>
      <c r="AV491">
        <v>3.3</v>
      </c>
      <c r="AW491">
        <v>791.41</v>
      </c>
      <c r="AY491">
        <v>860.43</v>
      </c>
      <c r="AZ491">
        <v>886.97</v>
      </c>
      <c r="BA491">
        <v>18.760000000000002</v>
      </c>
      <c r="BD491" t="s">
        <v>108</v>
      </c>
    </row>
    <row r="492" spans="1:56" x14ac:dyDescent="0.3">
      <c r="A492">
        <v>10491</v>
      </c>
      <c r="B492">
        <v>1</v>
      </c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1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0</v>
      </c>
      <c r="AD492">
        <v>780</v>
      </c>
      <c r="AE492">
        <v>3</v>
      </c>
      <c r="AF492">
        <v>0</v>
      </c>
      <c r="AG492">
        <v>0</v>
      </c>
      <c r="AH492">
        <v>1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4.4480000000000004</v>
      </c>
      <c r="AV492">
        <v>3.3</v>
      </c>
      <c r="AW492">
        <v>791.41</v>
      </c>
      <c r="AY492">
        <v>837.43</v>
      </c>
      <c r="AZ492">
        <v>847.12</v>
      </c>
      <c r="BA492">
        <v>26.2</v>
      </c>
      <c r="BD492" t="s">
        <v>108</v>
      </c>
    </row>
    <row r="493" spans="1:56" x14ac:dyDescent="0.3">
      <c r="A493">
        <v>10492</v>
      </c>
      <c r="B493">
        <v>1</v>
      </c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800</v>
      </c>
      <c r="AE493">
        <v>3</v>
      </c>
      <c r="AF493">
        <v>0</v>
      </c>
      <c r="AG493">
        <v>0</v>
      </c>
      <c r="AH493">
        <v>1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4.4480000000000004</v>
      </c>
      <c r="AV493">
        <v>3.3</v>
      </c>
      <c r="AW493">
        <v>791.41</v>
      </c>
      <c r="AY493">
        <v>831.94</v>
      </c>
      <c r="AZ493">
        <v>842.85</v>
      </c>
      <c r="BA493">
        <v>25.04</v>
      </c>
      <c r="BD493" t="s">
        <v>108</v>
      </c>
    </row>
    <row r="494" spans="1:56" x14ac:dyDescent="0.3">
      <c r="A494">
        <v>10493</v>
      </c>
      <c r="B494">
        <v>1</v>
      </c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820</v>
      </c>
      <c r="AE494">
        <v>3</v>
      </c>
      <c r="AF494">
        <v>0</v>
      </c>
      <c r="AG494">
        <v>0</v>
      </c>
      <c r="AH494">
        <v>1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4.4480000000000004</v>
      </c>
      <c r="AV494">
        <v>3.3</v>
      </c>
      <c r="AW494">
        <v>791.41</v>
      </c>
      <c r="AY494">
        <v>827.81</v>
      </c>
      <c r="AZ494">
        <v>844.02</v>
      </c>
      <c r="BA494">
        <v>23.74</v>
      </c>
      <c r="BD494" t="s">
        <v>108</v>
      </c>
    </row>
    <row r="495" spans="1:56" x14ac:dyDescent="0.3">
      <c r="A495">
        <v>10494</v>
      </c>
      <c r="B495">
        <v>1</v>
      </c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840</v>
      </c>
      <c r="AE495">
        <v>3</v>
      </c>
      <c r="AF495">
        <v>0</v>
      </c>
      <c r="AG495">
        <v>0</v>
      </c>
      <c r="AH495">
        <v>1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4.4480000000000004</v>
      </c>
      <c r="AV495">
        <v>3.3</v>
      </c>
      <c r="AW495">
        <v>791.41</v>
      </c>
      <c r="AY495">
        <v>823.06</v>
      </c>
      <c r="AZ495">
        <v>857.7</v>
      </c>
      <c r="BA495">
        <v>23.6</v>
      </c>
      <c r="BD495" t="s">
        <v>108</v>
      </c>
    </row>
    <row r="496" spans="1:56" x14ac:dyDescent="0.3">
      <c r="A496">
        <v>10495</v>
      </c>
      <c r="B496">
        <v>1</v>
      </c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1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860</v>
      </c>
      <c r="AE496">
        <v>3</v>
      </c>
      <c r="AF496">
        <v>0</v>
      </c>
      <c r="AG496">
        <v>0</v>
      </c>
      <c r="AH496">
        <v>1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4.4480000000000004</v>
      </c>
      <c r="AV496">
        <v>3.3</v>
      </c>
      <c r="AW496">
        <v>791.41</v>
      </c>
      <c r="AY496">
        <v>819.11</v>
      </c>
      <c r="AZ496">
        <v>880.98</v>
      </c>
      <c r="BA496">
        <v>22.54</v>
      </c>
      <c r="BD496" t="s">
        <v>108</v>
      </c>
    </row>
    <row r="497" spans="1:56" x14ac:dyDescent="0.3">
      <c r="A497">
        <v>10496</v>
      </c>
      <c r="B497">
        <v>1</v>
      </c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880</v>
      </c>
      <c r="AE497">
        <v>3</v>
      </c>
      <c r="AF497">
        <v>0</v>
      </c>
      <c r="AG497">
        <v>0</v>
      </c>
      <c r="AH497">
        <v>1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4.4480000000000004</v>
      </c>
      <c r="AV497">
        <v>3.3</v>
      </c>
      <c r="AW497">
        <v>791.41</v>
      </c>
      <c r="AY497">
        <v>791.11</v>
      </c>
      <c r="AZ497">
        <v>878.6</v>
      </c>
      <c r="BA497">
        <v>18.920000000000002</v>
      </c>
      <c r="BD497" t="s">
        <v>108</v>
      </c>
    </row>
    <row r="498" spans="1:56" x14ac:dyDescent="0.3">
      <c r="A498">
        <v>10497</v>
      </c>
      <c r="B498">
        <v>1</v>
      </c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X498">
        <v>0</v>
      </c>
      <c r="Y498">
        <v>0</v>
      </c>
      <c r="Z498">
        <v>1</v>
      </c>
      <c r="AA498">
        <v>0</v>
      </c>
      <c r="AB498">
        <v>0</v>
      </c>
      <c r="AC498">
        <v>0</v>
      </c>
      <c r="AD498">
        <v>760</v>
      </c>
      <c r="AE498">
        <v>2</v>
      </c>
      <c r="AF498">
        <v>1</v>
      </c>
      <c r="AG498">
        <v>0</v>
      </c>
      <c r="AH498">
        <v>0</v>
      </c>
      <c r="AI498">
        <v>520</v>
      </c>
      <c r="AJ498">
        <v>8.5</v>
      </c>
      <c r="AK498">
        <v>0</v>
      </c>
      <c r="AL498">
        <v>1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9.5</v>
      </c>
      <c r="AV498">
        <v>3</v>
      </c>
      <c r="AW498">
        <v>739.5</v>
      </c>
      <c r="AZ498">
        <v>1265</v>
      </c>
      <c r="BA498">
        <v>12.18</v>
      </c>
      <c r="BD498" t="s">
        <v>125</v>
      </c>
    </row>
    <row r="499" spans="1:56" x14ac:dyDescent="0.3">
      <c r="A499">
        <v>10498</v>
      </c>
      <c r="B499">
        <v>1</v>
      </c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1</v>
      </c>
      <c r="W499">
        <v>0</v>
      </c>
      <c r="X499">
        <v>0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760</v>
      </c>
      <c r="AE499">
        <v>2</v>
      </c>
      <c r="AF499">
        <v>1</v>
      </c>
      <c r="AG499">
        <v>0</v>
      </c>
      <c r="AH499">
        <v>0</v>
      </c>
      <c r="AI499">
        <v>530</v>
      </c>
      <c r="AJ499">
        <v>8.5</v>
      </c>
      <c r="AK499">
        <v>0</v>
      </c>
      <c r="AL499">
        <v>1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9.5</v>
      </c>
      <c r="AV499">
        <v>3</v>
      </c>
      <c r="AW499">
        <v>739.5</v>
      </c>
      <c r="AZ499">
        <v>1186</v>
      </c>
      <c r="BA499">
        <v>13.18</v>
      </c>
      <c r="BD499" t="s">
        <v>125</v>
      </c>
    </row>
    <row r="500" spans="1:56" x14ac:dyDescent="0.3">
      <c r="A500">
        <v>10499</v>
      </c>
      <c r="B500">
        <v>1</v>
      </c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1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760</v>
      </c>
      <c r="AE500">
        <v>2</v>
      </c>
      <c r="AF500">
        <v>1</v>
      </c>
      <c r="AG500">
        <v>0</v>
      </c>
      <c r="AH500">
        <v>0</v>
      </c>
      <c r="AI500">
        <v>540</v>
      </c>
      <c r="AJ500">
        <v>8.5</v>
      </c>
      <c r="AK500">
        <v>0</v>
      </c>
      <c r="AL500">
        <v>1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9.5</v>
      </c>
      <c r="AV500">
        <v>3</v>
      </c>
      <c r="AW500">
        <v>739.5</v>
      </c>
      <c r="AZ500">
        <v>1172</v>
      </c>
      <c r="BA500">
        <v>14.19</v>
      </c>
      <c r="BD500" t="s">
        <v>125</v>
      </c>
    </row>
    <row r="501" spans="1:56" x14ac:dyDescent="0.3">
      <c r="A501">
        <v>10500</v>
      </c>
      <c r="B501">
        <v>1</v>
      </c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1</v>
      </c>
      <c r="W501">
        <v>0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775</v>
      </c>
      <c r="AE501">
        <v>2</v>
      </c>
      <c r="AF501">
        <v>1</v>
      </c>
      <c r="AG501">
        <v>0</v>
      </c>
      <c r="AH501">
        <v>0</v>
      </c>
      <c r="AI501">
        <v>530</v>
      </c>
      <c r="AJ501">
        <v>8.5</v>
      </c>
      <c r="AK501">
        <v>0</v>
      </c>
      <c r="AL501">
        <v>1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9.5</v>
      </c>
      <c r="AV501">
        <v>3</v>
      </c>
      <c r="AW501">
        <v>739.5</v>
      </c>
      <c r="AZ501">
        <v>1204</v>
      </c>
      <c r="BA501">
        <v>13.18</v>
      </c>
      <c r="BD501" t="s">
        <v>125</v>
      </c>
    </row>
    <row r="502" spans="1:56" x14ac:dyDescent="0.3">
      <c r="A502">
        <v>10501</v>
      </c>
      <c r="B502">
        <v>1</v>
      </c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1</v>
      </c>
      <c r="X502">
        <v>0</v>
      </c>
      <c r="Y502">
        <v>0</v>
      </c>
      <c r="Z502">
        <v>0</v>
      </c>
      <c r="AA502">
        <v>1</v>
      </c>
      <c r="AB502">
        <v>0</v>
      </c>
      <c r="AC502">
        <v>0</v>
      </c>
      <c r="AD502">
        <v>850</v>
      </c>
      <c r="AE502">
        <v>1</v>
      </c>
      <c r="AF502">
        <v>0</v>
      </c>
      <c r="AG502">
        <v>0</v>
      </c>
      <c r="AH502">
        <v>0</v>
      </c>
      <c r="AI502">
        <v>500</v>
      </c>
      <c r="AJ502">
        <v>8</v>
      </c>
      <c r="AK502">
        <v>0</v>
      </c>
      <c r="AL502">
        <v>1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0.5</v>
      </c>
      <c r="AV502">
        <v>5.25</v>
      </c>
      <c r="AW502">
        <v>800.67499999999995</v>
      </c>
      <c r="AY502">
        <v>1131</v>
      </c>
      <c r="AZ502">
        <v>1189</v>
      </c>
      <c r="BA502">
        <v>15.5</v>
      </c>
      <c r="BC502" t="s">
        <v>349</v>
      </c>
      <c r="BD502" t="s">
        <v>128</v>
      </c>
    </row>
    <row r="503" spans="1:56" x14ac:dyDescent="0.3">
      <c r="A503">
        <v>10502</v>
      </c>
      <c r="B503">
        <v>1</v>
      </c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1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940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0.5</v>
      </c>
      <c r="AV503">
        <v>5.25</v>
      </c>
      <c r="AW503">
        <v>800.67499999999995</v>
      </c>
      <c r="AY503">
        <v>912</v>
      </c>
      <c r="AZ503">
        <v>970</v>
      </c>
      <c r="BA503">
        <v>13.2</v>
      </c>
      <c r="BC503" t="s">
        <v>349</v>
      </c>
      <c r="BD503" t="s">
        <v>128</v>
      </c>
    </row>
    <row r="504" spans="1:56" x14ac:dyDescent="0.3">
      <c r="A504">
        <v>10503</v>
      </c>
      <c r="B504">
        <v>1</v>
      </c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0</v>
      </c>
      <c r="Y504">
        <v>0</v>
      </c>
      <c r="Z504">
        <v>1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-3.1981999999999995</v>
      </c>
      <c r="AV504">
        <v>6.05</v>
      </c>
      <c r="AW504">
        <v>846.26300000000003</v>
      </c>
      <c r="AY504">
        <v>851</v>
      </c>
      <c r="AZ504">
        <v>932</v>
      </c>
      <c r="BA504">
        <v>16.2</v>
      </c>
      <c r="BD504" t="s">
        <v>129</v>
      </c>
    </row>
    <row r="505" spans="1:56" x14ac:dyDescent="0.3">
      <c r="A505">
        <v>10504</v>
      </c>
      <c r="B505">
        <v>1</v>
      </c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0</v>
      </c>
      <c r="Y505">
        <v>0</v>
      </c>
      <c r="Z505">
        <v>1</v>
      </c>
      <c r="AA505">
        <v>0</v>
      </c>
      <c r="AB505">
        <v>0</v>
      </c>
      <c r="AC505">
        <v>0</v>
      </c>
      <c r="AD505">
        <v>930</v>
      </c>
      <c r="AE505">
        <v>1</v>
      </c>
      <c r="AF505">
        <v>0</v>
      </c>
      <c r="AG505">
        <v>1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-3.1981999999999995</v>
      </c>
      <c r="AV505">
        <v>6.05</v>
      </c>
      <c r="AW505">
        <v>846.26300000000003</v>
      </c>
      <c r="AY505">
        <v>903</v>
      </c>
      <c r="AZ505">
        <v>978</v>
      </c>
      <c r="BA505">
        <v>15.5</v>
      </c>
      <c r="BD505" t="s">
        <v>129</v>
      </c>
    </row>
    <row r="506" spans="1:56" x14ac:dyDescent="0.3">
      <c r="A506">
        <v>10505</v>
      </c>
      <c r="B506">
        <v>1</v>
      </c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1</v>
      </c>
      <c r="W506">
        <v>0</v>
      </c>
      <c r="X506">
        <v>0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700</v>
      </c>
      <c r="AE506">
        <v>6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18.86</v>
      </c>
      <c r="AV506">
        <v>1</v>
      </c>
      <c r="AW506">
        <v>712.7</v>
      </c>
      <c r="AY506">
        <v>946</v>
      </c>
      <c r="AZ506">
        <v>1000</v>
      </c>
      <c r="BA506">
        <v>13.4</v>
      </c>
      <c r="BD506" t="s">
        <v>108</v>
      </c>
    </row>
    <row r="507" spans="1:56" x14ac:dyDescent="0.3">
      <c r="A507">
        <v>10506</v>
      </c>
      <c r="B507">
        <v>1</v>
      </c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780</v>
      </c>
      <c r="AE507">
        <v>1</v>
      </c>
      <c r="AF507">
        <v>1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18.86</v>
      </c>
      <c r="AV507">
        <v>1</v>
      </c>
      <c r="AW507">
        <v>712.7</v>
      </c>
      <c r="AY507">
        <v>1262</v>
      </c>
      <c r="AZ507">
        <v>1287</v>
      </c>
      <c r="BA507">
        <v>3.9</v>
      </c>
      <c r="BD507" t="s">
        <v>108</v>
      </c>
    </row>
    <row r="508" spans="1:56" x14ac:dyDescent="0.3">
      <c r="A508">
        <v>10507</v>
      </c>
      <c r="B508">
        <v>1</v>
      </c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1</v>
      </c>
      <c r="W508">
        <v>0</v>
      </c>
      <c r="X508">
        <v>0</v>
      </c>
      <c r="Y508">
        <v>0</v>
      </c>
      <c r="Z508">
        <v>1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-2.3315000000000001</v>
      </c>
      <c r="AV508">
        <v>5.58</v>
      </c>
      <c r="AW508">
        <v>847.20799999999997</v>
      </c>
      <c r="AY508">
        <v>952.7</v>
      </c>
      <c r="AZ508">
        <v>1009</v>
      </c>
      <c r="BA508">
        <v>9.3000000000000007</v>
      </c>
      <c r="BD508" t="s">
        <v>130</v>
      </c>
    </row>
    <row r="509" spans="1:56" x14ac:dyDescent="0.3">
      <c r="A509">
        <v>10508</v>
      </c>
      <c r="B509">
        <v>1</v>
      </c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1</v>
      </c>
      <c r="W509">
        <v>0</v>
      </c>
      <c r="X509">
        <v>0</v>
      </c>
      <c r="Y509">
        <v>0</v>
      </c>
      <c r="Z509">
        <v>1</v>
      </c>
      <c r="AA509">
        <v>0</v>
      </c>
      <c r="AB509">
        <v>0</v>
      </c>
      <c r="AC509">
        <v>0</v>
      </c>
      <c r="AD509">
        <v>850</v>
      </c>
      <c r="AE509">
        <v>2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-2.3315000000000001</v>
      </c>
      <c r="AV509">
        <v>5.58</v>
      </c>
      <c r="AW509">
        <v>847.20799999999997</v>
      </c>
      <c r="AY509">
        <v>966</v>
      </c>
      <c r="AZ509">
        <v>988.3</v>
      </c>
      <c r="BA509">
        <v>14.8</v>
      </c>
      <c r="BD509" t="s">
        <v>130</v>
      </c>
    </row>
    <row r="510" spans="1:56" x14ac:dyDescent="0.3">
      <c r="A510">
        <v>10509</v>
      </c>
      <c r="B510">
        <v>1</v>
      </c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1</v>
      </c>
      <c r="W510">
        <v>0</v>
      </c>
      <c r="X510">
        <v>0</v>
      </c>
      <c r="Y510">
        <v>0</v>
      </c>
      <c r="Z510">
        <v>1</v>
      </c>
      <c r="AA510">
        <v>0</v>
      </c>
      <c r="AB510">
        <v>0</v>
      </c>
      <c r="AC510">
        <v>0</v>
      </c>
      <c r="AD510">
        <v>980</v>
      </c>
      <c r="AE510">
        <v>0.16666666666666699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-2.3315000000000001</v>
      </c>
      <c r="AV510">
        <v>5.58</v>
      </c>
      <c r="AW510">
        <v>847.20799999999997</v>
      </c>
      <c r="AY510">
        <v>490.7</v>
      </c>
      <c r="AZ510">
        <v>586</v>
      </c>
      <c r="BA510">
        <v>1.6</v>
      </c>
      <c r="BD510" t="s">
        <v>130</v>
      </c>
    </row>
    <row r="511" spans="1:56" x14ac:dyDescent="0.3">
      <c r="A511">
        <v>10510</v>
      </c>
      <c r="B511">
        <v>1</v>
      </c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1</v>
      </c>
      <c r="X511">
        <v>20</v>
      </c>
      <c r="Y511">
        <v>60</v>
      </c>
      <c r="Z511">
        <v>0</v>
      </c>
      <c r="AA511">
        <v>1</v>
      </c>
      <c r="AB511">
        <v>0</v>
      </c>
      <c r="AC511">
        <v>0</v>
      </c>
      <c r="AD511">
        <v>850</v>
      </c>
      <c r="AE511">
        <v>0.33</v>
      </c>
      <c r="AF511">
        <v>0</v>
      </c>
      <c r="AG511">
        <v>1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14.700000000000001</v>
      </c>
      <c r="AV511">
        <v>0</v>
      </c>
      <c r="AW511">
        <v>763.80000000000007</v>
      </c>
      <c r="AZ511">
        <v>1246</v>
      </c>
      <c r="BA511">
        <v>14.54</v>
      </c>
      <c r="BD511" t="s">
        <v>93</v>
      </c>
    </row>
    <row r="512" spans="1:56" x14ac:dyDescent="0.3">
      <c r="A512">
        <v>10511</v>
      </c>
      <c r="B512">
        <v>1</v>
      </c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</v>
      </c>
      <c r="X512">
        <v>20</v>
      </c>
      <c r="Y512">
        <v>60</v>
      </c>
      <c r="Z512">
        <v>0</v>
      </c>
      <c r="AA512">
        <v>1</v>
      </c>
      <c r="AB512">
        <v>0</v>
      </c>
      <c r="AC512">
        <v>0</v>
      </c>
      <c r="AD512">
        <v>850</v>
      </c>
      <c r="AE512">
        <v>0.33</v>
      </c>
      <c r="AF512">
        <v>1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14.700000000000001</v>
      </c>
      <c r="AV512">
        <v>0</v>
      </c>
      <c r="AW512">
        <v>763.80000000000007</v>
      </c>
      <c r="AZ512">
        <v>929.6</v>
      </c>
      <c r="BA512">
        <v>24.79</v>
      </c>
      <c r="BD512" t="s">
        <v>93</v>
      </c>
    </row>
    <row r="513" spans="1:56" x14ac:dyDescent="0.3">
      <c r="A513">
        <v>10512</v>
      </c>
      <c r="B513">
        <v>1</v>
      </c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1</v>
      </c>
      <c r="W513">
        <v>0</v>
      </c>
      <c r="X513">
        <v>0</v>
      </c>
      <c r="Y513">
        <v>0</v>
      </c>
      <c r="Z513">
        <v>1</v>
      </c>
      <c r="AA513">
        <v>0</v>
      </c>
      <c r="AB513">
        <v>0</v>
      </c>
      <c r="AC513">
        <v>0</v>
      </c>
      <c r="AD513">
        <v>1000</v>
      </c>
      <c r="AE513">
        <v>1</v>
      </c>
      <c r="AF513">
        <v>1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9.1000000000000014</v>
      </c>
      <c r="AV513">
        <v>2.0333333333333332</v>
      </c>
      <c r="AW513">
        <v>846.42000000000007</v>
      </c>
      <c r="AZ513">
        <v>562</v>
      </c>
      <c r="BA513">
        <v>20.100000000000001</v>
      </c>
      <c r="BD513" t="s">
        <v>131</v>
      </c>
    </row>
    <row r="514" spans="1:56" x14ac:dyDescent="0.3">
      <c r="A514">
        <v>10513</v>
      </c>
      <c r="B514">
        <v>1</v>
      </c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1</v>
      </c>
      <c r="X514">
        <v>20</v>
      </c>
      <c r="Y514">
        <v>50</v>
      </c>
      <c r="Z514">
        <v>0</v>
      </c>
      <c r="AA514">
        <v>1</v>
      </c>
      <c r="AB514">
        <v>0</v>
      </c>
      <c r="AC514">
        <v>0</v>
      </c>
      <c r="AD514">
        <v>1000</v>
      </c>
      <c r="AE514">
        <v>1</v>
      </c>
      <c r="AF514">
        <v>1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9.1000000000000014</v>
      </c>
      <c r="AV514">
        <v>2.0333333333333332</v>
      </c>
      <c r="AW514">
        <v>846.42000000000007</v>
      </c>
      <c r="AZ514">
        <v>719</v>
      </c>
      <c r="BA514">
        <v>16.8</v>
      </c>
      <c r="BD514" t="s">
        <v>131</v>
      </c>
    </row>
    <row r="515" spans="1:56" x14ac:dyDescent="0.3">
      <c r="A515">
        <v>10514</v>
      </c>
      <c r="B515">
        <v>1</v>
      </c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1</v>
      </c>
      <c r="X515">
        <v>20</v>
      </c>
      <c r="Y515">
        <v>90</v>
      </c>
      <c r="Z515">
        <v>0</v>
      </c>
      <c r="AA515">
        <v>1</v>
      </c>
      <c r="AB515">
        <v>0</v>
      </c>
      <c r="AC515">
        <v>0</v>
      </c>
      <c r="AD515">
        <v>1000</v>
      </c>
      <c r="AE515">
        <v>1</v>
      </c>
      <c r="AF515">
        <v>1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9.1000000000000014</v>
      </c>
      <c r="AV515">
        <v>2.0333333333333332</v>
      </c>
      <c r="AW515">
        <v>846.42000000000007</v>
      </c>
      <c r="AZ515">
        <v>883</v>
      </c>
      <c r="BA515">
        <v>14.9</v>
      </c>
      <c r="BD515" t="s">
        <v>131</v>
      </c>
    </row>
    <row r="516" spans="1:56" x14ac:dyDescent="0.3">
      <c r="A516">
        <v>10515</v>
      </c>
      <c r="B516">
        <v>1</v>
      </c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1</v>
      </c>
      <c r="X516">
        <v>850</v>
      </c>
      <c r="Y516">
        <v>90</v>
      </c>
      <c r="Z516">
        <v>0</v>
      </c>
      <c r="AA516">
        <v>1</v>
      </c>
      <c r="AB516">
        <v>0</v>
      </c>
      <c r="AC516">
        <v>0</v>
      </c>
      <c r="AD516">
        <v>850</v>
      </c>
      <c r="AE516">
        <v>1.5</v>
      </c>
      <c r="AF516">
        <v>1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4.4800000000000004</v>
      </c>
      <c r="AV516">
        <v>3.333333333333333</v>
      </c>
      <c r="AW516">
        <v>888</v>
      </c>
      <c r="AX516">
        <v>68</v>
      </c>
      <c r="AY516">
        <v>500</v>
      </c>
      <c r="AZ516">
        <v>752</v>
      </c>
      <c r="BA516">
        <v>19.600000000000001</v>
      </c>
      <c r="BD516" t="s">
        <v>133</v>
      </c>
    </row>
    <row r="517" spans="1:56" x14ac:dyDescent="0.3">
      <c r="A517">
        <v>10516</v>
      </c>
      <c r="B517">
        <v>1</v>
      </c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1</v>
      </c>
      <c r="X517">
        <v>850</v>
      </c>
      <c r="Y517">
        <v>90</v>
      </c>
      <c r="Z517">
        <v>0</v>
      </c>
      <c r="AA517">
        <v>1</v>
      </c>
      <c r="AB517">
        <v>0</v>
      </c>
      <c r="AC517">
        <v>0</v>
      </c>
      <c r="AD517">
        <v>850</v>
      </c>
      <c r="AE517">
        <v>1.5</v>
      </c>
      <c r="AF517">
        <v>1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5.6000000000000005</v>
      </c>
      <c r="AV517">
        <v>3.333333333333333</v>
      </c>
      <c r="AW517">
        <v>888</v>
      </c>
      <c r="AX517">
        <v>63</v>
      </c>
      <c r="AY517">
        <v>410</v>
      </c>
      <c r="AZ517">
        <v>735</v>
      </c>
      <c r="BA517">
        <v>13.6</v>
      </c>
      <c r="BD517" t="s">
        <v>134</v>
      </c>
    </row>
    <row r="518" spans="1:56" x14ac:dyDescent="0.3">
      <c r="A518">
        <v>10517</v>
      </c>
      <c r="B518">
        <v>1</v>
      </c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1</v>
      </c>
      <c r="X518">
        <v>850</v>
      </c>
      <c r="Y518">
        <v>90</v>
      </c>
      <c r="Z518">
        <v>0</v>
      </c>
      <c r="AA518">
        <v>1</v>
      </c>
      <c r="AB518">
        <v>0</v>
      </c>
      <c r="AC518">
        <v>0</v>
      </c>
      <c r="AD518">
        <v>850</v>
      </c>
      <c r="AE518">
        <v>1.5</v>
      </c>
      <c r="AF518">
        <v>1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6.7200000000000006</v>
      </c>
      <c r="AV518">
        <v>3.333333333333333</v>
      </c>
      <c r="AW518">
        <v>888</v>
      </c>
      <c r="AX518">
        <v>45</v>
      </c>
      <c r="AY518">
        <v>200</v>
      </c>
      <c r="AZ518">
        <v>674</v>
      </c>
      <c r="BA518">
        <v>12.9</v>
      </c>
      <c r="BD518" t="s">
        <v>135</v>
      </c>
    </row>
    <row r="519" spans="1:56" x14ac:dyDescent="0.3">
      <c r="A519">
        <v>10518</v>
      </c>
      <c r="B519">
        <v>1</v>
      </c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1</v>
      </c>
      <c r="X519">
        <v>850</v>
      </c>
      <c r="Y519">
        <v>90</v>
      </c>
      <c r="Z519">
        <v>0</v>
      </c>
      <c r="AA519">
        <v>1</v>
      </c>
      <c r="AB519">
        <v>0</v>
      </c>
      <c r="AC519">
        <v>0</v>
      </c>
      <c r="AD519">
        <v>850</v>
      </c>
      <c r="AE519">
        <v>1.5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7.8400000000000007</v>
      </c>
      <c r="AV519">
        <v>3.333333333333333</v>
      </c>
      <c r="AW519">
        <v>888</v>
      </c>
      <c r="AX519">
        <v>60</v>
      </c>
      <c r="AY519">
        <v>570</v>
      </c>
      <c r="AZ519">
        <v>570</v>
      </c>
      <c r="BA519">
        <v>22.3</v>
      </c>
      <c r="BD519" t="s">
        <v>136</v>
      </c>
    </row>
    <row r="520" spans="1:56" x14ac:dyDescent="0.3">
      <c r="A520">
        <v>10519</v>
      </c>
      <c r="B520">
        <v>1</v>
      </c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1</v>
      </c>
      <c r="X520">
        <v>850</v>
      </c>
      <c r="Y520">
        <v>90</v>
      </c>
      <c r="Z520">
        <v>0</v>
      </c>
      <c r="AA520">
        <v>1</v>
      </c>
      <c r="AB520">
        <v>0</v>
      </c>
      <c r="AC520">
        <v>0</v>
      </c>
      <c r="AD520">
        <v>850</v>
      </c>
      <c r="AE520">
        <v>1.5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10.080000000000002</v>
      </c>
      <c r="AV520">
        <v>3.333333333333333</v>
      </c>
      <c r="AW520">
        <v>888</v>
      </c>
      <c r="AX520">
        <v>69</v>
      </c>
      <c r="AY520">
        <v>557</v>
      </c>
      <c r="AZ520">
        <v>557</v>
      </c>
      <c r="BA520">
        <v>21.3</v>
      </c>
      <c r="BD520" t="s">
        <v>137</v>
      </c>
    </row>
    <row r="521" spans="1:56" x14ac:dyDescent="0.3">
      <c r="A521">
        <v>10520</v>
      </c>
      <c r="B521">
        <v>1</v>
      </c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1</v>
      </c>
      <c r="X521">
        <v>20</v>
      </c>
      <c r="Y521">
        <v>0</v>
      </c>
      <c r="Z521">
        <v>0</v>
      </c>
      <c r="AA521">
        <v>1</v>
      </c>
      <c r="AB521">
        <v>0</v>
      </c>
      <c r="AC521">
        <v>0</v>
      </c>
      <c r="AD521">
        <v>1000</v>
      </c>
      <c r="AE521">
        <v>1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9.8000000000000007</v>
      </c>
      <c r="AV521">
        <v>2.0333333333333332</v>
      </c>
      <c r="AW521">
        <v>846.42000000000007</v>
      </c>
      <c r="AZ521">
        <v>54.2</v>
      </c>
      <c r="BA521">
        <v>1.04</v>
      </c>
      <c r="BB521">
        <v>20.100000000000001</v>
      </c>
      <c r="BD521" t="s">
        <v>131</v>
      </c>
    </row>
    <row r="522" spans="1:56" x14ac:dyDescent="0.3">
      <c r="A522">
        <v>10521</v>
      </c>
      <c r="B522">
        <v>1</v>
      </c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1</v>
      </c>
      <c r="X522">
        <v>20</v>
      </c>
      <c r="Y522">
        <v>50</v>
      </c>
      <c r="Z522">
        <v>0</v>
      </c>
      <c r="AA522">
        <v>1</v>
      </c>
      <c r="AB522">
        <v>0</v>
      </c>
      <c r="AC522">
        <v>0</v>
      </c>
      <c r="AD522">
        <v>1000</v>
      </c>
      <c r="AE522">
        <v>1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9.8000000000000007</v>
      </c>
      <c r="AV522">
        <v>2.0333333333333332</v>
      </c>
      <c r="AW522">
        <v>846.42000000000007</v>
      </c>
      <c r="AZ522">
        <v>719</v>
      </c>
      <c r="BA522">
        <v>16.8</v>
      </c>
      <c r="BB522">
        <v>51.3</v>
      </c>
      <c r="BD522" t="s">
        <v>138</v>
      </c>
    </row>
    <row r="523" spans="1:56" x14ac:dyDescent="0.3">
      <c r="A523">
        <v>10522</v>
      </c>
      <c r="B523">
        <v>1</v>
      </c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1</v>
      </c>
      <c r="X523">
        <v>20</v>
      </c>
      <c r="Y523">
        <v>90</v>
      </c>
      <c r="Z523">
        <v>0</v>
      </c>
      <c r="AA523">
        <v>1</v>
      </c>
      <c r="AB523">
        <v>0</v>
      </c>
      <c r="AC523">
        <v>0</v>
      </c>
      <c r="AD523">
        <v>1000</v>
      </c>
      <c r="AE523">
        <v>1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9.8000000000000007</v>
      </c>
      <c r="AV523">
        <v>2.0333333333333332</v>
      </c>
      <c r="AW523">
        <v>846.42000000000007</v>
      </c>
      <c r="AZ523">
        <v>883</v>
      </c>
      <c r="BA523">
        <v>14.9</v>
      </c>
      <c r="BB523">
        <v>47.1</v>
      </c>
      <c r="BD523" t="s">
        <v>139</v>
      </c>
    </row>
    <row r="524" spans="1:56" x14ac:dyDescent="0.3">
      <c r="A524">
        <v>10523</v>
      </c>
      <c r="B524">
        <v>1</v>
      </c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1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450</v>
      </c>
      <c r="AJ524">
        <v>0.5</v>
      </c>
      <c r="AK524">
        <v>0</v>
      </c>
      <c r="AL524">
        <v>1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6.7760000000000007</v>
      </c>
      <c r="AV524">
        <v>3.32</v>
      </c>
      <c r="AW524">
        <v>889.99200000000008</v>
      </c>
      <c r="AY524">
        <v>1033</v>
      </c>
      <c r="AZ524">
        <v>1091</v>
      </c>
      <c r="BA524">
        <v>12.4</v>
      </c>
      <c r="BD524" t="s">
        <v>108</v>
      </c>
    </row>
    <row r="525" spans="1:56" x14ac:dyDescent="0.3">
      <c r="A525">
        <v>10524</v>
      </c>
      <c r="B525">
        <v>1</v>
      </c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450</v>
      </c>
      <c r="AJ525">
        <v>1</v>
      </c>
      <c r="AK525">
        <v>0</v>
      </c>
      <c r="AL525">
        <v>1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6.7760000000000007</v>
      </c>
      <c r="AV525">
        <v>3.32</v>
      </c>
      <c r="AW525">
        <v>889.99200000000008</v>
      </c>
      <c r="AY525">
        <v>1120</v>
      </c>
      <c r="AZ525">
        <v>1175</v>
      </c>
      <c r="BA525">
        <v>12.2</v>
      </c>
      <c r="BD525" t="s">
        <v>108</v>
      </c>
    </row>
    <row r="526" spans="1:56" x14ac:dyDescent="0.3">
      <c r="A526">
        <v>10525</v>
      </c>
      <c r="B526">
        <v>1</v>
      </c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1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450</v>
      </c>
      <c r="AJ526">
        <v>2</v>
      </c>
      <c r="AK526">
        <v>0</v>
      </c>
      <c r="AL526">
        <v>1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6.7760000000000007</v>
      </c>
      <c r="AV526">
        <v>3.32</v>
      </c>
      <c r="AW526">
        <v>889.99200000000008</v>
      </c>
      <c r="AY526">
        <v>1180</v>
      </c>
      <c r="AZ526">
        <v>1213</v>
      </c>
      <c r="BA526">
        <v>12.4</v>
      </c>
      <c r="BD526" t="s">
        <v>108</v>
      </c>
    </row>
    <row r="527" spans="1:56" x14ac:dyDescent="0.3">
      <c r="A527">
        <v>10526</v>
      </c>
      <c r="B527">
        <v>1</v>
      </c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450</v>
      </c>
      <c r="AJ527">
        <v>4</v>
      </c>
      <c r="AK527">
        <v>0</v>
      </c>
      <c r="AL527">
        <v>1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6.7760000000000007</v>
      </c>
      <c r="AV527">
        <v>3.32</v>
      </c>
      <c r="AW527">
        <v>889.99200000000008</v>
      </c>
      <c r="AY527">
        <v>1192</v>
      </c>
      <c r="AZ527">
        <v>1243</v>
      </c>
      <c r="BA527">
        <v>12.8</v>
      </c>
      <c r="BD527" t="s">
        <v>108</v>
      </c>
    </row>
    <row r="528" spans="1:56" x14ac:dyDescent="0.3">
      <c r="A528">
        <v>10527</v>
      </c>
      <c r="B528">
        <v>1</v>
      </c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1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475</v>
      </c>
      <c r="AJ528">
        <v>0.5</v>
      </c>
      <c r="AK528">
        <v>0</v>
      </c>
      <c r="AL528">
        <v>1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6.7760000000000007</v>
      </c>
      <c r="AV528">
        <v>3.32</v>
      </c>
      <c r="AW528">
        <v>889.99200000000008</v>
      </c>
      <c r="AY528">
        <v>1028</v>
      </c>
      <c r="AZ528">
        <v>1123</v>
      </c>
      <c r="BA528">
        <v>16.100000000000001</v>
      </c>
      <c r="BD528" t="s">
        <v>108</v>
      </c>
    </row>
    <row r="529" spans="1:56" x14ac:dyDescent="0.3">
      <c r="A529">
        <v>10528</v>
      </c>
      <c r="B529">
        <v>1</v>
      </c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475</v>
      </c>
      <c r="AJ529">
        <v>1</v>
      </c>
      <c r="AK529">
        <v>0</v>
      </c>
      <c r="AL529">
        <v>1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6.7760000000000007</v>
      </c>
      <c r="AV529">
        <v>3.32</v>
      </c>
      <c r="AW529">
        <v>889.99200000000008</v>
      </c>
      <c r="AY529">
        <v>1108</v>
      </c>
      <c r="AZ529">
        <v>1144</v>
      </c>
      <c r="BA529">
        <v>12.3</v>
      </c>
      <c r="BD529" t="s">
        <v>108</v>
      </c>
    </row>
    <row r="530" spans="1:56" x14ac:dyDescent="0.3">
      <c r="A530">
        <v>10529</v>
      </c>
      <c r="B530">
        <v>1</v>
      </c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1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475</v>
      </c>
      <c r="AJ530">
        <v>2</v>
      </c>
      <c r="AK530">
        <v>0</v>
      </c>
      <c r="AL530">
        <v>1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6.7760000000000007</v>
      </c>
      <c r="AV530">
        <v>3.32</v>
      </c>
      <c r="AW530">
        <v>889.99200000000008</v>
      </c>
      <c r="AY530">
        <v>1174</v>
      </c>
      <c r="AZ530">
        <v>1212</v>
      </c>
      <c r="BA530">
        <v>10.5</v>
      </c>
      <c r="BD530" t="s">
        <v>108</v>
      </c>
    </row>
    <row r="531" spans="1:56" x14ac:dyDescent="0.3">
      <c r="A531">
        <v>10530</v>
      </c>
      <c r="B531">
        <v>1</v>
      </c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475</v>
      </c>
      <c r="AJ531">
        <v>4</v>
      </c>
      <c r="AK531">
        <v>0</v>
      </c>
      <c r="AL531">
        <v>1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6.7760000000000007</v>
      </c>
      <c r="AV531">
        <v>3.32</v>
      </c>
      <c r="AW531">
        <v>889.99200000000008</v>
      </c>
      <c r="AY531">
        <v>1109</v>
      </c>
      <c r="AZ531">
        <v>1169</v>
      </c>
      <c r="BA531">
        <v>14.1</v>
      </c>
      <c r="BD531" t="s">
        <v>108</v>
      </c>
    </row>
    <row r="532" spans="1:56" x14ac:dyDescent="0.3">
      <c r="A532">
        <v>10531</v>
      </c>
      <c r="B532">
        <v>1</v>
      </c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1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500</v>
      </c>
      <c r="AJ532">
        <v>0.5</v>
      </c>
      <c r="AK532">
        <v>0</v>
      </c>
      <c r="AL532">
        <v>1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6.7760000000000007</v>
      </c>
      <c r="AV532">
        <v>3.32</v>
      </c>
      <c r="AW532">
        <v>889.99200000000008</v>
      </c>
      <c r="AY532">
        <v>1048</v>
      </c>
      <c r="AZ532">
        <v>1105</v>
      </c>
      <c r="BA532">
        <v>13.4</v>
      </c>
      <c r="BD532" t="s">
        <v>108</v>
      </c>
    </row>
    <row r="533" spans="1:56" x14ac:dyDescent="0.3">
      <c r="A533">
        <v>10532</v>
      </c>
      <c r="B533">
        <v>1</v>
      </c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500</v>
      </c>
      <c r="AJ533">
        <v>1</v>
      </c>
      <c r="AK533">
        <v>0</v>
      </c>
      <c r="AL533">
        <v>1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6.7760000000000007</v>
      </c>
      <c r="AV533">
        <v>3.32</v>
      </c>
      <c r="AW533">
        <v>889.99200000000008</v>
      </c>
      <c r="AY533">
        <v>1039</v>
      </c>
      <c r="AZ533">
        <v>1085</v>
      </c>
      <c r="BA533">
        <v>15.1</v>
      </c>
      <c r="BC533" t="s">
        <v>250</v>
      </c>
      <c r="BD533" t="s">
        <v>108</v>
      </c>
    </row>
    <row r="534" spans="1:56" x14ac:dyDescent="0.3">
      <c r="A534">
        <v>10533</v>
      </c>
      <c r="B534">
        <v>1</v>
      </c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500</v>
      </c>
      <c r="AJ534">
        <v>2</v>
      </c>
      <c r="AK534">
        <v>0</v>
      </c>
      <c r="AL534">
        <v>1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6.7760000000000007</v>
      </c>
      <c r="AV534">
        <v>3.32</v>
      </c>
      <c r="AW534">
        <v>889.99200000000008</v>
      </c>
      <c r="AY534">
        <v>1069</v>
      </c>
      <c r="AZ534">
        <v>1104</v>
      </c>
      <c r="BA534">
        <v>14.7</v>
      </c>
      <c r="BC534" t="s">
        <v>250</v>
      </c>
      <c r="BD534" t="s">
        <v>108</v>
      </c>
    </row>
    <row r="535" spans="1:56" x14ac:dyDescent="0.3">
      <c r="A535">
        <v>10534</v>
      </c>
      <c r="B535">
        <v>1</v>
      </c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500</v>
      </c>
      <c r="AJ535">
        <v>4</v>
      </c>
      <c r="AK535">
        <v>0</v>
      </c>
      <c r="AL535">
        <v>1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6.7760000000000007</v>
      </c>
      <c r="AV535">
        <v>3.32</v>
      </c>
      <c r="AW535">
        <v>889.99200000000008</v>
      </c>
      <c r="AY535">
        <v>1111</v>
      </c>
      <c r="AZ535">
        <v>1148</v>
      </c>
      <c r="BA535">
        <v>15.5</v>
      </c>
      <c r="BC535" t="s">
        <v>282</v>
      </c>
      <c r="BD535" t="s">
        <v>108</v>
      </c>
    </row>
    <row r="536" spans="1:56" x14ac:dyDescent="0.3">
      <c r="A536">
        <v>10535</v>
      </c>
      <c r="B536">
        <v>1</v>
      </c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1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525</v>
      </c>
      <c r="AJ536">
        <v>0.5</v>
      </c>
      <c r="AK536">
        <v>0</v>
      </c>
      <c r="AL536">
        <v>1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6.7760000000000007</v>
      </c>
      <c r="AV536">
        <v>3.32</v>
      </c>
      <c r="AW536">
        <v>889.99200000000008</v>
      </c>
      <c r="AY536">
        <v>996</v>
      </c>
      <c r="AZ536">
        <v>1043</v>
      </c>
      <c r="BA536">
        <v>15.4</v>
      </c>
      <c r="BC536" t="s">
        <v>282</v>
      </c>
      <c r="BD536" t="s">
        <v>108</v>
      </c>
    </row>
    <row r="537" spans="1:56" x14ac:dyDescent="0.3">
      <c r="A537">
        <v>10536</v>
      </c>
      <c r="B537">
        <v>1</v>
      </c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525</v>
      </c>
      <c r="AJ537">
        <v>1</v>
      </c>
      <c r="AK537">
        <v>0</v>
      </c>
      <c r="AL537">
        <v>1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6.7760000000000007</v>
      </c>
      <c r="AV537">
        <v>3.32</v>
      </c>
      <c r="AW537">
        <v>889.99200000000008</v>
      </c>
      <c r="AY537">
        <v>969</v>
      </c>
      <c r="AZ537">
        <v>1017</v>
      </c>
      <c r="BA537">
        <v>15.6</v>
      </c>
      <c r="BC537" t="s">
        <v>282</v>
      </c>
      <c r="BD537" t="s">
        <v>108</v>
      </c>
    </row>
    <row r="538" spans="1:56" x14ac:dyDescent="0.3">
      <c r="A538">
        <v>10537</v>
      </c>
      <c r="B538">
        <v>1</v>
      </c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1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525</v>
      </c>
      <c r="AJ538">
        <v>2</v>
      </c>
      <c r="AK538">
        <v>0</v>
      </c>
      <c r="AL538">
        <v>1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6.7760000000000007</v>
      </c>
      <c r="AV538">
        <v>3.32</v>
      </c>
      <c r="AW538">
        <v>889.99200000000008</v>
      </c>
      <c r="AY538">
        <v>976</v>
      </c>
      <c r="AZ538">
        <v>1024</v>
      </c>
      <c r="BA538">
        <v>16.399999999999999</v>
      </c>
      <c r="BC538" t="s">
        <v>350</v>
      </c>
      <c r="BD538" t="s">
        <v>108</v>
      </c>
    </row>
    <row r="539" spans="1:56" x14ac:dyDescent="0.3">
      <c r="A539">
        <v>10538</v>
      </c>
      <c r="B539">
        <v>1</v>
      </c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525</v>
      </c>
      <c r="AJ539">
        <v>4</v>
      </c>
      <c r="AK539">
        <v>0</v>
      </c>
      <c r="AL539">
        <v>1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6.7760000000000007</v>
      </c>
      <c r="AV539">
        <v>3.32</v>
      </c>
      <c r="AW539">
        <v>889.99200000000008</v>
      </c>
      <c r="AY539">
        <v>1026</v>
      </c>
      <c r="AZ539">
        <v>1059</v>
      </c>
      <c r="BA539">
        <v>15.9</v>
      </c>
      <c r="BC539" t="s">
        <v>350</v>
      </c>
      <c r="BD539" t="s">
        <v>108</v>
      </c>
    </row>
    <row r="540" spans="1:56" x14ac:dyDescent="0.3">
      <c r="A540">
        <v>10539</v>
      </c>
      <c r="B540">
        <v>1</v>
      </c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>
        <v>1</v>
      </c>
      <c r="AB540">
        <v>0</v>
      </c>
      <c r="AC540">
        <v>0</v>
      </c>
      <c r="AD540">
        <f t="shared" ref="AD540:AD547" si="5">AW540</f>
        <v>856.77300000000002</v>
      </c>
      <c r="AE540">
        <v>0</v>
      </c>
      <c r="AF540">
        <v>1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5.9052000000000007</v>
      </c>
      <c r="AV540">
        <v>1.2050000000000001</v>
      </c>
      <c r="AW540">
        <v>856.77300000000002</v>
      </c>
      <c r="AX540">
        <v>66.900000000000006</v>
      </c>
      <c r="AY540">
        <v>806</v>
      </c>
      <c r="BC540" t="s">
        <v>277</v>
      </c>
      <c r="BD540" t="s">
        <v>60</v>
      </c>
    </row>
    <row r="541" spans="1:56" x14ac:dyDescent="0.3">
      <c r="A541">
        <v>10540</v>
      </c>
      <c r="B541">
        <v>1</v>
      </c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>
        <v>1</v>
      </c>
      <c r="AB541">
        <v>0</v>
      </c>
      <c r="AC541">
        <v>0</v>
      </c>
      <c r="AD541">
        <f t="shared" si="5"/>
        <v>856.77300000000002</v>
      </c>
      <c r="AE541">
        <v>0</v>
      </c>
      <c r="AF541">
        <v>1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5.9052000000000007</v>
      </c>
      <c r="AV541">
        <v>1.2050000000000001</v>
      </c>
      <c r="AW541">
        <v>856.77300000000002</v>
      </c>
      <c r="AX541">
        <v>54.2</v>
      </c>
      <c r="AY541">
        <v>380</v>
      </c>
      <c r="BC541" t="s">
        <v>278</v>
      </c>
      <c r="BD541" t="s">
        <v>60</v>
      </c>
    </row>
    <row r="542" spans="1:56" x14ac:dyDescent="0.3">
      <c r="A542">
        <v>10541</v>
      </c>
      <c r="B542">
        <v>1</v>
      </c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>
        <v>1</v>
      </c>
      <c r="AB542">
        <v>0</v>
      </c>
      <c r="AC542">
        <v>0</v>
      </c>
      <c r="AD542">
        <f t="shared" si="5"/>
        <v>880.86599999999999</v>
      </c>
      <c r="AE542">
        <v>0</v>
      </c>
      <c r="AF542">
        <v>0</v>
      </c>
      <c r="AG542">
        <v>1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4.2532000000000005</v>
      </c>
      <c r="AV542">
        <v>1.7099999999999997</v>
      </c>
      <c r="AW542">
        <v>880.86599999999999</v>
      </c>
      <c r="AX542">
        <v>50</v>
      </c>
      <c r="AY542">
        <v>350</v>
      </c>
      <c r="BC542" t="s">
        <v>279</v>
      </c>
      <c r="BD542" t="s">
        <v>60</v>
      </c>
    </row>
    <row r="543" spans="1:56" x14ac:dyDescent="0.3">
      <c r="A543">
        <v>10542</v>
      </c>
      <c r="B543">
        <v>1</v>
      </c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0</v>
      </c>
      <c r="AD543">
        <f t="shared" si="5"/>
        <v>880.94099999999992</v>
      </c>
      <c r="AE543">
        <v>0</v>
      </c>
      <c r="AF543">
        <v>0</v>
      </c>
      <c r="AG543">
        <v>1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4.2</v>
      </c>
      <c r="AV543">
        <v>1.6516666666666668</v>
      </c>
      <c r="AW543">
        <v>880.94099999999992</v>
      </c>
      <c r="AX543">
        <v>59.2</v>
      </c>
      <c r="AY543">
        <v>282</v>
      </c>
      <c r="BC543" t="s">
        <v>280</v>
      </c>
      <c r="BD543" t="s">
        <v>60</v>
      </c>
    </row>
    <row r="544" spans="1:56" x14ac:dyDescent="0.3">
      <c r="A544">
        <v>10543</v>
      </c>
      <c r="B544">
        <v>1</v>
      </c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>
        <v>1</v>
      </c>
      <c r="AB544">
        <v>0</v>
      </c>
      <c r="AC544">
        <v>0</v>
      </c>
      <c r="AD544">
        <f t="shared" si="5"/>
        <v>880.98299999999995</v>
      </c>
      <c r="AE544">
        <v>0</v>
      </c>
      <c r="AF544">
        <v>0</v>
      </c>
      <c r="AG544">
        <v>1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4.2616000000000005</v>
      </c>
      <c r="AV544">
        <v>1.7550000000000003</v>
      </c>
      <c r="AW544">
        <v>880.98299999999995</v>
      </c>
      <c r="AX544">
        <v>61.6</v>
      </c>
      <c r="AY544">
        <v>380</v>
      </c>
      <c r="BC544" t="s">
        <v>281</v>
      </c>
      <c r="BD544" t="s">
        <v>60</v>
      </c>
    </row>
    <row r="545" spans="1:56" x14ac:dyDescent="0.3">
      <c r="A545">
        <v>10544</v>
      </c>
      <c r="B545">
        <v>1</v>
      </c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0</v>
      </c>
      <c r="Y545">
        <v>0</v>
      </c>
      <c r="Z545">
        <v>0</v>
      </c>
      <c r="AA545">
        <v>1</v>
      </c>
      <c r="AB545">
        <v>0</v>
      </c>
      <c r="AC545">
        <v>0</v>
      </c>
      <c r="AD545">
        <f t="shared" si="5"/>
        <v>880.67700000000002</v>
      </c>
      <c r="AE545">
        <v>0</v>
      </c>
      <c r="AF545">
        <v>0</v>
      </c>
      <c r="AG545">
        <v>1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4.2784000000000004</v>
      </c>
      <c r="AV545">
        <v>1.7449999999999999</v>
      </c>
      <c r="AW545">
        <v>880.67700000000002</v>
      </c>
      <c r="AX545">
        <v>47.8</v>
      </c>
      <c r="AY545">
        <v>515</v>
      </c>
      <c r="BC545" t="s">
        <v>282</v>
      </c>
      <c r="BD545" t="s">
        <v>60</v>
      </c>
    </row>
    <row r="546" spans="1:56" x14ac:dyDescent="0.3">
      <c r="A546">
        <v>10545</v>
      </c>
      <c r="B546">
        <v>1</v>
      </c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0</v>
      </c>
      <c r="Y546">
        <v>0</v>
      </c>
      <c r="Z546">
        <v>0</v>
      </c>
      <c r="AA546">
        <v>1</v>
      </c>
      <c r="AB546">
        <v>0</v>
      </c>
      <c r="AC546">
        <v>0</v>
      </c>
      <c r="AD546">
        <f t="shared" si="5"/>
        <v>882.03000000000009</v>
      </c>
      <c r="AE546">
        <v>0</v>
      </c>
      <c r="AF546">
        <v>0</v>
      </c>
      <c r="AG546">
        <v>1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4.2112000000000007</v>
      </c>
      <c r="AV546">
        <v>1.7166666666666666</v>
      </c>
      <c r="AW546">
        <v>882.03000000000009</v>
      </c>
      <c r="AX546">
        <v>53.2</v>
      </c>
      <c r="AY546">
        <v>649</v>
      </c>
      <c r="BC546" t="s">
        <v>283</v>
      </c>
      <c r="BD546" t="s">
        <v>60</v>
      </c>
    </row>
    <row r="547" spans="1:56" x14ac:dyDescent="0.3">
      <c r="A547">
        <v>10546</v>
      </c>
      <c r="B547">
        <v>1</v>
      </c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0</v>
      </c>
      <c r="Y547">
        <v>0</v>
      </c>
      <c r="Z547">
        <v>0</v>
      </c>
      <c r="AA547">
        <v>1</v>
      </c>
      <c r="AB547">
        <v>0</v>
      </c>
      <c r="AC547">
        <v>0</v>
      </c>
      <c r="AD547">
        <f t="shared" si="5"/>
        <v>874.14300000000003</v>
      </c>
      <c r="AE547">
        <v>0</v>
      </c>
      <c r="AF547">
        <v>1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3.9312</v>
      </c>
      <c r="AV547">
        <v>0.45499999999999996</v>
      </c>
      <c r="AW547">
        <v>874.14300000000003</v>
      </c>
      <c r="AX547">
        <v>75</v>
      </c>
      <c r="AY547">
        <v>499</v>
      </c>
      <c r="BC547" t="s">
        <v>284</v>
      </c>
      <c r="BD547" t="s">
        <v>60</v>
      </c>
    </row>
    <row r="548" spans="1:56" x14ac:dyDescent="0.3">
      <c r="A548">
        <v>10547</v>
      </c>
      <c r="B548">
        <v>1</v>
      </c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1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5.1240000000000006</v>
      </c>
      <c r="AV548">
        <v>5.4</v>
      </c>
      <c r="AW548">
        <v>869.04</v>
      </c>
      <c r="AX548">
        <v>56</v>
      </c>
    </row>
    <row r="549" spans="1:56" x14ac:dyDescent="0.3">
      <c r="A549">
        <v>10548</v>
      </c>
      <c r="B549">
        <v>1</v>
      </c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1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4.9280000000000008</v>
      </c>
      <c r="AV549">
        <v>6.6</v>
      </c>
      <c r="AW549">
        <v>810.3599999999999</v>
      </c>
      <c r="AX549">
        <v>63</v>
      </c>
    </row>
    <row r="550" spans="1:56" x14ac:dyDescent="0.3">
      <c r="A550">
        <v>10549</v>
      </c>
      <c r="B550">
        <v>1</v>
      </c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7.056</v>
      </c>
      <c r="AV550">
        <v>4.8833333333333329</v>
      </c>
      <c r="AW550">
        <v>870.63</v>
      </c>
      <c r="AX550">
        <v>59</v>
      </c>
    </row>
    <row r="551" spans="1:56" x14ac:dyDescent="0.3">
      <c r="A551">
        <v>10550</v>
      </c>
      <c r="B551">
        <v>1</v>
      </c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6.7760000000000007</v>
      </c>
      <c r="AV551">
        <v>6.0333333333333332</v>
      </c>
      <c r="AW551">
        <v>815.82</v>
      </c>
      <c r="AX551">
        <v>64</v>
      </c>
    </row>
    <row r="552" spans="1:56" x14ac:dyDescent="0.3">
      <c r="A552">
        <v>10551</v>
      </c>
      <c r="B552">
        <v>1</v>
      </c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1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0.70560000000000012</v>
      </c>
      <c r="AV552">
        <v>3.8766666666666669</v>
      </c>
      <c r="AW552">
        <v>792.42599999999993</v>
      </c>
      <c r="AX552">
        <v>53</v>
      </c>
    </row>
    <row r="553" spans="1:56" x14ac:dyDescent="0.3">
      <c r="A553">
        <v>10552</v>
      </c>
      <c r="B553">
        <v>1</v>
      </c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1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5.9052000000000007</v>
      </c>
      <c r="AV553">
        <v>1.2050000000000001</v>
      </c>
      <c r="AW553">
        <v>856.77300000000002</v>
      </c>
      <c r="AX553">
        <v>54.2</v>
      </c>
    </row>
    <row r="554" spans="1:56" x14ac:dyDescent="0.3">
      <c r="A554">
        <v>10553</v>
      </c>
      <c r="B554">
        <v>1</v>
      </c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3.2984</v>
      </c>
      <c r="AV554">
        <v>2.9366666666666665</v>
      </c>
      <c r="AW554">
        <v>866.08199999999999</v>
      </c>
      <c r="AX554">
        <v>56</v>
      </c>
    </row>
    <row r="555" spans="1:56" x14ac:dyDescent="0.3">
      <c r="A555">
        <v>10554</v>
      </c>
      <c r="B555">
        <v>1</v>
      </c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4.6648000000000005</v>
      </c>
      <c r="AV555">
        <v>2.78</v>
      </c>
      <c r="AW555">
        <v>866.98799999999994</v>
      </c>
      <c r="AX555">
        <v>59</v>
      </c>
    </row>
    <row r="556" spans="1:56" x14ac:dyDescent="0.3">
      <c r="A556">
        <v>10555</v>
      </c>
      <c r="B556">
        <v>1</v>
      </c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0</v>
      </c>
      <c r="Y556">
        <v>0</v>
      </c>
      <c r="Z556">
        <v>1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4.6648000000000005</v>
      </c>
      <c r="AV556">
        <v>3.7050000000000001</v>
      </c>
      <c r="AW556">
        <v>828.69299999999998</v>
      </c>
      <c r="AX556">
        <v>64</v>
      </c>
    </row>
    <row r="557" spans="1:56" x14ac:dyDescent="0.3">
      <c r="A557">
        <v>10556</v>
      </c>
      <c r="B557">
        <v>1</v>
      </c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1</v>
      </c>
      <c r="W557">
        <v>0</v>
      </c>
      <c r="X557">
        <v>0</v>
      </c>
      <c r="Y557">
        <v>0</v>
      </c>
      <c r="Z557">
        <v>1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4.6648000000000005</v>
      </c>
      <c r="AV557">
        <v>2.78</v>
      </c>
      <c r="AW557">
        <v>866.98799999999994</v>
      </c>
      <c r="AX557">
        <v>59</v>
      </c>
    </row>
    <row r="558" spans="1:56" x14ac:dyDescent="0.3">
      <c r="A558">
        <v>10557</v>
      </c>
      <c r="B558">
        <v>1</v>
      </c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1</v>
      </c>
      <c r="W558">
        <v>0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4.6648000000000005</v>
      </c>
      <c r="AV558">
        <v>3.7050000000000001</v>
      </c>
      <c r="AW558">
        <v>828.69299999999998</v>
      </c>
      <c r="AX558">
        <v>64</v>
      </c>
    </row>
    <row r="559" spans="1:56" x14ac:dyDescent="0.3">
      <c r="A559">
        <v>10558</v>
      </c>
      <c r="B559">
        <v>1</v>
      </c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1</v>
      </c>
      <c r="W559">
        <v>0</v>
      </c>
      <c r="X559">
        <v>0</v>
      </c>
      <c r="Y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4.6648000000000005</v>
      </c>
      <c r="AV559">
        <v>2.78</v>
      </c>
      <c r="AW559">
        <v>866.98799999999994</v>
      </c>
      <c r="AX559">
        <v>59</v>
      </c>
    </row>
    <row r="560" spans="1:56" x14ac:dyDescent="0.3">
      <c r="A560">
        <v>10559</v>
      </c>
      <c r="B560">
        <v>1</v>
      </c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1</v>
      </c>
      <c r="W560">
        <v>0</v>
      </c>
      <c r="X560">
        <v>0</v>
      </c>
      <c r="Y560">
        <v>0</v>
      </c>
      <c r="Z560">
        <v>1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4.6648000000000005</v>
      </c>
      <c r="AV560">
        <v>3.7050000000000001</v>
      </c>
      <c r="AW560">
        <v>828.69299999999998</v>
      </c>
      <c r="AX560">
        <v>64</v>
      </c>
    </row>
    <row r="561" spans="1:56" x14ac:dyDescent="0.3">
      <c r="A561">
        <v>10560</v>
      </c>
      <c r="B561">
        <v>1</v>
      </c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1</v>
      </c>
      <c r="W561">
        <v>0</v>
      </c>
      <c r="X561">
        <v>0</v>
      </c>
      <c r="Y561">
        <v>0</v>
      </c>
      <c r="Z561">
        <v>1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4.3483999999999998</v>
      </c>
      <c r="AV561">
        <v>2.3833333333333333</v>
      </c>
      <c r="AW561">
        <v>888.27</v>
      </c>
      <c r="AX561">
        <v>88</v>
      </c>
    </row>
    <row r="562" spans="1:56" x14ac:dyDescent="0.3">
      <c r="A562">
        <v>10561</v>
      </c>
      <c r="B562">
        <v>1</v>
      </c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1</v>
      </c>
      <c r="W562">
        <v>0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4.3231999999999999</v>
      </c>
      <c r="AV562">
        <v>2.1333333333333333</v>
      </c>
      <c r="AW562">
        <v>861.72</v>
      </c>
      <c r="AX562">
        <v>79</v>
      </c>
    </row>
    <row r="563" spans="1:56" x14ac:dyDescent="0.3">
      <c r="A563">
        <v>10562</v>
      </c>
      <c r="B563">
        <v>1</v>
      </c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4.628400000000001</v>
      </c>
      <c r="AV563">
        <v>1.6783333333333335</v>
      </c>
      <c r="AW563">
        <v>879.83699999999999</v>
      </c>
      <c r="AX563">
        <v>61</v>
      </c>
    </row>
    <row r="564" spans="1:56" x14ac:dyDescent="0.3">
      <c r="A564">
        <v>10563</v>
      </c>
      <c r="B564">
        <v>1</v>
      </c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X564">
        <v>0</v>
      </c>
      <c r="Y564">
        <v>0</v>
      </c>
      <c r="Z564">
        <v>1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4.7712000000000003</v>
      </c>
      <c r="AV564">
        <v>2.41</v>
      </c>
      <c r="AW564">
        <v>888.42599999999993</v>
      </c>
      <c r="AX564">
        <v>54</v>
      </c>
    </row>
    <row r="565" spans="1:56" x14ac:dyDescent="0.3">
      <c r="A565">
        <v>10564</v>
      </c>
      <c r="B565">
        <v>1</v>
      </c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1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3.5392000000000006</v>
      </c>
      <c r="AV565">
        <v>2.3250000000000002</v>
      </c>
      <c r="AW565">
        <v>888.16500000000008</v>
      </c>
      <c r="AX565">
        <v>77</v>
      </c>
    </row>
    <row r="566" spans="1:56" x14ac:dyDescent="0.3">
      <c r="A566">
        <v>10565</v>
      </c>
      <c r="B566">
        <v>1</v>
      </c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1</v>
      </c>
      <c r="W566">
        <v>0</v>
      </c>
      <c r="X566">
        <v>0</v>
      </c>
      <c r="Y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3.8248000000000002</v>
      </c>
      <c r="AV566">
        <v>1.6383333333333332</v>
      </c>
      <c r="AW566">
        <v>879.87300000000005</v>
      </c>
      <c r="AX566">
        <v>61</v>
      </c>
    </row>
    <row r="567" spans="1:56" x14ac:dyDescent="0.3">
      <c r="A567">
        <v>10566</v>
      </c>
      <c r="B567">
        <v>1</v>
      </c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1</v>
      </c>
      <c r="W567">
        <v>0</v>
      </c>
      <c r="X567">
        <v>0</v>
      </c>
      <c r="Y567">
        <v>0</v>
      </c>
      <c r="Z567">
        <v>1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4.4968000000000004</v>
      </c>
      <c r="AV567">
        <v>0.98333333333333339</v>
      </c>
      <c r="AW567">
        <v>871.70999999999992</v>
      </c>
      <c r="AX567">
        <v>69</v>
      </c>
    </row>
    <row r="568" spans="1:56" x14ac:dyDescent="0.3">
      <c r="A568">
        <v>10567</v>
      </c>
      <c r="B568">
        <v>1</v>
      </c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1</v>
      </c>
      <c r="W568">
        <v>0</v>
      </c>
      <c r="X568">
        <v>0</v>
      </c>
      <c r="Y568">
        <v>0</v>
      </c>
      <c r="Z568">
        <v>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3.4384000000000001</v>
      </c>
      <c r="AV568">
        <v>1.6166666666666667</v>
      </c>
      <c r="AW568">
        <v>879.87</v>
      </c>
      <c r="AX568">
        <v>73</v>
      </c>
    </row>
    <row r="569" spans="1:56" x14ac:dyDescent="0.3">
      <c r="A569">
        <v>10568</v>
      </c>
      <c r="B569">
        <v>1</v>
      </c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1</v>
      </c>
      <c r="X569">
        <v>600</v>
      </c>
      <c r="Y569">
        <v>75</v>
      </c>
      <c r="Z569">
        <v>0</v>
      </c>
      <c r="AA569">
        <v>1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13.680000000000001</v>
      </c>
      <c r="AV569">
        <v>1</v>
      </c>
      <c r="AW569">
        <v>793.1</v>
      </c>
      <c r="AZ569">
        <v>672</v>
      </c>
      <c r="BA569">
        <v>26.7</v>
      </c>
      <c r="BD569" t="s">
        <v>140</v>
      </c>
    </row>
    <row r="570" spans="1:56" x14ac:dyDescent="0.3">
      <c r="A570">
        <v>10569</v>
      </c>
      <c r="B570">
        <v>1</v>
      </c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1</v>
      </c>
      <c r="X570">
        <v>600</v>
      </c>
      <c r="Y570">
        <v>75</v>
      </c>
      <c r="Z570">
        <v>0</v>
      </c>
      <c r="AA570">
        <v>1</v>
      </c>
      <c r="AB570">
        <v>0</v>
      </c>
      <c r="AC570">
        <v>0</v>
      </c>
      <c r="AD570">
        <v>800</v>
      </c>
      <c r="AE570">
        <v>0.5</v>
      </c>
      <c r="AF570">
        <v>1</v>
      </c>
      <c r="AG570">
        <v>0</v>
      </c>
      <c r="AH570">
        <v>0</v>
      </c>
      <c r="AI570">
        <v>300</v>
      </c>
      <c r="AJ570">
        <v>2</v>
      </c>
      <c r="AK570">
        <v>1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13.680000000000001</v>
      </c>
      <c r="AV570">
        <v>1</v>
      </c>
      <c r="AW570">
        <v>793.1</v>
      </c>
      <c r="AZ570">
        <v>747</v>
      </c>
      <c r="BA570">
        <v>20.6</v>
      </c>
      <c r="BD570" t="s">
        <v>140</v>
      </c>
    </row>
    <row r="571" spans="1:56" x14ac:dyDescent="0.3">
      <c r="A571">
        <v>10570</v>
      </c>
      <c r="B571">
        <v>1</v>
      </c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1</v>
      </c>
      <c r="X571">
        <v>600</v>
      </c>
      <c r="Y571">
        <v>75</v>
      </c>
      <c r="Z571">
        <v>0</v>
      </c>
      <c r="AA571">
        <v>1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13.680000000000001</v>
      </c>
      <c r="AV571">
        <v>0.66666666666666663</v>
      </c>
      <c r="AW571">
        <v>806.9</v>
      </c>
      <c r="AZ571">
        <v>672</v>
      </c>
      <c r="BA571">
        <v>26.7</v>
      </c>
      <c r="BD571" t="s">
        <v>141</v>
      </c>
    </row>
    <row r="572" spans="1:56" x14ac:dyDescent="0.3">
      <c r="A572">
        <v>10571</v>
      </c>
      <c r="B572">
        <v>1</v>
      </c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1</v>
      </c>
      <c r="X572">
        <v>600</v>
      </c>
      <c r="Y572">
        <v>75</v>
      </c>
      <c r="Z572">
        <v>0</v>
      </c>
      <c r="AA572">
        <v>1</v>
      </c>
      <c r="AB572">
        <v>0</v>
      </c>
      <c r="AC572">
        <v>0</v>
      </c>
      <c r="AD572">
        <v>800</v>
      </c>
      <c r="AE572">
        <v>0.5</v>
      </c>
      <c r="AF572">
        <v>1</v>
      </c>
      <c r="AG572">
        <v>0</v>
      </c>
      <c r="AH572">
        <v>0</v>
      </c>
      <c r="AI572">
        <v>300</v>
      </c>
      <c r="AJ572">
        <v>2</v>
      </c>
      <c r="AK572">
        <v>0</v>
      </c>
      <c r="AL572">
        <v>1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13.680000000000001</v>
      </c>
      <c r="AV572">
        <v>0.66666666666666663</v>
      </c>
      <c r="AW572">
        <v>806.9</v>
      </c>
      <c r="AZ572">
        <v>747</v>
      </c>
      <c r="BA572">
        <v>20.6</v>
      </c>
      <c r="BD572" t="s">
        <v>142</v>
      </c>
    </row>
    <row r="573" spans="1:56" x14ac:dyDescent="0.3">
      <c r="A573">
        <v>10572</v>
      </c>
      <c r="B573">
        <v>1</v>
      </c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1</v>
      </c>
      <c r="X573">
        <v>0</v>
      </c>
      <c r="Y573">
        <v>0</v>
      </c>
      <c r="Z573">
        <v>0</v>
      </c>
      <c r="AA573">
        <v>1</v>
      </c>
      <c r="AB573">
        <v>0</v>
      </c>
      <c r="AC573">
        <v>0</v>
      </c>
      <c r="AD573">
        <f>AW573</f>
        <v>777.2109999999999</v>
      </c>
      <c r="AE573">
        <v>0</v>
      </c>
      <c r="AF573">
        <v>1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9.9672000000000018</v>
      </c>
      <c r="AV573">
        <v>1.3516666666666668</v>
      </c>
      <c r="AW573">
        <v>777.2109999999999</v>
      </c>
      <c r="AX573">
        <v>66.599999999999994</v>
      </c>
      <c r="AY573">
        <v>754.7</v>
      </c>
      <c r="BD573" t="s">
        <v>60</v>
      </c>
    </row>
    <row r="574" spans="1:56" x14ac:dyDescent="0.3">
      <c r="A574">
        <v>10573</v>
      </c>
      <c r="B574">
        <v>1</v>
      </c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1</v>
      </c>
      <c r="X574">
        <v>0</v>
      </c>
      <c r="Y574">
        <v>0</v>
      </c>
      <c r="Z574">
        <v>0</v>
      </c>
      <c r="AA574">
        <v>1</v>
      </c>
      <c r="AB574">
        <v>0</v>
      </c>
      <c r="AC574">
        <v>0</v>
      </c>
      <c r="AD574">
        <f>AW574</f>
        <v>667.47799999999995</v>
      </c>
      <c r="AE574">
        <v>0</v>
      </c>
      <c r="AF574">
        <v>1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6.4328000000000012</v>
      </c>
      <c r="AV574">
        <v>4.8466666666666667</v>
      </c>
      <c r="AW574">
        <v>667.47799999999995</v>
      </c>
      <c r="AX574">
        <v>64.2</v>
      </c>
      <c r="AY574">
        <v>714</v>
      </c>
      <c r="BD574" t="s">
        <v>60</v>
      </c>
    </row>
    <row r="575" spans="1:56" x14ac:dyDescent="0.3">
      <c r="A575">
        <v>10574</v>
      </c>
      <c r="B575">
        <v>1</v>
      </c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1</v>
      </c>
      <c r="X575">
        <v>0</v>
      </c>
      <c r="Y575">
        <v>0</v>
      </c>
      <c r="Z575">
        <v>0</v>
      </c>
      <c r="AA575">
        <v>1</v>
      </c>
      <c r="AB575">
        <v>0</v>
      </c>
      <c r="AC575">
        <v>0</v>
      </c>
      <c r="AD575">
        <f>AW575</f>
        <v>778.8660000000001</v>
      </c>
      <c r="AE575">
        <v>0</v>
      </c>
      <c r="AF575">
        <v>1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9.6403999999999996</v>
      </c>
      <c r="AV575">
        <v>0.66</v>
      </c>
      <c r="AW575">
        <v>778.8660000000001</v>
      </c>
      <c r="AX575">
        <v>72</v>
      </c>
      <c r="AY575">
        <v>899</v>
      </c>
      <c r="BD575" t="s">
        <v>60</v>
      </c>
    </row>
    <row r="576" spans="1:56" x14ac:dyDescent="0.3">
      <c r="A576">
        <v>10575</v>
      </c>
      <c r="B576">
        <v>1</v>
      </c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1</v>
      </c>
      <c r="X576">
        <v>0</v>
      </c>
      <c r="Y576">
        <v>0</v>
      </c>
      <c r="Z576">
        <v>0</v>
      </c>
      <c r="AA576">
        <v>1</v>
      </c>
      <c r="AB576">
        <v>0</v>
      </c>
      <c r="AC576">
        <v>0</v>
      </c>
      <c r="AD576">
        <f>AW576</f>
        <v>785.697</v>
      </c>
      <c r="AE576">
        <v>0</v>
      </c>
      <c r="AF576">
        <v>1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9.3631999999999991</v>
      </c>
      <c r="AV576">
        <v>0.49500000000000005</v>
      </c>
      <c r="AW576">
        <v>785.697</v>
      </c>
      <c r="AX576">
        <v>69</v>
      </c>
      <c r="AY576">
        <v>947</v>
      </c>
      <c r="BD576" t="s">
        <v>60</v>
      </c>
    </row>
    <row r="577" spans="1:56" x14ac:dyDescent="0.3">
      <c r="A577">
        <v>10576</v>
      </c>
      <c r="B577">
        <v>1</v>
      </c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1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0</v>
      </c>
      <c r="AD577">
        <f>AW577</f>
        <v>771.55200000000002</v>
      </c>
      <c r="AE577">
        <v>0</v>
      </c>
      <c r="AF577">
        <v>1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8.8087999999999997</v>
      </c>
      <c r="AV577">
        <v>0.83666666666666678</v>
      </c>
      <c r="AW577">
        <v>771.55200000000002</v>
      </c>
      <c r="AX577">
        <v>52</v>
      </c>
      <c r="AY577">
        <v>483</v>
      </c>
      <c r="BD577" t="s">
        <v>60</v>
      </c>
    </row>
    <row r="578" spans="1:56" x14ac:dyDescent="0.3">
      <c r="A578">
        <v>10577</v>
      </c>
      <c r="B578">
        <v>1</v>
      </c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8.0640000000000001</v>
      </c>
      <c r="AV578">
        <v>1.05</v>
      </c>
      <c r="AW578">
        <v>778.68</v>
      </c>
      <c r="AX578">
        <v>75</v>
      </c>
    </row>
    <row r="579" spans="1:56" x14ac:dyDescent="0.3">
      <c r="A579">
        <v>10578</v>
      </c>
      <c r="B579">
        <v>1</v>
      </c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8.0640000000000001</v>
      </c>
      <c r="AV579">
        <v>2.0833333333333335</v>
      </c>
      <c r="AW579">
        <v>735.9</v>
      </c>
      <c r="AX579">
        <v>68</v>
      </c>
    </row>
    <row r="580" spans="1:56" x14ac:dyDescent="0.3">
      <c r="A580">
        <v>10579</v>
      </c>
      <c r="B580">
        <v>1</v>
      </c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8.0640000000000001</v>
      </c>
      <c r="AV580">
        <v>3.1166666666666667</v>
      </c>
      <c r="AW580">
        <v>693.12</v>
      </c>
      <c r="AX580">
        <v>79</v>
      </c>
    </row>
    <row r="581" spans="1:56" x14ac:dyDescent="0.3">
      <c r="A581">
        <v>10580</v>
      </c>
      <c r="B581">
        <v>1</v>
      </c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13.484</v>
      </c>
      <c r="AV581">
        <v>1.6833333333333333</v>
      </c>
      <c r="AW581">
        <v>711.6099999999999</v>
      </c>
      <c r="AX581">
        <v>75</v>
      </c>
    </row>
    <row r="582" spans="1:56" x14ac:dyDescent="0.3">
      <c r="A582">
        <v>10581</v>
      </c>
      <c r="B582">
        <v>1</v>
      </c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12.844000000000001</v>
      </c>
      <c r="AV582">
        <v>3.2166666666666668</v>
      </c>
      <c r="AW582">
        <v>652.87999999999988</v>
      </c>
      <c r="AX582">
        <v>68</v>
      </c>
    </row>
    <row r="583" spans="1:56" x14ac:dyDescent="0.3">
      <c r="A583">
        <v>10582</v>
      </c>
      <c r="B583">
        <v>1</v>
      </c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12.231999999999999</v>
      </c>
      <c r="AV583">
        <v>2.9499999999999997</v>
      </c>
      <c r="AW583">
        <v>668.67</v>
      </c>
      <c r="AX583">
        <v>79</v>
      </c>
    </row>
    <row r="584" spans="1:56" x14ac:dyDescent="0.3">
      <c r="A584">
        <v>10583</v>
      </c>
      <c r="B584">
        <v>1</v>
      </c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14.836</v>
      </c>
      <c r="AV584">
        <v>1.5333333333333332</v>
      </c>
      <c r="AW584">
        <v>727.31999999999994</v>
      </c>
      <c r="AX584">
        <v>72</v>
      </c>
    </row>
    <row r="585" spans="1:56" x14ac:dyDescent="0.3">
      <c r="A585">
        <v>10584</v>
      </c>
      <c r="B585">
        <v>1</v>
      </c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14.212</v>
      </c>
      <c r="AV585">
        <v>2.9333333333333336</v>
      </c>
      <c r="AW585">
        <v>673.16</v>
      </c>
      <c r="AX585">
        <v>70</v>
      </c>
    </row>
    <row r="586" spans="1:56" x14ac:dyDescent="0.3">
      <c r="A586">
        <v>10585</v>
      </c>
      <c r="B586">
        <v>1</v>
      </c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</v>
      </c>
      <c r="W586">
        <v>0</v>
      </c>
      <c r="X586">
        <v>0</v>
      </c>
      <c r="Y586">
        <v>0</v>
      </c>
      <c r="Z586">
        <v>1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15.968000000000002</v>
      </c>
      <c r="AV586">
        <v>1.4000000000000001</v>
      </c>
      <c r="AW586">
        <v>740.43999999999994</v>
      </c>
      <c r="AX586">
        <v>70</v>
      </c>
    </row>
    <row r="587" spans="1:56" x14ac:dyDescent="0.3">
      <c r="A587">
        <v>10586</v>
      </c>
      <c r="B587">
        <v>1</v>
      </c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1</v>
      </c>
      <c r="W587">
        <v>0</v>
      </c>
      <c r="X587">
        <v>0</v>
      </c>
      <c r="Y587">
        <v>0</v>
      </c>
      <c r="Z587">
        <v>1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15.388000000000002</v>
      </c>
      <c r="AV587">
        <v>2.6833333333333336</v>
      </c>
      <c r="AW587">
        <v>690.16</v>
      </c>
      <c r="AX587">
        <v>69</v>
      </c>
    </row>
    <row r="588" spans="1:56" x14ac:dyDescent="0.3">
      <c r="A588">
        <v>10587</v>
      </c>
      <c r="B588">
        <v>1</v>
      </c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1</v>
      </c>
      <c r="W588">
        <v>0</v>
      </c>
      <c r="X588">
        <v>0</v>
      </c>
      <c r="Y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12.2</v>
      </c>
      <c r="AV588">
        <v>6.416666666666667</v>
      </c>
      <c r="AW588">
        <v>540.34999999999991</v>
      </c>
      <c r="AX588">
        <v>96</v>
      </c>
    </row>
    <row r="589" spans="1:56" x14ac:dyDescent="0.3">
      <c r="A589">
        <v>10588</v>
      </c>
      <c r="B589">
        <v>1</v>
      </c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0</v>
      </c>
      <c r="X589">
        <v>0</v>
      </c>
      <c r="Y589">
        <v>0</v>
      </c>
      <c r="Z589">
        <v>1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14.2</v>
      </c>
      <c r="AV589">
        <v>6.25</v>
      </c>
      <c r="AW589">
        <v>528.25</v>
      </c>
      <c r="AX589">
        <v>97</v>
      </c>
    </row>
    <row r="590" spans="1:56" x14ac:dyDescent="0.3">
      <c r="A590">
        <v>10589</v>
      </c>
      <c r="B590">
        <v>1</v>
      </c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1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17.2</v>
      </c>
      <c r="AV590">
        <v>6</v>
      </c>
      <c r="AW590">
        <v>510.1</v>
      </c>
      <c r="AX590">
        <v>104</v>
      </c>
    </row>
    <row r="591" spans="1:56" x14ac:dyDescent="0.3">
      <c r="A591">
        <v>10590</v>
      </c>
      <c r="B591">
        <v>1</v>
      </c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1</v>
      </c>
      <c r="W591">
        <v>0</v>
      </c>
      <c r="X591">
        <v>0</v>
      </c>
      <c r="Y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19.2</v>
      </c>
      <c r="AV591">
        <v>5.833333333333333</v>
      </c>
      <c r="AW591">
        <v>498</v>
      </c>
      <c r="AX591">
        <v>105</v>
      </c>
    </row>
    <row r="592" spans="1:56" x14ac:dyDescent="0.3">
      <c r="A592">
        <v>10591</v>
      </c>
      <c r="B592">
        <v>1</v>
      </c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1</v>
      </c>
      <c r="W592">
        <v>0</v>
      </c>
      <c r="X592">
        <v>0</v>
      </c>
      <c r="Y592">
        <v>0</v>
      </c>
      <c r="Z592">
        <v>1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6.44</v>
      </c>
      <c r="AV592">
        <v>1.655</v>
      </c>
      <c r="AW592">
        <v>795.52800000000002</v>
      </c>
      <c r="AX592">
        <v>75</v>
      </c>
    </row>
    <row r="593" spans="1:56" x14ac:dyDescent="0.3">
      <c r="A593">
        <v>10592</v>
      </c>
      <c r="B593">
        <v>1</v>
      </c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1</v>
      </c>
      <c r="W593">
        <v>0</v>
      </c>
      <c r="X593">
        <v>0</v>
      </c>
      <c r="Y593">
        <v>0</v>
      </c>
      <c r="Z593">
        <v>1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5.9080000000000004</v>
      </c>
      <c r="AV593">
        <v>0.5</v>
      </c>
      <c r="AW593">
        <v>828.71499999999992</v>
      </c>
      <c r="AX593">
        <v>84</v>
      </c>
      <c r="BC593" t="s">
        <v>285</v>
      </c>
    </row>
    <row r="594" spans="1:56" x14ac:dyDescent="0.3">
      <c r="A594">
        <v>10593</v>
      </c>
      <c r="B594">
        <v>1</v>
      </c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1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6.0724000000000009</v>
      </c>
      <c r="AV594">
        <v>0.52166666666666661</v>
      </c>
      <c r="AW594">
        <v>843.49300000000005</v>
      </c>
      <c r="AX594">
        <v>67</v>
      </c>
      <c r="BC594" t="s">
        <v>285</v>
      </c>
    </row>
    <row r="595" spans="1:56" x14ac:dyDescent="0.3">
      <c r="A595">
        <v>10594</v>
      </c>
      <c r="B595">
        <v>1</v>
      </c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1</v>
      </c>
      <c r="X595">
        <v>20</v>
      </c>
      <c r="Y595">
        <v>70</v>
      </c>
      <c r="Z595">
        <v>0</v>
      </c>
      <c r="AA595">
        <v>1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9</v>
      </c>
      <c r="AV595">
        <v>1.3333333333333333</v>
      </c>
      <c r="AW595">
        <v>879.8</v>
      </c>
      <c r="AZ595">
        <v>813</v>
      </c>
      <c r="BA595">
        <v>5.22</v>
      </c>
      <c r="BC595" t="s">
        <v>285</v>
      </c>
      <c r="BD595" t="s">
        <v>143</v>
      </c>
    </row>
    <row r="596" spans="1:56" x14ac:dyDescent="0.3">
      <c r="A596">
        <v>10595</v>
      </c>
      <c r="B596">
        <v>1</v>
      </c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1</v>
      </c>
      <c r="X596">
        <v>20</v>
      </c>
      <c r="Y596">
        <v>70</v>
      </c>
      <c r="Z596">
        <v>0</v>
      </c>
      <c r="AA596">
        <v>1</v>
      </c>
      <c r="AB596">
        <v>0</v>
      </c>
      <c r="AC596">
        <v>0</v>
      </c>
      <c r="AD596">
        <v>475</v>
      </c>
      <c r="AE596">
        <v>0.25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9</v>
      </c>
      <c r="AV596">
        <v>1.3333333333333333</v>
      </c>
      <c r="AW596">
        <v>879.8</v>
      </c>
      <c r="AZ596">
        <v>1113</v>
      </c>
      <c r="BA596">
        <v>3.62</v>
      </c>
      <c r="BC596" t="s">
        <v>286</v>
      </c>
      <c r="BD596" t="s">
        <v>143</v>
      </c>
    </row>
    <row r="597" spans="1:56" x14ac:dyDescent="0.3">
      <c r="A597">
        <v>10596</v>
      </c>
      <c r="B597">
        <v>1</v>
      </c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1</v>
      </c>
      <c r="X597">
        <v>0</v>
      </c>
      <c r="Y597">
        <v>0</v>
      </c>
      <c r="Z597">
        <v>0</v>
      </c>
      <c r="AA597">
        <v>1</v>
      </c>
      <c r="AB597">
        <v>0</v>
      </c>
      <c r="AC597">
        <v>0</v>
      </c>
      <c r="AD597">
        <f>AW597</f>
        <v>884.49</v>
      </c>
      <c r="AE597">
        <v>0</v>
      </c>
      <c r="AF597">
        <v>1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5.8415999999999997</v>
      </c>
      <c r="AV597">
        <v>0.65</v>
      </c>
      <c r="AW597">
        <v>884.49</v>
      </c>
      <c r="AX597">
        <v>46</v>
      </c>
      <c r="AY597">
        <v>130</v>
      </c>
      <c r="BD597" t="s">
        <v>60</v>
      </c>
    </row>
    <row r="598" spans="1:56" x14ac:dyDescent="0.3">
      <c r="A598">
        <v>10597</v>
      </c>
      <c r="B598">
        <v>1</v>
      </c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1</v>
      </c>
      <c r="X598">
        <v>0</v>
      </c>
      <c r="Y598">
        <v>0</v>
      </c>
      <c r="Z598">
        <v>0</v>
      </c>
      <c r="AA598">
        <v>1</v>
      </c>
      <c r="AB598">
        <v>0</v>
      </c>
      <c r="AC598">
        <v>0</v>
      </c>
      <c r="AD598">
        <f>AW598</f>
        <v>884.49</v>
      </c>
      <c r="AE598">
        <v>0</v>
      </c>
      <c r="AF598">
        <v>1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5.8415999999999997</v>
      </c>
      <c r="AV598">
        <v>0.65</v>
      </c>
      <c r="AW598">
        <v>884.49</v>
      </c>
      <c r="AX598">
        <v>45</v>
      </c>
      <c r="AY598">
        <v>220</v>
      </c>
      <c r="BD598" t="s">
        <v>60</v>
      </c>
    </row>
    <row r="599" spans="1:56" x14ac:dyDescent="0.3">
      <c r="A599">
        <v>10598</v>
      </c>
      <c r="B599">
        <v>1</v>
      </c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0</v>
      </c>
      <c r="Y599">
        <v>0</v>
      </c>
      <c r="Z599">
        <v>0</v>
      </c>
      <c r="AA599">
        <v>1</v>
      </c>
      <c r="AB599">
        <v>0</v>
      </c>
      <c r="AC599">
        <v>0</v>
      </c>
      <c r="AD599">
        <f>AW599</f>
        <v>878.81200000000001</v>
      </c>
      <c r="AE599">
        <v>0</v>
      </c>
      <c r="AF599">
        <v>1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5.4472000000000005</v>
      </c>
      <c r="AV599">
        <v>0.6366666666666666</v>
      </c>
      <c r="AW599">
        <v>878.81200000000001</v>
      </c>
      <c r="AX599">
        <v>53.1</v>
      </c>
      <c r="AY599">
        <v>361</v>
      </c>
      <c r="BD599" t="s">
        <v>60</v>
      </c>
    </row>
    <row r="600" spans="1:56" x14ac:dyDescent="0.3">
      <c r="A600">
        <v>10599</v>
      </c>
      <c r="B600">
        <v>1</v>
      </c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1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10.332000000000001</v>
      </c>
      <c r="AV600">
        <v>2.0333333333333332</v>
      </c>
      <c r="AW600">
        <v>861.07</v>
      </c>
      <c r="AX600">
        <v>51</v>
      </c>
    </row>
    <row r="601" spans="1:56" x14ac:dyDescent="0.3">
      <c r="A601">
        <v>10600</v>
      </c>
      <c r="B601">
        <v>1</v>
      </c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</v>
      </c>
      <c r="W601">
        <v>0</v>
      </c>
      <c r="X601">
        <v>0</v>
      </c>
      <c r="Y601">
        <v>0</v>
      </c>
      <c r="Z601">
        <v>1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6.2384000000000004</v>
      </c>
      <c r="AV601">
        <v>0.97666666666666668</v>
      </c>
      <c r="AW601">
        <v>866.37600000000009</v>
      </c>
      <c r="AX601">
        <v>51</v>
      </c>
    </row>
    <row r="602" spans="1:56" x14ac:dyDescent="0.3">
      <c r="A602">
        <v>10601</v>
      </c>
      <c r="B602">
        <v>1</v>
      </c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1</v>
      </c>
      <c r="W602">
        <v>0</v>
      </c>
      <c r="X602">
        <v>0</v>
      </c>
      <c r="Y602">
        <v>0</v>
      </c>
      <c r="Z602">
        <v>1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6.2328000000000001</v>
      </c>
      <c r="AV602">
        <v>0.98333333333333339</v>
      </c>
      <c r="AW602">
        <v>866.46</v>
      </c>
      <c r="AX602">
        <v>51</v>
      </c>
    </row>
    <row r="603" spans="1:56" x14ac:dyDescent="0.3">
      <c r="A603">
        <v>10602</v>
      </c>
      <c r="B603">
        <v>1</v>
      </c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1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6.1</v>
      </c>
      <c r="AV603">
        <v>1</v>
      </c>
      <c r="AW603">
        <v>856.6</v>
      </c>
      <c r="AX603">
        <v>46</v>
      </c>
    </row>
    <row r="604" spans="1:56" x14ac:dyDescent="0.3">
      <c r="A604">
        <v>10603</v>
      </c>
      <c r="B604">
        <v>1</v>
      </c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X604">
        <v>0</v>
      </c>
      <c r="Y604">
        <v>0</v>
      </c>
      <c r="Z604">
        <v>1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6.1</v>
      </c>
      <c r="AV604">
        <v>1.3333333333333333</v>
      </c>
      <c r="AW604">
        <v>860.8</v>
      </c>
      <c r="AX604">
        <v>87</v>
      </c>
    </row>
    <row r="605" spans="1:56" x14ac:dyDescent="0.3">
      <c r="A605">
        <v>10604</v>
      </c>
      <c r="B605">
        <v>1</v>
      </c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1</v>
      </c>
      <c r="X605">
        <v>20</v>
      </c>
      <c r="Y605">
        <v>84</v>
      </c>
      <c r="Z605">
        <v>0</v>
      </c>
      <c r="AA605">
        <v>1</v>
      </c>
      <c r="AB605">
        <v>0</v>
      </c>
      <c r="AC605">
        <v>0</v>
      </c>
      <c r="AD605">
        <v>800</v>
      </c>
      <c r="AE605">
        <v>1</v>
      </c>
      <c r="AF605">
        <v>1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13.080000000000002</v>
      </c>
      <c r="AV605">
        <v>0.66666666666666663</v>
      </c>
      <c r="AW605">
        <v>859.6</v>
      </c>
      <c r="AZ605">
        <v>679</v>
      </c>
      <c r="BA605">
        <v>25.04</v>
      </c>
      <c r="BD605" t="s">
        <v>96</v>
      </c>
    </row>
    <row r="606" spans="1:56" x14ac:dyDescent="0.3">
      <c r="A606">
        <v>10605</v>
      </c>
      <c r="B606">
        <v>1</v>
      </c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</v>
      </c>
      <c r="X606">
        <v>20</v>
      </c>
      <c r="Y606">
        <v>84</v>
      </c>
      <c r="Z606">
        <v>0</v>
      </c>
      <c r="AA606">
        <v>1</v>
      </c>
      <c r="AB606">
        <v>0</v>
      </c>
      <c r="AC606">
        <v>0</v>
      </c>
      <c r="AD606">
        <v>800</v>
      </c>
      <c r="AE606">
        <v>1</v>
      </c>
      <c r="AF606">
        <v>1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13.080000000000002</v>
      </c>
      <c r="AV606">
        <v>1.3333333333333333</v>
      </c>
      <c r="AW606">
        <v>868</v>
      </c>
      <c r="AZ606">
        <v>622</v>
      </c>
      <c r="BA606">
        <v>19.16</v>
      </c>
      <c r="BD606" t="s">
        <v>96</v>
      </c>
    </row>
    <row r="607" spans="1:56" x14ac:dyDescent="0.3">
      <c r="A607">
        <v>10606</v>
      </c>
      <c r="B607">
        <v>1</v>
      </c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20</v>
      </c>
      <c r="Y607">
        <v>84</v>
      </c>
      <c r="Z607">
        <v>0</v>
      </c>
      <c r="AA607">
        <v>1</v>
      </c>
      <c r="AB607">
        <v>0</v>
      </c>
      <c r="AC607">
        <v>0</v>
      </c>
      <c r="AD607">
        <v>800</v>
      </c>
      <c r="AE607">
        <v>1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13.080000000000002</v>
      </c>
      <c r="AV607">
        <v>2</v>
      </c>
      <c r="AW607">
        <v>876.40000000000009</v>
      </c>
      <c r="AZ607">
        <v>577</v>
      </c>
      <c r="BA607">
        <v>28.81</v>
      </c>
      <c r="BD607" t="s">
        <v>96</v>
      </c>
    </row>
    <row r="608" spans="1:56" x14ac:dyDescent="0.3">
      <c r="A608">
        <v>10607</v>
      </c>
      <c r="B608">
        <v>1</v>
      </c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20</v>
      </c>
      <c r="Y608">
        <v>84</v>
      </c>
      <c r="Z608">
        <v>0</v>
      </c>
      <c r="AA608">
        <v>1</v>
      </c>
      <c r="AB608">
        <v>0</v>
      </c>
      <c r="AC608">
        <v>0</v>
      </c>
      <c r="AD608">
        <v>800</v>
      </c>
      <c r="AE608">
        <v>1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13.080000000000002</v>
      </c>
      <c r="AV608">
        <v>2.6666666666666665</v>
      </c>
      <c r="AW608">
        <v>884.80000000000007</v>
      </c>
      <c r="AZ608">
        <v>582</v>
      </c>
      <c r="BA608">
        <v>23.83</v>
      </c>
      <c r="BD608" t="s">
        <v>96</v>
      </c>
    </row>
    <row r="609" spans="1:56" x14ac:dyDescent="0.3">
      <c r="A609">
        <v>10608</v>
      </c>
      <c r="B609">
        <v>1</v>
      </c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20</v>
      </c>
      <c r="Y609">
        <v>84</v>
      </c>
      <c r="Z609">
        <v>0</v>
      </c>
      <c r="AA609">
        <v>1</v>
      </c>
      <c r="AB609">
        <v>0</v>
      </c>
      <c r="AC609">
        <v>0</v>
      </c>
      <c r="AD609">
        <v>800</v>
      </c>
      <c r="AE609">
        <v>1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13.080000000000002</v>
      </c>
      <c r="AV609">
        <v>0.66666666666666663</v>
      </c>
      <c r="AW609">
        <v>859.6</v>
      </c>
      <c r="AZ609">
        <v>679</v>
      </c>
      <c r="BA609">
        <v>25.15</v>
      </c>
      <c r="BD609" t="s">
        <v>144</v>
      </c>
    </row>
    <row r="610" spans="1:56" x14ac:dyDescent="0.3">
      <c r="A610">
        <v>10609</v>
      </c>
      <c r="B610">
        <v>1</v>
      </c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20</v>
      </c>
      <c r="Y610">
        <v>84</v>
      </c>
      <c r="Z610">
        <v>0</v>
      </c>
      <c r="AA610">
        <v>1</v>
      </c>
      <c r="AB610">
        <v>0</v>
      </c>
      <c r="AC610">
        <v>0</v>
      </c>
      <c r="AD610">
        <v>800</v>
      </c>
      <c r="AE610">
        <v>1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13.080000000000002</v>
      </c>
      <c r="AV610">
        <v>1.3333333333333333</v>
      </c>
      <c r="AW610">
        <v>868</v>
      </c>
      <c r="AZ610">
        <v>622</v>
      </c>
      <c r="BA610">
        <v>19.04</v>
      </c>
      <c r="BD610" t="s">
        <v>145</v>
      </c>
    </row>
    <row r="611" spans="1:56" x14ac:dyDescent="0.3">
      <c r="A611">
        <v>10610</v>
      </c>
      <c r="B611">
        <v>1</v>
      </c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20</v>
      </c>
      <c r="Y611">
        <v>84</v>
      </c>
      <c r="Z611">
        <v>0</v>
      </c>
      <c r="AA611">
        <v>1</v>
      </c>
      <c r="AB611">
        <v>0</v>
      </c>
      <c r="AC611">
        <v>0</v>
      </c>
      <c r="AD611">
        <v>800</v>
      </c>
      <c r="AE611">
        <v>1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13.080000000000002</v>
      </c>
      <c r="AV611">
        <v>2</v>
      </c>
      <c r="AW611">
        <v>876.40000000000009</v>
      </c>
      <c r="AZ611">
        <v>577</v>
      </c>
      <c r="BA611">
        <v>28.77</v>
      </c>
      <c r="BD611" t="s">
        <v>146</v>
      </c>
    </row>
    <row r="612" spans="1:56" x14ac:dyDescent="0.3">
      <c r="A612">
        <v>10611</v>
      </c>
      <c r="B612">
        <v>1</v>
      </c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20</v>
      </c>
      <c r="Y612">
        <v>84</v>
      </c>
      <c r="Z612">
        <v>0</v>
      </c>
      <c r="AA612">
        <v>1</v>
      </c>
      <c r="AB612">
        <v>0</v>
      </c>
      <c r="AC612">
        <v>0</v>
      </c>
      <c r="AD612">
        <v>800</v>
      </c>
      <c r="AE612">
        <v>1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13.080000000000002</v>
      </c>
      <c r="AV612">
        <v>2.6666666666666665</v>
      </c>
      <c r="AW612">
        <v>884.80000000000007</v>
      </c>
      <c r="AZ612">
        <v>582</v>
      </c>
      <c r="BA612">
        <v>23.78</v>
      </c>
      <c r="BD612" t="s">
        <v>147</v>
      </c>
    </row>
    <row r="613" spans="1:56" x14ac:dyDescent="0.3">
      <c r="A613">
        <v>10612</v>
      </c>
      <c r="B613">
        <v>1</v>
      </c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1</v>
      </c>
      <c r="X613">
        <v>0</v>
      </c>
      <c r="Y613">
        <v>0</v>
      </c>
      <c r="Z613">
        <v>0</v>
      </c>
      <c r="AA613">
        <v>1</v>
      </c>
      <c r="AB613">
        <v>0</v>
      </c>
      <c r="AC613">
        <v>0</v>
      </c>
      <c r="AD613">
        <f>AW613</f>
        <v>853.83199999999999</v>
      </c>
      <c r="AE613">
        <v>0</v>
      </c>
      <c r="AF613">
        <v>1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10.504</v>
      </c>
      <c r="AV613">
        <v>0.89333333333333342</v>
      </c>
      <c r="AW613">
        <v>853.83199999999999</v>
      </c>
      <c r="AX613">
        <v>71</v>
      </c>
      <c r="AY613">
        <v>765</v>
      </c>
      <c r="BD613" t="s">
        <v>60</v>
      </c>
    </row>
    <row r="614" spans="1:56" x14ac:dyDescent="0.3">
      <c r="A614">
        <v>10613</v>
      </c>
      <c r="B614">
        <v>1</v>
      </c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1</v>
      </c>
      <c r="W614">
        <v>0</v>
      </c>
      <c r="X614">
        <v>0</v>
      </c>
      <c r="Y614">
        <v>0</v>
      </c>
      <c r="Z614">
        <v>1</v>
      </c>
      <c r="AA614">
        <v>0</v>
      </c>
      <c r="AB614">
        <v>0</v>
      </c>
      <c r="AC614">
        <v>0</v>
      </c>
      <c r="AD614">
        <v>1000</v>
      </c>
      <c r="AE614">
        <v>1</v>
      </c>
      <c r="AF614">
        <v>0</v>
      </c>
      <c r="AG614">
        <v>0</v>
      </c>
      <c r="AH614">
        <v>1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5.833333333333333</v>
      </c>
      <c r="AW614">
        <v>855.5</v>
      </c>
      <c r="AZ614">
        <v>1016</v>
      </c>
      <c r="BA614">
        <v>5.8</v>
      </c>
      <c r="BD614" t="s">
        <v>114</v>
      </c>
    </row>
    <row r="615" spans="1:56" x14ac:dyDescent="0.3">
      <c r="A615">
        <v>10614</v>
      </c>
      <c r="B615">
        <v>1</v>
      </c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1000</v>
      </c>
      <c r="AE615">
        <v>1</v>
      </c>
      <c r="AF615">
        <v>0</v>
      </c>
      <c r="AG615">
        <v>0</v>
      </c>
      <c r="AH615">
        <v>1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5</v>
      </c>
      <c r="AV615">
        <v>5.833333333333333</v>
      </c>
      <c r="AW615">
        <v>808</v>
      </c>
      <c r="AZ615">
        <v>1260</v>
      </c>
      <c r="BA615">
        <v>8.4</v>
      </c>
      <c r="BD615" t="s">
        <v>114</v>
      </c>
    </row>
    <row r="616" spans="1:56" x14ac:dyDescent="0.3">
      <c r="A616">
        <v>10615</v>
      </c>
      <c r="B616">
        <v>1</v>
      </c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1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1000</v>
      </c>
      <c r="AE616">
        <v>1</v>
      </c>
      <c r="AF616">
        <v>0</v>
      </c>
      <c r="AG616">
        <v>0</v>
      </c>
      <c r="AH616">
        <v>1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10</v>
      </c>
      <c r="AV616">
        <v>5.833333333333333</v>
      </c>
      <c r="AW616">
        <v>760.5</v>
      </c>
      <c r="AZ616">
        <v>724</v>
      </c>
      <c r="BA616">
        <v>9.3000000000000007</v>
      </c>
      <c r="BD616" t="s">
        <v>114</v>
      </c>
    </row>
    <row r="617" spans="1:56" x14ac:dyDescent="0.3">
      <c r="A617">
        <v>10616</v>
      </c>
      <c r="B617">
        <v>1</v>
      </c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0</v>
      </c>
      <c r="Y617">
        <v>0</v>
      </c>
      <c r="Z617">
        <v>0</v>
      </c>
      <c r="AA617">
        <v>1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5.833333333333333</v>
      </c>
      <c r="AW617">
        <v>855.5</v>
      </c>
      <c r="AY617">
        <v>966</v>
      </c>
      <c r="AZ617">
        <v>1016</v>
      </c>
      <c r="BA617">
        <v>5.8</v>
      </c>
      <c r="BB617">
        <v>342</v>
      </c>
      <c r="BD617" t="s">
        <v>98</v>
      </c>
    </row>
    <row r="618" spans="1:56" x14ac:dyDescent="0.3">
      <c r="A618">
        <v>10617</v>
      </c>
      <c r="B618">
        <v>1</v>
      </c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0</v>
      </c>
      <c r="Y618">
        <v>0</v>
      </c>
      <c r="Z618">
        <v>0</v>
      </c>
      <c r="AA618">
        <v>1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5</v>
      </c>
      <c r="AV618">
        <v>5.833333333333333</v>
      </c>
      <c r="AW618">
        <v>808</v>
      </c>
      <c r="AY618">
        <v>1198</v>
      </c>
      <c r="AZ618">
        <v>1260</v>
      </c>
      <c r="BA618">
        <v>8.4</v>
      </c>
      <c r="BB618">
        <v>388</v>
      </c>
      <c r="BD618" t="s">
        <v>98</v>
      </c>
    </row>
    <row r="619" spans="1:56" x14ac:dyDescent="0.3">
      <c r="A619">
        <v>10618</v>
      </c>
      <c r="B619">
        <v>1</v>
      </c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0</v>
      </c>
      <c r="Y619">
        <v>0</v>
      </c>
      <c r="Z619">
        <v>0</v>
      </c>
      <c r="AA619">
        <v>1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10</v>
      </c>
      <c r="AV619">
        <v>5.833333333333333</v>
      </c>
      <c r="AW619">
        <v>760.5</v>
      </c>
      <c r="AY619">
        <v>711</v>
      </c>
      <c r="AZ619">
        <v>724</v>
      </c>
      <c r="BA619">
        <v>9.3000000000000007</v>
      </c>
      <c r="BB619">
        <v>275</v>
      </c>
      <c r="BC619" t="s">
        <v>351</v>
      </c>
      <c r="BD619" t="s">
        <v>98</v>
      </c>
    </row>
    <row r="620" spans="1:56" x14ac:dyDescent="0.3">
      <c r="A620">
        <v>10619</v>
      </c>
      <c r="B620">
        <v>1</v>
      </c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-6.2959999999999994</v>
      </c>
      <c r="AV620">
        <v>7.3666666666666663</v>
      </c>
      <c r="AW620">
        <v>871.71</v>
      </c>
      <c r="AZ620">
        <v>787.75</v>
      </c>
      <c r="BA620">
        <v>13.42</v>
      </c>
      <c r="BC620" t="s">
        <v>351</v>
      </c>
      <c r="BD620" t="s">
        <v>148</v>
      </c>
    </row>
    <row r="621" spans="1:56" x14ac:dyDescent="0.3">
      <c r="A621">
        <v>10620</v>
      </c>
      <c r="B621">
        <v>1</v>
      </c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1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-5.1920000000000002</v>
      </c>
      <c r="AV621">
        <v>7.2833333333333332</v>
      </c>
      <c r="AW621">
        <v>847.94999999999993</v>
      </c>
      <c r="AZ621">
        <v>840.86</v>
      </c>
      <c r="BA621">
        <v>10.41</v>
      </c>
      <c r="BD621" t="s">
        <v>148</v>
      </c>
    </row>
    <row r="622" spans="1:56" x14ac:dyDescent="0.3">
      <c r="A622">
        <v>10621</v>
      </c>
      <c r="B622">
        <v>1</v>
      </c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1</v>
      </c>
      <c r="W622">
        <v>0</v>
      </c>
      <c r="X622">
        <v>0</v>
      </c>
      <c r="Y622">
        <v>0</v>
      </c>
      <c r="Z622">
        <v>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-4.1549999999999994</v>
      </c>
      <c r="AV622">
        <v>7.2</v>
      </c>
      <c r="AW622">
        <v>825.37</v>
      </c>
      <c r="AZ622">
        <v>963.77</v>
      </c>
      <c r="BA622">
        <v>7.18</v>
      </c>
      <c r="BD622" t="s">
        <v>148</v>
      </c>
    </row>
    <row r="623" spans="1:56" x14ac:dyDescent="0.3">
      <c r="A623">
        <v>10622</v>
      </c>
      <c r="B623">
        <v>1</v>
      </c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X623">
        <v>0</v>
      </c>
      <c r="Y623">
        <v>0</v>
      </c>
      <c r="Z623">
        <v>1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-3.1180000000000003</v>
      </c>
      <c r="AV623">
        <v>7.1333333333333337</v>
      </c>
      <c r="AW623">
        <v>802.1</v>
      </c>
      <c r="AZ623">
        <v>1070.49</v>
      </c>
      <c r="BA623">
        <v>5.13</v>
      </c>
      <c r="BD623" t="s">
        <v>148</v>
      </c>
    </row>
    <row r="624" spans="1:56" x14ac:dyDescent="0.3">
      <c r="A624">
        <v>10623</v>
      </c>
      <c r="B624">
        <v>1</v>
      </c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1</v>
      </c>
      <c r="W624">
        <v>0</v>
      </c>
      <c r="X624">
        <v>0</v>
      </c>
      <c r="Y624">
        <v>0</v>
      </c>
      <c r="Z624">
        <v>1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-2.081</v>
      </c>
      <c r="AV624">
        <v>7.0333333333333332</v>
      </c>
      <c r="AW624">
        <v>780.21</v>
      </c>
      <c r="AZ624">
        <v>1193.4000000000001</v>
      </c>
      <c r="BA624">
        <v>1.79</v>
      </c>
      <c r="BD624" t="s">
        <v>148</v>
      </c>
    </row>
    <row r="625" spans="1:56" x14ac:dyDescent="0.3">
      <c r="A625">
        <v>10624</v>
      </c>
      <c r="B625">
        <v>1</v>
      </c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X625">
        <v>0</v>
      </c>
      <c r="Y625">
        <v>0</v>
      </c>
      <c r="Z625">
        <v>1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-1.0439999999999996</v>
      </c>
      <c r="AV625">
        <v>6.9499999999999993</v>
      </c>
      <c r="AW625">
        <v>757.63</v>
      </c>
      <c r="AZ625">
        <v>1293</v>
      </c>
      <c r="BA625">
        <v>2.0099999999999998</v>
      </c>
      <c r="BD625" t="s">
        <v>148</v>
      </c>
    </row>
    <row r="626" spans="1:56" x14ac:dyDescent="0.3">
      <c r="A626">
        <v>10625</v>
      </c>
      <c r="B626">
        <v>1</v>
      </c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X626">
        <v>0</v>
      </c>
      <c r="Y626">
        <v>0</v>
      </c>
      <c r="Z626">
        <v>1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-7.3999999999999844E-2</v>
      </c>
      <c r="AV626">
        <v>6.85</v>
      </c>
      <c r="AW626">
        <v>736.92000000000007</v>
      </c>
      <c r="AZ626">
        <v>1253.07</v>
      </c>
      <c r="BA626">
        <v>4.79</v>
      </c>
      <c r="BD626" t="s">
        <v>148</v>
      </c>
    </row>
    <row r="627" spans="1:56" x14ac:dyDescent="0.3">
      <c r="A627">
        <v>10626</v>
      </c>
      <c r="B627">
        <v>1</v>
      </c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X627">
        <v>0</v>
      </c>
      <c r="Y627">
        <v>0</v>
      </c>
      <c r="Z627">
        <v>0</v>
      </c>
      <c r="AA627">
        <v>1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-6.2959999999999994</v>
      </c>
      <c r="AV627">
        <v>7.3666666666666663</v>
      </c>
      <c r="AW627">
        <v>871.71</v>
      </c>
      <c r="AZ627">
        <v>787.75</v>
      </c>
      <c r="BA627">
        <v>14</v>
      </c>
      <c r="BD627" t="s">
        <v>149</v>
      </c>
    </row>
    <row r="628" spans="1:56" x14ac:dyDescent="0.3">
      <c r="A628">
        <v>10627</v>
      </c>
      <c r="B628">
        <v>1</v>
      </c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1</v>
      </c>
      <c r="X628">
        <v>0</v>
      </c>
      <c r="Y628">
        <v>0</v>
      </c>
      <c r="Z628">
        <v>0</v>
      </c>
      <c r="AA628">
        <v>1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-5.1920000000000002</v>
      </c>
      <c r="AV628">
        <v>7.2833333333333332</v>
      </c>
      <c r="AW628">
        <v>847.94999999999993</v>
      </c>
      <c r="AZ628">
        <v>840.86</v>
      </c>
      <c r="BA628">
        <v>10.44</v>
      </c>
      <c r="BD628" t="s">
        <v>149</v>
      </c>
    </row>
    <row r="629" spans="1:56" x14ac:dyDescent="0.3">
      <c r="A629">
        <v>10628</v>
      </c>
      <c r="B629">
        <v>1</v>
      </c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1</v>
      </c>
      <c r="X629">
        <v>0</v>
      </c>
      <c r="Y629">
        <v>0</v>
      </c>
      <c r="Z629">
        <v>0</v>
      </c>
      <c r="AA629">
        <v>1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-4.1549999999999994</v>
      </c>
      <c r="AV629">
        <v>7.2</v>
      </c>
      <c r="AW629">
        <v>825.37</v>
      </c>
      <c r="AZ629">
        <v>963.77</v>
      </c>
      <c r="BA629">
        <v>7.2</v>
      </c>
      <c r="BC629" t="s">
        <v>251</v>
      </c>
      <c r="BD629" t="s">
        <v>149</v>
      </c>
    </row>
    <row r="630" spans="1:56" x14ac:dyDescent="0.3">
      <c r="A630">
        <v>10629</v>
      </c>
      <c r="B630">
        <v>1</v>
      </c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1</v>
      </c>
      <c r="X630">
        <v>0</v>
      </c>
      <c r="Y630">
        <v>0</v>
      </c>
      <c r="Z630">
        <v>0</v>
      </c>
      <c r="AA630">
        <v>1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-3.1180000000000003</v>
      </c>
      <c r="AV630">
        <v>7.1333333333333337</v>
      </c>
      <c r="AW630">
        <v>802.1</v>
      </c>
      <c r="AZ630">
        <v>1070.49</v>
      </c>
      <c r="BA630">
        <v>5.24</v>
      </c>
      <c r="BC630" t="s">
        <v>251</v>
      </c>
      <c r="BD630" t="s">
        <v>149</v>
      </c>
    </row>
    <row r="631" spans="1:56" x14ac:dyDescent="0.3">
      <c r="A631">
        <v>10630</v>
      </c>
      <c r="B631">
        <v>1</v>
      </c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</v>
      </c>
      <c r="X631">
        <v>0</v>
      </c>
      <c r="Y631">
        <v>0</v>
      </c>
      <c r="Z631">
        <v>0</v>
      </c>
      <c r="AA631">
        <v>1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-2.081</v>
      </c>
      <c r="AV631">
        <v>7.0333333333333332</v>
      </c>
      <c r="AW631">
        <v>780.21</v>
      </c>
      <c r="AZ631">
        <v>1193.4000000000001</v>
      </c>
      <c r="BA631">
        <v>1.81</v>
      </c>
      <c r="BC631" t="s">
        <v>251</v>
      </c>
      <c r="BD631" t="s">
        <v>149</v>
      </c>
    </row>
    <row r="632" spans="1:56" x14ac:dyDescent="0.3">
      <c r="A632">
        <v>10631</v>
      </c>
      <c r="B632">
        <v>1</v>
      </c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1</v>
      </c>
      <c r="X632">
        <v>0</v>
      </c>
      <c r="Y632">
        <v>0</v>
      </c>
      <c r="Z632">
        <v>0</v>
      </c>
      <c r="AA632">
        <v>1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-1.0439999999999996</v>
      </c>
      <c r="AV632">
        <v>6.9499999999999993</v>
      </c>
      <c r="AW632">
        <v>757.63</v>
      </c>
      <c r="AZ632">
        <v>1293</v>
      </c>
      <c r="BA632">
        <v>2</v>
      </c>
      <c r="BC632" t="s">
        <v>251</v>
      </c>
      <c r="BD632" t="s">
        <v>149</v>
      </c>
    </row>
    <row r="633" spans="1:56" x14ac:dyDescent="0.3">
      <c r="A633">
        <v>10632</v>
      </c>
      <c r="B633">
        <v>1</v>
      </c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1</v>
      </c>
      <c r="X633">
        <v>0</v>
      </c>
      <c r="Y633">
        <v>0</v>
      </c>
      <c r="Z633">
        <v>0</v>
      </c>
      <c r="AA633">
        <v>1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-7.3999999999999844E-2</v>
      </c>
      <c r="AV633">
        <v>6.85</v>
      </c>
      <c r="AW633">
        <v>736.92000000000007</v>
      </c>
      <c r="AZ633">
        <v>1253.07</v>
      </c>
      <c r="BA633">
        <v>4.63</v>
      </c>
      <c r="BC633" t="s">
        <v>287</v>
      </c>
      <c r="BD633" t="s">
        <v>149</v>
      </c>
    </row>
    <row r="634" spans="1:56" x14ac:dyDescent="0.3">
      <c r="A634">
        <v>10633</v>
      </c>
      <c r="B634">
        <v>1</v>
      </c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1</v>
      </c>
      <c r="X634">
        <v>0</v>
      </c>
      <c r="Y634">
        <v>0</v>
      </c>
      <c r="Z634">
        <v>0</v>
      </c>
      <c r="AA634">
        <v>1</v>
      </c>
      <c r="AB634">
        <v>0</v>
      </c>
      <c r="AC634">
        <v>0</v>
      </c>
      <c r="AD634">
        <f>AW634</f>
        <v>744.22200000000009</v>
      </c>
      <c r="AE634">
        <v>0</v>
      </c>
      <c r="AF634">
        <v>0</v>
      </c>
      <c r="AG634">
        <v>1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-7.8094999999999999</v>
      </c>
      <c r="AV634">
        <v>12.853333333333333</v>
      </c>
      <c r="AW634">
        <v>744.22200000000009</v>
      </c>
      <c r="AX634">
        <v>97</v>
      </c>
      <c r="AY634">
        <v>1181</v>
      </c>
      <c r="BC634" t="s">
        <v>288</v>
      </c>
      <c r="BD634" t="s">
        <v>60</v>
      </c>
    </row>
    <row r="635" spans="1:56" x14ac:dyDescent="0.3">
      <c r="A635">
        <v>10634</v>
      </c>
      <c r="B635">
        <v>1</v>
      </c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1</v>
      </c>
      <c r="X635">
        <v>0</v>
      </c>
      <c r="Y635">
        <v>0</v>
      </c>
      <c r="Z635">
        <v>0</v>
      </c>
      <c r="AA635">
        <v>1</v>
      </c>
      <c r="AB635">
        <v>0</v>
      </c>
      <c r="AC635">
        <v>0</v>
      </c>
      <c r="AD635">
        <f>AW635</f>
        <v>682.43599999999992</v>
      </c>
      <c r="AE635">
        <v>0</v>
      </c>
      <c r="AF635">
        <v>1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-10.1195</v>
      </c>
      <c r="AV635">
        <v>15.935000000000002</v>
      </c>
      <c r="AW635">
        <v>682.43599999999992</v>
      </c>
      <c r="AX635">
        <v>72</v>
      </c>
      <c r="AY635">
        <v>740</v>
      </c>
      <c r="BC635" t="s">
        <v>289</v>
      </c>
      <c r="BD635" t="s">
        <v>60</v>
      </c>
    </row>
    <row r="636" spans="1:56" x14ac:dyDescent="0.3">
      <c r="A636">
        <v>10635</v>
      </c>
      <c r="B636">
        <v>1</v>
      </c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1</v>
      </c>
      <c r="X636">
        <v>0</v>
      </c>
      <c r="Y636">
        <v>0</v>
      </c>
      <c r="Z636">
        <v>0</v>
      </c>
      <c r="AA636">
        <v>1</v>
      </c>
      <c r="AB636">
        <v>0</v>
      </c>
      <c r="AC636">
        <v>0</v>
      </c>
      <c r="AD636">
        <f>AW636</f>
        <v>660.50399999999991</v>
      </c>
      <c r="AE636">
        <v>0</v>
      </c>
      <c r="AF636">
        <v>1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-8.5284999999999993</v>
      </c>
      <c r="AV636">
        <v>15.756666666666668</v>
      </c>
      <c r="AW636">
        <v>660.50399999999991</v>
      </c>
      <c r="AX636">
        <v>68</v>
      </c>
      <c r="AY636">
        <v>690</v>
      </c>
      <c r="BC636" t="s">
        <v>290</v>
      </c>
      <c r="BD636" t="s">
        <v>60</v>
      </c>
    </row>
    <row r="637" spans="1:56" x14ac:dyDescent="0.3">
      <c r="A637">
        <v>10636</v>
      </c>
      <c r="B637">
        <v>1</v>
      </c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1</v>
      </c>
      <c r="X637">
        <v>0</v>
      </c>
      <c r="Y637">
        <v>0</v>
      </c>
      <c r="Z637">
        <v>0</v>
      </c>
      <c r="AA637">
        <v>1</v>
      </c>
      <c r="AB637">
        <v>0</v>
      </c>
      <c r="AC637">
        <v>0</v>
      </c>
      <c r="AD637">
        <f>AW637</f>
        <v>638.92600000000004</v>
      </c>
      <c r="AE637">
        <v>0</v>
      </c>
      <c r="AF637">
        <v>1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-6.9575999999999993</v>
      </c>
      <c r="AV637">
        <v>15.578333333333333</v>
      </c>
      <c r="AW637">
        <v>638.92600000000004</v>
      </c>
      <c r="AX637">
        <v>73</v>
      </c>
      <c r="AY637">
        <v>955</v>
      </c>
      <c r="BD637" t="s">
        <v>60</v>
      </c>
    </row>
    <row r="638" spans="1:56" x14ac:dyDescent="0.3">
      <c r="A638">
        <v>10637</v>
      </c>
      <c r="B638">
        <v>1</v>
      </c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1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f>AW638</f>
        <v>617.53600000000006</v>
      </c>
      <c r="AE638">
        <v>0</v>
      </c>
      <c r="AF638">
        <v>1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-5.4101000000000008</v>
      </c>
      <c r="AV638">
        <v>15.411666666666665</v>
      </c>
      <c r="AW638">
        <v>617.53600000000006</v>
      </c>
      <c r="AX638">
        <v>81</v>
      </c>
      <c r="AY638">
        <v>1065</v>
      </c>
      <c r="BC638" t="s">
        <v>252</v>
      </c>
      <c r="BD638" t="s">
        <v>60</v>
      </c>
    </row>
    <row r="639" spans="1:56" x14ac:dyDescent="0.3">
      <c r="A639">
        <v>10638</v>
      </c>
      <c r="B639">
        <v>1</v>
      </c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1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700</v>
      </c>
      <c r="AE639">
        <v>1</v>
      </c>
      <c r="AF639">
        <v>0</v>
      </c>
      <c r="AG639">
        <v>1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-3.0868000000000002</v>
      </c>
      <c r="AV639">
        <v>5.5616666666666674</v>
      </c>
      <c r="AW639">
        <v>837.36400000000003</v>
      </c>
      <c r="AY639">
        <v>832.57899999999995</v>
      </c>
      <c r="AZ639">
        <v>904.97699999999998</v>
      </c>
      <c r="BA639">
        <v>17.3749</v>
      </c>
      <c r="BC639" t="s">
        <v>252</v>
      </c>
      <c r="BD639" t="s">
        <v>108</v>
      </c>
    </row>
    <row r="640" spans="1:56" x14ac:dyDescent="0.3">
      <c r="A640">
        <v>10639</v>
      </c>
      <c r="B640">
        <v>1</v>
      </c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750</v>
      </c>
      <c r="AE640">
        <v>1</v>
      </c>
      <c r="AF640">
        <v>0</v>
      </c>
      <c r="AG640">
        <v>1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-3.0868000000000002</v>
      </c>
      <c r="AV640">
        <v>5.5616666666666674</v>
      </c>
      <c r="AW640">
        <v>837.36400000000003</v>
      </c>
      <c r="AY640">
        <v>744.34400000000005</v>
      </c>
      <c r="AZ640">
        <v>839.36699999999996</v>
      </c>
      <c r="BA640">
        <v>18.279499999999999</v>
      </c>
      <c r="BC640" t="s">
        <v>252</v>
      </c>
      <c r="BD640" t="s">
        <v>108</v>
      </c>
    </row>
    <row r="641" spans="1:56" x14ac:dyDescent="0.3">
      <c r="A641">
        <v>10640</v>
      </c>
      <c r="B641">
        <v>1</v>
      </c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1</v>
      </c>
      <c r="W641">
        <v>0</v>
      </c>
      <c r="X641">
        <v>0</v>
      </c>
      <c r="Y641">
        <v>0</v>
      </c>
      <c r="Z641">
        <v>1</v>
      </c>
      <c r="AA641">
        <v>0</v>
      </c>
      <c r="AB641">
        <v>0</v>
      </c>
      <c r="AC641">
        <v>0</v>
      </c>
      <c r="AD641">
        <v>800</v>
      </c>
      <c r="AE641">
        <v>1</v>
      </c>
      <c r="AF641">
        <v>0</v>
      </c>
      <c r="AG641">
        <v>1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-3.0868000000000002</v>
      </c>
      <c r="AV641">
        <v>5.5616666666666674</v>
      </c>
      <c r="AW641">
        <v>837.36400000000003</v>
      </c>
      <c r="AY641">
        <v>721.71900000000005</v>
      </c>
      <c r="AZ641">
        <v>823.529</v>
      </c>
      <c r="BA641">
        <v>18.341200000000001</v>
      </c>
      <c r="BC641" t="s">
        <v>291</v>
      </c>
      <c r="BD641" t="s">
        <v>108</v>
      </c>
    </row>
    <row r="642" spans="1:56" x14ac:dyDescent="0.3">
      <c r="A642">
        <v>10641</v>
      </c>
      <c r="B642">
        <v>1</v>
      </c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1</v>
      </c>
      <c r="W642">
        <v>0</v>
      </c>
      <c r="X642">
        <v>0</v>
      </c>
      <c r="Y642">
        <v>0</v>
      </c>
      <c r="Z642">
        <v>1</v>
      </c>
      <c r="AA642">
        <v>0</v>
      </c>
      <c r="AB642">
        <v>0</v>
      </c>
      <c r="AC642">
        <v>0</v>
      </c>
      <c r="AD642">
        <v>900</v>
      </c>
      <c r="AE642">
        <v>1</v>
      </c>
      <c r="AF642">
        <v>0</v>
      </c>
      <c r="AG642">
        <v>1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-3.0868000000000002</v>
      </c>
      <c r="AV642">
        <v>5.5616666666666674</v>
      </c>
      <c r="AW642">
        <v>837.36400000000003</v>
      </c>
      <c r="AY642">
        <v>721.71900000000005</v>
      </c>
      <c r="AZ642">
        <v>841.62900000000002</v>
      </c>
      <c r="BA642">
        <v>18.224599999999999</v>
      </c>
      <c r="BC642" t="s">
        <v>292</v>
      </c>
      <c r="BD642" t="s">
        <v>108</v>
      </c>
    </row>
    <row r="643" spans="1:56" x14ac:dyDescent="0.3">
      <c r="A643">
        <v>10642</v>
      </c>
      <c r="B643">
        <v>1</v>
      </c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X643">
        <v>0</v>
      </c>
      <c r="Y643">
        <v>0</v>
      </c>
      <c r="Z643">
        <v>1</v>
      </c>
      <c r="AA643">
        <v>0</v>
      </c>
      <c r="AB643">
        <v>0</v>
      </c>
      <c r="AC643">
        <v>0</v>
      </c>
      <c r="AD643">
        <v>950</v>
      </c>
      <c r="AE643">
        <v>1</v>
      </c>
      <c r="AF643">
        <v>0</v>
      </c>
      <c r="AG643">
        <v>1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-3.0868000000000002</v>
      </c>
      <c r="AV643">
        <v>5.5616666666666674</v>
      </c>
      <c r="AW643">
        <v>837.36400000000003</v>
      </c>
      <c r="AY643">
        <v>676.471</v>
      </c>
      <c r="AZ643">
        <v>837.10400000000004</v>
      </c>
      <c r="BA643">
        <v>14.2483</v>
      </c>
      <c r="BC643" t="s">
        <v>293</v>
      </c>
      <c r="BD643" t="s">
        <v>108</v>
      </c>
    </row>
    <row r="644" spans="1:56" x14ac:dyDescent="0.3">
      <c r="A644">
        <v>10643</v>
      </c>
      <c r="B644">
        <v>1</v>
      </c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1</v>
      </c>
      <c r="X644">
        <v>1000</v>
      </c>
      <c r="Y644">
        <v>70</v>
      </c>
      <c r="Z644">
        <v>0</v>
      </c>
      <c r="AA644">
        <v>1</v>
      </c>
      <c r="AB644">
        <v>0</v>
      </c>
      <c r="AC644">
        <v>0</v>
      </c>
      <c r="AD644">
        <v>850</v>
      </c>
      <c r="AE644">
        <v>1</v>
      </c>
      <c r="AF644">
        <v>1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4</v>
      </c>
      <c r="AV644">
        <v>6</v>
      </c>
      <c r="AW644">
        <v>629.6</v>
      </c>
      <c r="AZ644">
        <v>762</v>
      </c>
      <c r="BA644">
        <v>18.32</v>
      </c>
      <c r="BC644" t="s">
        <v>294</v>
      </c>
      <c r="BD644" t="s">
        <v>150</v>
      </c>
    </row>
    <row r="645" spans="1:56" x14ac:dyDescent="0.3">
      <c r="A645">
        <v>10644</v>
      </c>
      <c r="B645">
        <v>1</v>
      </c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1</v>
      </c>
      <c r="X645">
        <v>1000</v>
      </c>
      <c r="Y645">
        <v>70</v>
      </c>
      <c r="Z645">
        <v>0</v>
      </c>
      <c r="AA645">
        <v>1</v>
      </c>
      <c r="AB645">
        <v>0</v>
      </c>
      <c r="AC645">
        <v>0</v>
      </c>
      <c r="AD645">
        <v>850</v>
      </c>
      <c r="AE645">
        <v>1</v>
      </c>
      <c r="AF645">
        <v>1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4</v>
      </c>
      <c r="AV645">
        <v>7</v>
      </c>
      <c r="AW645">
        <v>622.20000000000005</v>
      </c>
      <c r="AZ645">
        <v>723</v>
      </c>
      <c r="BA645">
        <v>33.32</v>
      </c>
      <c r="BC645" t="s">
        <v>294</v>
      </c>
      <c r="BD645" t="s">
        <v>151</v>
      </c>
    </row>
    <row r="646" spans="1:56" x14ac:dyDescent="0.3">
      <c r="A646">
        <v>10645</v>
      </c>
      <c r="B646">
        <v>1</v>
      </c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1</v>
      </c>
      <c r="X646">
        <v>1000</v>
      </c>
      <c r="Y646">
        <v>70</v>
      </c>
      <c r="Z646">
        <v>0</v>
      </c>
      <c r="AA646">
        <v>1</v>
      </c>
      <c r="AB646">
        <v>0</v>
      </c>
      <c r="AC646">
        <v>0</v>
      </c>
      <c r="AD646">
        <v>850</v>
      </c>
      <c r="AE646">
        <v>1</v>
      </c>
      <c r="AF646">
        <v>1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4</v>
      </c>
      <c r="AV646">
        <v>8</v>
      </c>
      <c r="AW646">
        <v>614.79999999999995</v>
      </c>
      <c r="AZ646">
        <v>782</v>
      </c>
      <c r="BA646">
        <v>18.850000000000001</v>
      </c>
      <c r="BC646" t="s">
        <v>294</v>
      </c>
      <c r="BD646" t="s">
        <v>152</v>
      </c>
    </row>
    <row r="647" spans="1:56" x14ac:dyDescent="0.3">
      <c r="A647">
        <v>10646</v>
      </c>
      <c r="B647">
        <v>0</v>
      </c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1</v>
      </c>
      <c r="W647">
        <v>0</v>
      </c>
      <c r="X647">
        <v>0</v>
      </c>
      <c r="Y647">
        <v>0</v>
      </c>
      <c r="Z647">
        <v>1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-3.2</v>
      </c>
      <c r="AV647">
        <v>6.8166666666666664</v>
      </c>
      <c r="AW647">
        <v>851.18999999999994</v>
      </c>
      <c r="BC647" t="s">
        <v>294</v>
      </c>
      <c r="BD647" t="s">
        <v>154</v>
      </c>
    </row>
    <row r="648" spans="1:56" x14ac:dyDescent="0.3">
      <c r="A648">
        <v>10647</v>
      </c>
      <c r="B648">
        <v>0</v>
      </c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1</v>
      </c>
      <c r="W648">
        <v>0</v>
      </c>
      <c r="X648">
        <v>0</v>
      </c>
      <c r="Y648">
        <v>0</v>
      </c>
      <c r="Z648">
        <v>1</v>
      </c>
      <c r="AA648">
        <v>0</v>
      </c>
      <c r="AB648">
        <v>0</v>
      </c>
      <c r="AC648">
        <v>0</v>
      </c>
      <c r="AD648">
        <v>530</v>
      </c>
      <c r="AE648">
        <v>6</v>
      </c>
      <c r="AF648">
        <v>0</v>
      </c>
      <c r="AG648">
        <v>1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-3.2</v>
      </c>
      <c r="AV648">
        <v>6.8166666666666664</v>
      </c>
      <c r="AW648">
        <v>851.18999999999994</v>
      </c>
      <c r="BC648" t="s">
        <v>294</v>
      </c>
      <c r="BD648" t="s">
        <v>154</v>
      </c>
    </row>
    <row r="649" spans="1:56" x14ac:dyDescent="0.3">
      <c r="A649">
        <v>10648</v>
      </c>
      <c r="B649">
        <v>0</v>
      </c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1</v>
      </c>
      <c r="W649">
        <v>0</v>
      </c>
      <c r="X649">
        <v>0</v>
      </c>
      <c r="Y649">
        <v>0</v>
      </c>
      <c r="Z649">
        <v>1</v>
      </c>
      <c r="AA649">
        <v>0</v>
      </c>
      <c r="AB649">
        <v>0</v>
      </c>
      <c r="AC649">
        <v>0</v>
      </c>
      <c r="AD649">
        <v>700</v>
      </c>
      <c r="AE649">
        <v>6</v>
      </c>
      <c r="AF649">
        <v>0</v>
      </c>
      <c r="AG649">
        <v>1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-3.2</v>
      </c>
      <c r="AV649">
        <v>6.8166666666666664</v>
      </c>
      <c r="AW649">
        <v>851.18999999999994</v>
      </c>
      <c r="BC649" t="s">
        <v>295</v>
      </c>
      <c r="BD649" t="s">
        <v>154</v>
      </c>
    </row>
    <row r="650" spans="1:56" x14ac:dyDescent="0.3">
      <c r="A650">
        <v>10649</v>
      </c>
      <c r="B650">
        <v>0</v>
      </c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</v>
      </c>
      <c r="W650">
        <v>0</v>
      </c>
      <c r="X650">
        <v>0</v>
      </c>
      <c r="Y650">
        <v>0</v>
      </c>
      <c r="Z650">
        <v>1</v>
      </c>
      <c r="AA650">
        <v>0</v>
      </c>
      <c r="AB650">
        <v>0</v>
      </c>
      <c r="AC650">
        <v>0</v>
      </c>
      <c r="AD650">
        <v>960</v>
      </c>
      <c r="AE650">
        <v>1</v>
      </c>
      <c r="AF650">
        <v>0</v>
      </c>
      <c r="AG650">
        <v>1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-3.2</v>
      </c>
      <c r="AV650">
        <v>6.8166666666666664</v>
      </c>
      <c r="AW650">
        <v>851.18999999999994</v>
      </c>
      <c r="BC650" t="s">
        <v>296</v>
      </c>
      <c r="BD650" t="s">
        <v>154</v>
      </c>
    </row>
    <row r="651" spans="1:56" x14ac:dyDescent="0.3">
      <c r="A651">
        <v>10650</v>
      </c>
      <c r="B651">
        <v>0</v>
      </c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1</v>
      </c>
      <c r="W651">
        <v>0</v>
      </c>
      <c r="X651">
        <v>0</v>
      </c>
      <c r="Y651">
        <v>0</v>
      </c>
      <c r="Z651">
        <v>1</v>
      </c>
      <c r="AA651">
        <v>0</v>
      </c>
      <c r="AB651">
        <v>0</v>
      </c>
      <c r="AC651">
        <v>0</v>
      </c>
      <c r="AD651">
        <v>960</v>
      </c>
      <c r="AE651">
        <v>1</v>
      </c>
      <c r="AF651">
        <v>1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-3.2</v>
      </c>
      <c r="AV651">
        <v>6.8166666666666664</v>
      </c>
      <c r="AW651">
        <v>851.18999999999994</v>
      </c>
      <c r="BC651" t="s">
        <v>297</v>
      </c>
      <c r="BD651" t="s">
        <v>154</v>
      </c>
    </row>
    <row r="652" spans="1:56" x14ac:dyDescent="0.3">
      <c r="A652">
        <v>10651</v>
      </c>
      <c r="B652">
        <v>0</v>
      </c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1</v>
      </c>
      <c r="AA652">
        <v>0</v>
      </c>
      <c r="AB652">
        <v>0</v>
      </c>
      <c r="AC652">
        <v>0</v>
      </c>
      <c r="AD652">
        <v>960</v>
      </c>
      <c r="AE652">
        <v>24</v>
      </c>
      <c r="AF652">
        <v>0</v>
      </c>
      <c r="AG652">
        <v>1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-3.2</v>
      </c>
      <c r="AV652">
        <v>6.8166666666666664</v>
      </c>
      <c r="AW652">
        <v>851.18999999999994</v>
      </c>
      <c r="BC652" t="s">
        <v>298</v>
      </c>
      <c r="BD652" t="s">
        <v>154</v>
      </c>
    </row>
    <row r="653" spans="1:56" x14ac:dyDescent="0.3">
      <c r="A653">
        <v>10652</v>
      </c>
      <c r="B653">
        <v>1</v>
      </c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1</v>
      </c>
      <c r="W653">
        <v>0</v>
      </c>
      <c r="X653">
        <v>0</v>
      </c>
      <c r="Y653">
        <v>0</v>
      </c>
      <c r="Z653">
        <v>1</v>
      </c>
      <c r="AA653">
        <v>0</v>
      </c>
      <c r="AB653">
        <v>0</v>
      </c>
      <c r="AC653">
        <v>0</v>
      </c>
      <c r="AD653">
        <v>940</v>
      </c>
      <c r="AE653">
        <v>1</v>
      </c>
      <c r="AF653">
        <v>0</v>
      </c>
      <c r="AG653">
        <v>1</v>
      </c>
      <c r="AH653">
        <v>0</v>
      </c>
      <c r="AI653">
        <v>530</v>
      </c>
      <c r="AJ653">
        <v>6</v>
      </c>
      <c r="AK653">
        <v>0</v>
      </c>
      <c r="AL653">
        <v>1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-3</v>
      </c>
      <c r="AV653">
        <v>6.75</v>
      </c>
      <c r="AW653">
        <v>852.05</v>
      </c>
      <c r="BA653">
        <v>17.673300000000001</v>
      </c>
      <c r="BC653" t="s">
        <v>299</v>
      </c>
      <c r="BD653" t="s">
        <v>108</v>
      </c>
    </row>
    <row r="654" spans="1:56" x14ac:dyDescent="0.3">
      <c r="A654">
        <v>10653</v>
      </c>
      <c r="B654">
        <v>1</v>
      </c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1</v>
      </c>
      <c r="W654">
        <v>0</v>
      </c>
      <c r="X654">
        <v>0</v>
      </c>
      <c r="Y654">
        <v>0</v>
      </c>
      <c r="Z654">
        <v>1</v>
      </c>
      <c r="AA654">
        <v>0</v>
      </c>
      <c r="AB654">
        <v>0</v>
      </c>
      <c r="AC654">
        <v>0</v>
      </c>
      <c r="AD654">
        <v>940</v>
      </c>
      <c r="AE654">
        <v>1</v>
      </c>
      <c r="AF654">
        <v>1</v>
      </c>
      <c r="AG654">
        <v>0</v>
      </c>
      <c r="AH654">
        <v>0</v>
      </c>
      <c r="AI654">
        <v>530</v>
      </c>
      <c r="AJ654">
        <v>6</v>
      </c>
      <c r="AK654">
        <v>0</v>
      </c>
      <c r="AL654">
        <v>1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-3</v>
      </c>
      <c r="AV654">
        <v>6.75</v>
      </c>
      <c r="AW654">
        <v>852.05</v>
      </c>
      <c r="BA654">
        <v>7.1818299999999997</v>
      </c>
      <c r="BC654" t="s">
        <v>300</v>
      </c>
      <c r="BD654" t="s">
        <v>108</v>
      </c>
    </row>
    <row r="655" spans="1:56" x14ac:dyDescent="0.3">
      <c r="A655">
        <v>10654</v>
      </c>
      <c r="B655">
        <v>1</v>
      </c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1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960</v>
      </c>
      <c r="AE655">
        <v>1</v>
      </c>
      <c r="AF655">
        <v>0</v>
      </c>
      <c r="AG655">
        <v>1</v>
      </c>
      <c r="AH655">
        <v>0</v>
      </c>
      <c r="AI655">
        <v>530</v>
      </c>
      <c r="AJ655">
        <v>6</v>
      </c>
      <c r="AK655">
        <v>0</v>
      </c>
      <c r="AL655">
        <v>1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-3</v>
      </c>
      <c r="AV655">
        <v>6.75</v>
      </c>
      <c r="AW655">
        <v>852.05</v>
      </c>
      <c r="BA655">
        <v>15.350300000000001</v>
      </c>
      <c r="BD655" t="s">
        <v>108</v>
      </c>
    </row>
    <row r="656" spans="1:56" x14ac:dyDescent="0.3">
      <c r="A656">
        <v>10655</v>
      </c>
      <c r="B656">
        <v>1</v>
      </c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1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960</v>
      </c>
      <c r="AE656">
        <v>1</v>
      </c>
      <c r="AF656">
        <v>0</v>
      </c>
      <c r="AG656">
        <v>1</v>
      </c>
      <c r="AH656">
        <v>0</v>
      </c>
      <c r="AI656">
        <v>530</v>
      </c>
      <c r="AJ656">
        <v>6</v>
      </c>
      <c r="AK656">
        <v>0</v>
      </c>
      <c r="AL656">
        <v>1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-3</v>
      </c>
      <c r="AV656">
        <v>6.75</v>
      </c>
      <c r="AW656">
        <v>852.05</v>
      </c>
      <c r="BA656">
        <v>15.9556</v>
      </c>
      <c r="BD656" t="s">
        <v>108</v>
      </c>
    </row>
    <row r="657" spans="1:56" x14ac:dyDescent="0.3">
      <c r="A657">
        <v>10656</v>
      </c>
      <c r="B657">
        <v>1</v>
      </c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960</v>
      </c>
      <c r="AE657">
        <v>1</v>
      </c>
      <c r="AF657">
        <v>1</v>
      </c>
      <c r="AG657">
        <v>0</v>
      </c>
      <c r="AH657">
        <v>0</v>
      </c>
      <c r="AI657">
        <v>530</v>
      </c>
      <c r="AJ657">
        <v>6</v>
      </c>
      <c r="AK657">
        <v>0</v>
      </c>
      <c r="AL657">
        <v>1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-3</v>
      </c>
      <c r="AV657">
        <v>6.75</v>
      </c>
      <c r="AW657">
        <v>852.05</v>
      </c>
      <c r="BA657">
        <v>6.68804</v>
      </c>
      <c r="BD657" t="s">
        <v>108</v>
      </c>
    </row>
    <row r="658" spans="1:56" x14ac:dyDescent="0.3">
      <c r="A658">
        <v>10657</v>
      </c>
      <c r="B658">
        <v>1</v>
      </c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1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980</v>
      </c>
      <c r="AE658">
        <v>1</v>
      </c>
      <c r="AF658">
        <v>0</v>
      </c>
      <c r="AG658">
        <v>1</v>
      </c>
      <c r="AH658">
        <v>0</v>
      </c>
      <c r="AI658">
        <v>530</v>
      </c>
      <c r="AJ658">
        <v>6</v>
      </c>
      <c r="AK658">
        <v>0</v>
      </c>
      <c r="AL658">
        <v>1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-3</v>
      </c>
      <c r="AV658">
        <v>6.75</v>
      </c>
      <c r="AW658">
        <v>852.05</v>
      </c>
      <c r="BA658">
        <v>15.8582</v>
      </c>
      <c r="BD658" t="s">
        <v>108</v>
      </c>
    </row>
    <row r="659" spans="1:56" x14ac:dyDescent="0.3">
      <c r="A659">
        <v>10658</v>
      </c>
      <c r="B659">
        <v>1</v>
      </c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960</v>
      </c>
      <c r="AE659">
        <v>1</v>
      </c>
      <c r="AF659">
        <v>0</v>
      </c>
      <c r="AG659">
        <v>1</v>
      </c>
      <c r="AH659">
        <v>0</v>
      </c>
      <c r="AI659">
        <v>530</v>
      </c>
      <c r="AJ659">
        <v>1</v>
      </c>
      <c r="AK659">
        <v>0</v>
      </c>
      <c r="AL659">
        <v>1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-3</v>
      </c>
      <c r="AV659">
        <v>6.75</v>
      </c>
      <c r="AW659">
        <v>852.05</v>
      </c>
      <c r="BA659">
        <v>16.339600000000001</v>
      </c>
      <c r="BD659" t="s">
        <v>108</v>
      </c>
    </row>
    <row r="660" spans="1:56" x14ac:dyDescent="0.3">
      <c r="A660">
        <v>10659</v>
      </c>
      <c r="B660">
        <v>1</v>
      </c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1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960</v>
      </c>
      <c r="AE660">
        <v>1</v>
      </c>
      <c r="AF660">
        <v>0</v>
      </c>
      <c r="AG660">
        <v>1</v>
      </c>
      <c r="AH660">
        <v>0</v>
      </c>
      <c r="AI660">
        <v>530</v>
      </c>
      <c r="AJ660">
        <v>2</v>
      </c>
      <c r="AK660">
        <v>0</v>
      </c>
      <c r="AL660">
        <v>1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-3</v>
      </c>
      <c r="AV660">
        <v>6.75</v>
      </c>
      <c r="AW660">
        <v>852.05</v>
      </c>
      <c r="BA660">
        <v>18.302</v>
      </c>
      <c r="BD660" t="s">
        <v>108</v>
      </c>
    </row>
    <row r="661" spans="1:56" x14ac:dyDescent="0.3">
      <c r="A661">
        <v>10660</v>
      </c>
      <c r="B661">
        <v>1</v>
      </c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1</v>
      </c>
      <c r="W661">
        <v>0</v>
      </c>
      <c r="X661">
        <v>0</v>
      </c>
      <c r="Y661">
        <v>0</v>
      </c>
      <c r="Z661">
        <v>1</v>
      </c>
      <c r="AA661">
        <v>0</v>
      </c>
      <c r="AB661">
        <v>0</v>
      </c>
      <c r="AC661">
        <v>0</v>
      </c>
      <c r="AD661">
        <v>960</v>
      </c>
      <c r="AE661">
        <v>1</v>
      </c>
      <c r="AF661">
        <v>0</v>
      </c>
      <c r="AG661">
        <v>1</v>
      </c>
      <c r="AH661">
        <v>0</v>
      </c>
      <c r="AI661">
        <v>530</v>
      </c>
      <c r="AJ661">
        <v>4</v>
      </c>
      <c r="AK661">
        <v>0</v>
      </c>
      <c r="AL661">
        <v>1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-3</v>
      </c>
      <c r="AV661">
        <v>6.75</v>
      </c>
      <c r="AW661">
        <v>852.05</v>
      </c>
      <c r="BA661">
        <v>16.680900000000001</v>
      </c>
      <c r="BD661" t="s">
        <v>108</v>
      </c>
    </row>
    <row r="662" spans="1:56" x14ac:dyDescent="0.3">
      <c r="A662">
        <v>10661</v>
      </c>
      <c r="B662">
        <v>1</v>
      </c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1</v>
      </c>
      <c r="W662">
        <v>0</v>
      </c>
      <c r="X662">
        <v>0</v>
      </c>
      <c r="Y662">
        <v>0</v>
      </c>
      <c r="Z662">
        <v>1</v>
      </c>
      <c r="AA662">
        <v>0</v>
      </c>
      <c r="AB662">
        <v>0</v>
      </c>
      <c r="AC662">
        <v>0</v>
      </c>
      <c r="AD662">
        <v>960</v>
      </c>
      <c r="AE662">
        <v>1</v>
      </c>
      <c r="AF662">
        <v>0</v>
      </c>
      <c r="AG662">
        <v>1</v>
      </c>
      <c r="AH662">
        <v>0</v>
      </c>
      <c r="AI662">
        <v>530</v>
      </c>
      <c r="AJ662">
        <v>12</v>
      </c>
      <c r="AK662">
        <v>0</v>
      </c>
      <c r="AL662">
        <v>1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-3</v>
      </c>
      <c r="AV662">
        <v>6.75</v>
      </c>
      <c r="AW662">
        <v>852.05</v>
      </c>
      <c r="BA662">
        <v>15.4863</v>
      </c>
      <c r="BD662" t="s">
        <v>108</v>
      </c>
    </row>
    <row r="663" spans="1:56" x14ac:dyDescent="0.3">
      <c r="A663">
        <v>10662</v>
      </c>
      <c r="B663">
        <v>1</v>
      </c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960</v>
      </c>
      <c r="AE663">
        <v>1</v>
      </c>
      <c r="AF663">
        <v>0</v>
      </c>
      <c r="AG663">
        <v>1</v>
      </c>
      <c r="AH663">
        <v>0</v>
      </c>
      <c r="AI663">
        <v>530</v>
      </c>
      <c r="AJ663">
        <v>24</v>
      </c>
      <c r="AK663">
        <v>0</v>
      </c>
      <c r="AL663">
        <v>1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-3</v>
      </c>
      <c r="AV663">
        <v>6.75</v>
      </c>
      <c r="AW663">
        <v>852.05</v>
      </c>
      <c r="BA663">
        <v>16.382300000000001</v>
      </c>
      <c r="BD663" t="s">
        <v>108</v>
      </c>
    </row>
    <row r="664" spans="1:56" x14ac:dyDescent="0.3">
      <c r="A664">
        <v>10663</v>
      </c>
      <c r="B664">
        <v>1</v>
      </c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980</v>
      </c>
      <c r="AE664">
        <v>1</v>
      </c>
      <c r="AF664">
        <v>1</v>
      </c>
      <c r="AG664">
        <v>0</v>
      </c>
      <c r="AH664">
        <v>0</v>
      </c>
      <c r="AI664">
        <v>700</v>
      </c>
      <c r="AJ664">
        <v>6</v>
      </c>
      <c r="AK664">
        <v>0</v>
      </c>
      <c r="AL664">
        <v>1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-3</v>
      </c>
      <c r="AV664">
        <v>6.75</v>
      </c>
      <c r="AW664">
        <v>852.05</v>
      </c>
      <c r="AY664">
        <v>1046</v>
      </c>
      <c r="AZ664">
        <v>1217</v>
      </c>
      <c r="BA664">
        <v>10.656499999999999</v>
      </c>
      <c r="BD664" t="s">
        <v>108</v>
      </c>
    </row>
    <row r="665" spans="1:56" x14ac:dyDescent="0.3">
      <c r="A665">
        <v>10664</v>
      </c>
      <c r="B665">
        <v>1</v>
      </c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980</v>
      </c>
      <c r="AE665">
        <v>1</v>
      </c>
      <c r="AF665">
        <v>1</v>
      </c>
      <c r="AG665">
        <v>0</v>
      </c>
      <c r="AH665">
        <v>0</v>
      </c>
      <c r="AI665">
        <v>750</v>
      </c>
      <c r="AJ665">
        <v>6</v>
      </c>
      <c r="AK665">
        <v>0</v>
      </c>
      <c r="AL665">
        <v>1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-3</v>
      </c>
      <c r="AV665">
        <v>6.75</v>
      </c>
      <c r="AW665">
        <v>852.05</v>
      </c>
      <c r="AY665">
        <v>1034</v>
      </c>
      <c r="AZ665">
        <v>1095</v>
      </c>
      <c r="BA665">
        <v>13.5304</v>
      </c>
      <c r="BC665" t="s">
        <v>301</v>
      </c>
      <c r="BD665" t="s">
        <v>108</v>
      </c>
    </row>
    <row r="666" spans="1:56" x14ac:dyDescent="0.3">
      <c r="A666">
        <v>10665</v>
      </c>
      <c r="B666">
        <v>1</v>
      </c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980</v>
      </c>
      <c r="AE666">
        <v>1</v>
      </c>
      <c r="AF666">
        <v>1</v>
      </c>
      <c r="AG666">
        <v>0</v>
      </c>
      <c r="AH666">
        <v>0</v>
      </c>
      <c r="AI666">
        <v>800</v>
      </c>
      <c r="AJ666">
        <v>6</v>
      </c>
      <c r="AK666">
        <v>0</v>
      </c>
      <c r="AL666">
        <v>1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-3</v>
      </c>
      <c r="AV666">
        <v>6.75</v>
      </c>
      <c r="AW666">
        <v>852.05</v>
      </c>
      <c r="AY666">
        <v>937</v>
      </c>
      <c r="AZ666">
        <v>1008</v>
      </c>
      <c r="BA666">
        <v>15.642200000000001</v>
      </c>
      <c r="BC666" t="s">
        <v>302</v>
      </c>
      <c r="BD666" t="s">
        <v>108</v>
      </c>
    </row>
    <row r="667" spans="1:56" x14ac:dyDescent="0.3">
      <c r="A667">
        <v>10666</v>
      </c>
      <c r="B667">
        <v>1</v>
      </c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990</v>
      </c>
      <c r="AE667">
        <v>1</v>
      </c>
      <c r="AF667">
        <v>1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-3</v>
      </c>
      <c r="AV667">
        <v>6.75</v>
      </c>
      <c r="AW667">
        <v>852.05</v>
      </c>
      <c r="BA667">
        <v>14.747299999999999</v>
      </c>
      <c r="BC667" t="s">
        <v>303</v>
      </c>
      <c r="BD667" t="s">
        <v>108</v>
      </c>
    </row>
    <row r="668" spans="1:56" x14ac:dyDescent="0.3">
      <c r="A668">
        <v>10667</v>
      </c>
      <c r="B668">
        <v>1</v>
      </c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990</v>
      </c>
      <c r="AE668">
        <v>1</v>
      </c>
      <c r="AF668">
        <v>1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-3</v>
      </c>
      <c r="AV668">
        <v>6.75</v>
      </c>
      <c r="AW668">
        <v>852.05</v>
      </c>
      <c r="BA668">
        <v>16.362400000000001</v>
      </c>
      <c r="BD668" t="s">
        <v>108</v>
      </c>
    </row>
    <row r="669" spans="1:56" x14ac:dyDescent="0.3">
      <c r="A669">
        <v>10668</v>
      </c>
      <c r="B669">
        <v>1</v>
      </c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1</v>
      </c>
      <c r="AA669">
        <v>0</v>
      </c>
      <c r="AB669">
        <v>0</v>
      </c>
      <c r="AC669">
        <v>0</v>
      </c>
      <c r="AD669">
        <v>990</v>
      </c>
      <c r="AE669">
        <v>1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-3</v>
      </c>
      <c r="AV669">
        <v>6.75</v>
      </c>
      <c r="AW669">
        <v>852.05</v>
      </c>
      <c r="BA669">
        <v>17.0229</v>
      </c>
      <c r="BD669" t="s">
        <v>108</v>
      </c>
    </row>
    <row r="670" spans="1:56" x14ac:dyDescent="0.3">
      <c r="A670">
        <v>10669</v>
      </c>
      <c r="B670">
        <v>1</v>
      </c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1</v>
      </c>
      <c r="AA670">
        <v>0</v>
      </c>
      <c r="AB670">
        <v>0</v>
      </c>
      <c r="AC670">
        <v>0</v>
      </c>
      <c r="AD670">
        <v>970</v>
      </c>
      <c r="AE670">
        <v>1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-3</v>
      </c>
      <c r="AV670">
        <v>6.75</v>
      </c>
      <c r="AW670">
        <v>852.05</v>
      </c>
      <c r="BA670">
        <v>15.694800000000001</v>
      </c>
      <c r="BD670" t="s">
        <v>108</v>
      </c>
    </row>
    <row r="671" spans="1:56" x14ac:dyDescent="0.3">
      <c r="A671">
        <v>10670</v>
      </c>
      <c r="B671">
        <v>1</v>
      </c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1</v>
      </c>
      <c r="AA671">
        <v>0</v>
      </c>
      <c r="AB671">
        <v>0</v>
      </c>
      <c r="AC671">
        <v>0</v>
      </c>
      <c r="AD671">
        <v>970</v>
      </c>
      <c r="AE671">
        <v>1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-3</v>
      </c>
      <c r="AV671">
        <v>6.75</v>
      </c>
      <c r="AW671">
        <v>852.05</v>
      </c>
      <c r="BA671">
        <v>16.764399999999998</v>
      </c>
      <c r="BD671" t="s">
        <v>108</v>
      </c>
    </row>
    <row r="672" spans="1:56" x14ac:dyDescent="0.3">
      <c r="A672">
        <v>10671</v>
      </c>
      <c r="B672">
        <v>1</v>
      </c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1</v>
      </c>
      <c r="AA672">
        <v>0</v>
      </c>
      <c r="AB672">
        <v>0</v>
      </c>
      <c r="AC672">
        <v>0</v>
      </c>
      <c r="AD672">
        <v>970</v>
      </c>
      <c r="AE672">
        <v>1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-3</v>
      </c>
      <c r="AV672">
        <v>6.75</v>
      </c>
      <c r="AW672">
        <v>852.05</v>
      </c>
      <c r="BA672">
        <v>17.355399999999999</v>
      </c>
      <c r="BD672" t="s">
        <v>108</v>
      </c>
    </row>
    <row r="673" spans="1:56" x14ac:dyDescent="0.3">
      <c r="A673">
        <v>10672</v>
      </c>
      <c r="B673">
        <v>0</v>
      </c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1</v>
      </c>
      <c r="AA673">
        <v>0</v>
      </c>
      <c r="AB673">
        <v>0</v>
      </c>
      <c r="AC673">
        <v>0</v>
      </c>
      <c r="AD673">
        <v>700</v>
      </c>
      <c r="AE673">
        <v>1</v>
      </c>
      <c r="AF673">
        <v>0</v>
      </c>
      <c r="AG673">
        <v>1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-2.5173000000000001</v>
      </c>
      <c r="AV673">
        <v>5.87</v>
      </c>
      <c r="AW673">
        <v>838.04099999999994</v>
      </c>
      <c r="BD673" t="s">
        <v>155</v>
      </c>
    </row>
    <row r="674" spans="1:56" x14ac:dyDescent="0.3">
      <c r="A674">
        <v>10673</v>
      </c>
      <c r="B674">
        <v>0</v>
      </c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1</v>
      </c>
      <c r="AA674">
        <v>0</v>
      </c>
      <c r="AB674">
        <v>0</v>
      </c>
      <c r="AC674">
        <v>0</v>
      </c>
      <c r="AD674">
        <v>800</v>
      </c>
      <c r="AE674">
        <v>1</v>
      </c>
      <c r="AF674">
        <v>0</v>
      </c>
      <c r="AG674">
        <v>1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-2.5173000000000001</v>
      </c>
      <c r="AV674">
        <v>5.87</v>
      </c>
      <c r="AW674">
        <v>838.04099999999994</v>
      </c>
      <c r="BD674" t="s">
        <v>155</v>
      </c>
    </row>
    <row r="675" spans="1:56" x14ac:dyDescent="0.3">
      <c r="A675">
        <v>10674</v>
      </c>
      <c r="B675">
        <v>0</v>
      </c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1</v>
      </c>
      <c r="AA675">
        <v>0</v>
      </c>
      <c r="AB675">
        <v>0</v>
      </c>
      <c r="AC675">
        <v>0</v>
      </c>
      <c r="AD675">
        <v>900</v>
      </c>
      <c r="AE675">
        <v>1</v>
      </c>
      <c r="AF675">
        <v>0</v>
      </c>
      <c r="AG675">
        <v>1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-2.5173000000000001</v>
      </c>
      <c r="AV675">
        <v>5.87</v>
      </c>
      <c r="AW675">
        <v>838.04099999999994</v>
      </c>
      <c r="BD675" t="s">
        <v>155</v>
      </c>
    </row>
    <row r="676" spans="1:56" x14ac:dyDescent="0.3">
      <c r="A676">
        <v>10675</v>
      </c>
      <c r="B676">
        <v>0</v>
      </c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1</v>
      </c>
      <c r="AA676">
        <v>0</v>
      </c>
      <c r="AB676">
        <v>0</v>
      </c>
      <c r="AC676">
        <v>0</v>
      </c>
      <c r="AD676">
        <v>1000</v>
      </c>
      <c r="AE676">
        <v>1</v>
      </c>
      <c r="AF676">
        <v>0</v>
      </c>
      <c r="AG676">
        <v>1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-2.5173000000000001</v>
      </c>
      <c r="AV676">
        <v>5.87</v>
      </c>
      <c r="AW676">
        <v>838.04099999999994</v>
      </c>
      <c r="BD676" t="s">
        <v>155</v>
      </c>
    </row>
    <row r="677" spans="1:56" x14ac:dyDescent="0.3">
      <c r="A677">
        <v>10676</v>
      </c>
      <c r="B677">
        <v>1</v>
      </c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1</v>
      </c>
      <c r="AB677">
        <v>0</v>
      </c>
      <c r="AC677">
        <v>0</v>
      </c>
      <c r="AD677">
        <v>890</v>
      </c>
      <c r="AE677">
        <v>0.5</v>
      </c>
      <c r="AF677">
        <v>1</v>
      </c>
      <c r="AG677">
        <v>0</v>
      </c>
      <c r="AH677">
        <v>0</v>
      </c>
      <c r="AI677">
        <v>760</v>
      </c>
      <c r="AJ677">
        <v>0.5</v>
      </c>
      <c r="AK677">
        <v>1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6.12</v>
      </c>
      <c r="AV677">
        <v>4.7</v>
      </c>
      <c r="AW677">
        <v>797.91499999999996</v>
      </c>
      <c r="AY677">
        <v>370.3</v>
      </c>
      <c r="AZ677">
        <v>993.4</v>
      </c>
      <c r="BA677">
        <v>21.8</v>
      </c>
      <c r="BD677" t="s">
        <v>91</v>
      </c>
    </row>
    <row r="678" spans="1:56" x14ac:dyDescent="0.3">
      <c r="A678">
        <v>10677</v>
      </c>
      <c r="B678">
        <v>1</v>
      </c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0</v>
      </c>
      <c r="Z678">
        <v>0</v>
      </c>
      <c r="AA678">
        <v>1</v>
      </c>
      <c r="AB678">
        <v>0</v>
      </c>
      <c r="AC678">
        <v>0</v>
      </c>
      <c r="AD678">
        <v>890</v>
      </c>
      <c r="AE678">
        <v>0.5</v>
      </c>
      <c r="AF678">
        <v>1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6.12</v>
      </c>
      <c r="AV678">
        <v>4.7</v>
      </c>
      <c r="AW678">
        <v>797.91499999999996</v>
      </c>
      <c r="AY678">
        <v>343</v>
      </c>
      <c r="AZ678">
        <v>1145.4000000000001</v>
      </c>
      <c r="BA678">
        <v>20.5</v>
      </c>
      <c r="BD678" t="s">
        <v>157</v>
      </c>
    </row>
    <row r="679" spans="1:56" x14ac:dyDescent="0.3">
      <c r="A679">
        <v>10678</v>
      </c>
      <c r="B679">
        <v>1</v>
      </c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0</v>
      </c>
      <c r="Z679">
        <v>0</v>
      </c>
      <c r="AA679">
        <v>1</v>
      </c>
      <c r="AB679">
        <v>0</v>
      </c>
      <c r="AC679">
        <v>0</v>
      </c>
      <c r="AD679">
        <v>780</v>
      </c>
      <c r="AE679">
        <v>0.5</v>
      </c>
      <c r="AF679">
        <v>1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6.12</v>
      </c>
      <c r="AV679">
        <v>4.7</v>
      </c>
      <c r="AW679">
        <v>797.91499999999996</v>
      </c>
      <c r="AY679">
        <v>937</v>
      </c>
      <c r="AZ679">
        <v>1085.7</v>
      </c>
      <c r="BA679">
        <v>19.5</v>
      </c>
      <c r="BD679" t="s">
        <v>157</v>
      </c>
    </row>
    <row r="680" spans="1:56" x14ac:dyDescent="0.3">
      <c r="A680">
        <v>10679</v>
      </c>
      <c r="B680">
        <v>1</v>
      </c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28.281600000000001</v>
      </c>
      <c r="AV680">
        <v>0</v>
      </c>
      <c r="AW680">
        <v>748.18499999999995</v>
      </c>
      <c r="AX680">
        <v>99</v>
      </c>
      <c r="AY680">
        <v>1097</v>
      </c>
      <c r="BD680" t="s">
        <v>60</v>
      </c>
    </row>
    <row r="681" spans="1:56" x14ac:dyDescent="0.3">
      <c r="A681">
        <v>10680</v>
      </c>
      <c r="B681">
        <v>1</v>
      </c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31.758999999999997</v>
      </c>
      <c r="AV681">
        <v>0</v>
      </c>
      <c r="AW681">
        <v>722.01600000000008</v>
      </c>
      <c r="AX681">
        <v>81</v>
      </c>
      <c r="AY681">
        <v>947</v>
      </c>
      <c r="BD681" t="s">
        <v>60</v>
      </c>
    </row>
    <row r="682" spans="1:56" x14ac:dyDescent="0.3">
      <c r="A682">
        <v>10681</v>
      </c>
      <c r="B682">
        <v>1</v>
      </c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35.2684</v>
      </c>
      <c r="AV682">
        <v>0</v>
      </c>
      <c r="AW682">
        <v>695.60500000000002</v>
      </c>
      <c r="AX682">
        <v>77</v>
      </c>
      <c r="AY682">
        <v>922</v>
      </c>
      <c r="BD682" t="s">
        <v>60</v>
      </c>
    </row>
    <row r="683" spans="1:56" x14ac:dyDescent="0.3">
      <c r="A683">
        <v>10682</v>
      </c>
      <c r="B683">
        <v>1</v>
      </c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38.806800000000003</v>
      </c>
      <c r="AV683">
        <v>0</v>
      </c>
      <c r="AW683">
        <v>669.04</v>
      </c>
      <c r="AX683">
        <v>72</v>
      </c>
      <c r="AY683">
        <v>941</v>
      </c>
      <c r="BD683" t="s">
        <v>60</v>
      </c>
    </row>
    <row r="684" spans="1:56" x14ac:dyDescent="0.3">
      <c r="A684">
        <v>10683</v>
      </c>
      <c r="B684">
        <v>1</v>
      </c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1</v>
      </c>
      <c r="AA684">
        <v>0</v>
      </c>
      <c r="AB684">
        <v>0</v>
      </c>
      <c r="AC684">
        <v>0</v>
      </c>
      <c r="AD684">
        <v>850</v>
      </c>
      <c r="AE684">
        <v>0.58333333300000001</v>
      </c>
      <c r="AF684">
        <v>1</v>
      </c>
      <c r="AG684">
        <v>0</v>
      </c>
      <c r="AH684">
        <v>0</v>
      </c>
      <c r="AI684">
        <v>520</v>
      </c>
      <c r="AJ684">
        <v>8</v>
      </c>
      <c r="AK684">
        <v>0</v>
      </c>
      <c r="AL684">
        <v>1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12.756</v>
      </c>
      <c r="AV684">
        <v>3</v>
      </c>
      <c r="AW684">
        <v>745.8</v>
      </c>
      <c r="AY684">
        <v>1183.6400000000001</v>
      </c>
      <c r="AZ684">
        <v>1307.3499999999999</v>
      </c>
      <c r="BA684">
        <v>6.5414099999999999</v>
      </c>
      <c r="BD684" t="s">
        <v>108</v>
      </c>
    </row>
    <row r="685" spans="1:56" x14ac:dyDescent="0.3">
      <c r="A685">
        <v>10684</v>
      </c>
      <c r="B685">
        <v>1</v>
      </c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1</v>
      </c>
      <c r="AA685">
        <v>0</v>
      </c>
      <c r="AB685">
        <v>0</v>
      </c>
      <c r="AC685">
        <v>0</v>
      </c>
      <c r="AD685">
        <v>900</v>
      </c>
      <c r="AE685">
        <v>0.58333333300000001</v>
      </c>
      <c r="AF685">
        <v>1</v>
      </c>
      <c r="AG685">
        <v>0</v>
      </c>
      <c r="AH685">
        <v>0</v>
      </c>
      <c r="AI685">
        <v>520</v>
      </c>
      <c r="AJ685">
        <v>8</v>
      </c>
      <c r="AK685">
        <v>0</v>
      </c>
      <c r="AL685">
        <v>1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12.756</v>
      </c>
      <c r="AV685">
        <v>3</v>
      </c>
      <c r="AW685">
        <v>745.8</v>
      </c>
      <c r="AY685">
        <v>1216.29</v>
      </c>
      <c r="AZ685">
        <v>1309.0899999999999</v>
      </c>
      <c r="BA685">
        <v>6.0193000000000003</v>
      </c>
      <c r="BD685" t="s">
        <v>108</v>
      </c>
    </row>
    <row r="686" spans="1:56" x14ac:dyDescent="0.3">
      <c r="A686">
        <v>10685</v>
      </c>
      <c r="B686">
        <v>1</v>
      </c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1</v>
      </c>
      <c r="AA686">
        <v>0</v>
      </c>
      <c r="AB686">
        <v>0</v>
      </c>
      <c r="AC686">
        <v>0</v>
      </c>
      <c r="AD686">
        <v>950</v>
      </c>
      <c r="AE686">
        <v>0.58333333300000001</v>
      </c>
      <c r="AF686">
        <v>1</v>
      </c>
      <c r="AG686">
        <v>0</v>
      </c>
      <c r="AH686">
        <v>0</v>
      </c>
      <c r="AI686">
        <v>520</v>
      </c>
      <c r="AJ686">
        <v>8</v>
      </c>
      <c r="AK686">
        <v>0</v>
      </c>
      <c r="AL686">
        <v>1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12.756</v>
      </c>
      <c r="AV686">
        <v>3</v>
      </c>
      <c r="AW686">
        <v>745.8</v>
      </c>
      <c r="AY686">
        <v>1210.6099999999999</v>
      </c>
      <c r="AZ686">
        <v>1303.3900000000001</v>
      </c>
      <c r="BA686">
        <v>6.5129099999999998</v>
      </c>
      <c r="BD686" t="s">
        <v>108</v>
      </c>
    </row>
    <row r="687" spans="1:56" x14ac:dyDescent="0.3">
      <c r="A687">
        <v>10686</v>
      </c>
      <c r="B687">
        <v>1</v>
      </c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X687">
        <v>0</v>
      </c>
      <c r="Y687">
        <v>0</v>
      </c>
      <c r="Z687">
        <v>1</v>
      </c>
      <c r="AA687">
        <v>0</v>
      </c>
      <c r="AB687">
        <v>0</v>
      </c>
      <c r="AC687">
        <v>0</v>
      </c>
      <c r="AD687">
        <v>750</v>
      </c>
      <c r="AE687">
        <v>0.58333333300000001</v>
      </c>
      <c r="AF687">
        <v>1</v>
      </c>
      <c r="AG687">
        <v>0</v>
      </c>
      <c r="AH687">
        <v>0</v>
      </c>
      <c r="AI687">
        <v>420</v>
      </c>
      <c r="AJ687">
        <v>8</v>
      </c>
      <c r="AK687">
        <v>0</v>
      </c>
      <c r="AL687">
        <v>1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12.756</v>
      </c>
      <c r="AV687">
        <v>3</v>
      </c>
      <c r="AW687">
        <v>745.8</v>
      </c>
      <c r="AY687">
        <v>957.37699999999995</v>
      </c>
      <c r="AZ687">
        <v>1078.21</v>
      </c>
      <c r="BA687">
        <v>10.9091</v>
      </c>
      <c r="BD687" t="s">
        <v>108</v>
      </c>
    </row>
    <row r="688" spans="1:56" x14ac:dyDescent="0.3">
      <c r="A688">
        <v>10687</v>
      </c>
      <c r="B688">
        <v>1</v>
      </c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X688">
        <v>0</v>
      </c>
      <c r="Y688">
        <v>0</v>
      </c>
      <c r="Z688">
        <v>1</v>
      </c>
      <c r="AA688">
        <v>0</v>
      </c>
      <c r="AB688">
        <v>0</v>
      </c>
      <c r="AC688">
        <v>0</v>
      </c>
      <c r="AD688">
        <v>750</v>
      </c>
      <c r="AE688">
        <v>0.58333333300000001</v>
      </c>
      <c r="AF688">
        <v>1</v>
      </c>
      <c r="AG688">
        <v>0</v>
      </c>
      <c r="AH688">
        <v>0</v>
      </c>
      <c r="AI688">
        <v>470</v>
      </c>
      <c r="AJ688">
        <v>8</v>
      </c>
      <c r="AK688">
        <v>0</v>
      </c>
      <c r="AL688">
        <v>1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12.756</v>
      </c>
      <c r="AV688">
        <v>3</v>
      </c>
      <c r="AW688">
        <v>745.8</v>
      </c>
      <c r="AY688">
        <v>987.79399999999998</v>
      </c>
      <c r="AZ688">
        <v>1143</v>
      </c>
      <c r="BA688">
        <v>7.3140499999999999</v>
      </c>
      <c r="BD688" t="s">
        <v>108</v>
      </c>
    </row>
    <row r="689" spans="1:56" x14ac:dyDescent="0.3">
      <c r="A689">
        <v>10688</v>
      </c>
      <c r="B689">
        <v>1</v>
      </c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1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750</v>
      </c>
      <c r="AE689">
        <v>0.58333333300000001</v>
      </c>
      <c r="AF689">
        <v>1</v>
      </c>
      <c r="AG689">
        <v>0</v>
      </c>
      <c r="AH689">
        <v>0</v>
      </c>
      <c r="AI689">
        <v>570</v>
      </c>
      <c r="AJ689">
        <v>8</v>
      </c>
      <c r="AK689">
        <v>0</v>
      </c>
      <c r="AL689">
        <v>1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12.756</v>
      </c>
      <c r="AV689">
        <v>3</v>
      </c>
      <c r="AW689">
        <v>745.8</v>
      </c>
      <c r="AY689">
        <v>1054.8800000000001</v>
      </c>
      <c r="AZ689">
        <v>1174.67</v>
      </c>
      <c r="BA689">
        <v>6.69421</v>
      </c>
      <c r="BD689" t="s">
        <v>108</v>
      </c>
    </row>
    <row r="690" spans="1:56" x14ac:dyDescent="0.3">
      <c r="A690">
        <v>10689</v>
      </c>
      <c r="B690">
        <v>1</v>
      </c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750</v>
      </c>
      <c r="AE690">
        <v>0.58333333300000001</v>
      </c>
      <c r="AF690">
        <v>1</v>
      </c>
      <c r="AG690">
        <v>0</v>
      </c>
      <c r="AH690">
        <v>0</v>
      </c>
      <c r="AI690">
        <v>620</v>
      </c>
      <c r="AJ690">
        <v>8</v>
      </c>
      <c r="AK690">
        <v>0</v>
      </c>
      <c r="AL690">
        <v>1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12.756</v>
      </c>
      <c r="AV690">
        <v>3</v>
      </c>
      <c r="AW690">
        <v>745.8</v>
      </c>
      <c r="AY690">
        <v>885.29399999999998</v>
      </c>
      <c r="AZ690">
        <v>901.96400000000006</v>
      </c>
      <c r="BA690">
        <v>14.504099999999999</v>
      </c>
      <c r="BD690" t="s">
        <v>108</v>
      </c>
    </row>
    <row r="691" spans="1:56" x14ac:dyDescent="0.3">
      <c r="A691">
        <v>10690</v>
      </c>
      <c r="B691">
        <v>1</v>
      </c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855</v>
      </c>
      <c r="AE691">
        <v>0.58333333300000001</v>
      </c>
      <c r="AF691">
        <v>1</v>
      </c>
      <c r="AG691">
        <v>0</v>
      </c>
      <c r="AH691">
        <v>0</v>
      </c>
      <c r="AI691">
        <v>520</v>
      </c>
      <c r="AJ691">
        <v>4</v>
      </c>
      <c r="AK691">
        <v>0</v>
      </c>
      <c r="AL691">
        <v>1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12.756</v>
      </c>
      <c r="AV691">
        <v>3</v>
      </c>
      <c r="AW691">
        <v>745.8</v>
      </c>
      <c r="AY691">
        <v>1137.5999999999999</v>
      </c>
      <c r="AZ691">
        <v>1218.8599999999999</v>
      </c>
      <c r="BA691">
        <v>6.1979199999999999</v>
      </c>
      <c r="BD691" t="s">
        <v>108</v>
      </c>
    </row>
    <row r="692" spans="1:56" x14ac:dyDescent="0.3">
      <c r="A692">
        <v>10691</v>
      </c>
      <c r="B692">
        <v>1</v>
      </c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855</v>
      </c>
      <c r="AE692">
        <v>0.58333333300000001</v>
      </c>
      <c r="AF692">
        <v>1</v>
      </c>
      <c r="AG692">
        <v>0</v>
      </c>
      <c r="AH692">
        <v>0</v>
      </c>
      <c r="AI692">
        <v>520</v>
      </c>
      <c r="AJ692">
        <v>6</v>
      </c>
      <c r="AK692">
        <v>0</v>
      </c>
      <c r="AL692">
        <v>1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12.756</v>
      </c>
      <c r="AV692">
        <v>3</v>
      </c>
      <c r="AW692">
        <v>745.8</v>
      </c>
      <c r="AY692">
        <v>1172.19</v>
      </c>
      <c r="AZ692">
        <v>1258.6400000000001</v>
      </c>
      <c r="BA692">
        <v>6.4895800000000001</v>
      </c>
      <c r="BD692" t="s">
        <v>108</v>
      </c>
    </row>
    <row r="693" spans="1:56" x14ac:dyDescent="0.3">
      <c r="A693">
        <v>10692</v>
      </c>
      <c r="B693">
        <v>1</v>
      </c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855</v>
      </c>
      <c r="AE693">
        <v>0.58333333300000001</v>
      </c>
      <c r="AF693">
        <v>1</v>
      </c>
      <c r="AG693">
        <v>0</v>
      </c>
      <c r="AH693">
        <v>0</v>
      </c>
      <c r="AI693">
        <v>520</v>
      </c>
      <c r="AJ693">
        <v>8</v>
      </c>
      <c r="AK693">
        <v>0</v>
      </c>
      <c r="AL693">
        <v>1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12.756</v>
      </c>
      <c r="AV693">
        <v>3</v>
      </c>
      <c r="AW693">
        <v>745.8</v>
      </c>
      <c r="AY693">
        <v>1185.94</v>
      </c>
      <c r="AZ693">
        <v>1311.98</v>
      </c>
      <c r="BA693">
        <v>6.1979199999999999</v>
      </c>
      <c r="BD693" t="s">
        <v>108</v>
      </c>
    </row>
    <row r="694" spans="1:56" x14ac:dyDescent="0.3">
      <c r="A694">
        <v>10693</v>
      </c>
      <c r="B694">
        <v>1</v>
      </c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855</v>
      </c>
      <c r="AE694">
        <v>0.58333333300000001</v>
      </c>
      <c r="AF694">
        <v>1</v>
      </c>
      <c r="AG694">
        <v>0</v>
      </c>
      <c r="AH694">
        <v>0</v>
      </c>
      <c r="AI694">
        <v>520</v>
      </c>
      <c r="AJ694">
        <v>10</v>
      </c>
      <c r="AK694">
        <v>0</v>
      </c>
      <c r="AL694">
        <v>1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12.756</v>
      </c>
      <c r="AV694">
        <v>3</v>
      </c>
      <c r="AW694">
        <v>745.8</v>
      </c>
      <c r="AY694">
        <v>1181.98</v>
      </c>
      <c r="AZ694">
        <v>1263.23</v>
      </c>
      <c r="BA694">
        <v>6.78125</v>
      </c>
      <c r="BD694" t="s">
        <v>108</v>
      </c>
    </row>
    <row r="695" spans="1:56" x14ac:dyDescent="0.3">
      <c r="A695">
        <v>10694</v>
      </c>
      <c r="B695">
        <v>1</v>
      </c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855</v>
      </c>
      <c r="AE695">
        <v>0.58333333300000001</v>
      </c>
      <c r="AF695">
        <v>1</v>
      </c>
      <c r="AG695">
        <v>0</v>
      </c>
      <c r="AH695">
        <v>0</v>
      </c>
      <c r="AI695">
        <v>520</v>
      </c>
      <c r="AJ695">
        <v>12</v>
      </c>
      <c r="AK695">
        <v>0</v>
      </c>
      <c r="AL695">
        <v>1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12.756</v>
      </c>
      <c r="AV695">
        <v>3</v>
      </c>
      <c r="AW695">
        <v>745.8</v>
      </c>
      <c r="AY695">
        <v>1193.6500000000001</v>
      </c>
      <c r="AZ695">
        <v>1275.94</v>
      </c>
      <c r="BA695">
        <v>5.25</v>
      </c>
      <c r="BD695" t="s">
        <v>108</v>
      </c>
    </row>
    <row r="696" spans="1:56" x14ac:dyDescent="0.3">
      <c r="A696">
        <v>10695</v>
      </c>
      <c r="B696">
        <v>1</v>
      </c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950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780</v>
      </c>
      <c r="AE696">
        <v>1</v>
      </c>
      <c r="AF696">
        <v>0</v>
      </c>
      <c r="AG696">
        <v>1</v>
      </c>
      <c r="AH696">
        <v>0</v>
      </c>
      <c r="AI696">
        <v>560</v>
      </c>
      <c r="AJ696">
        <v>6</v>
      </c>
      <c r="AK696">
        <v>0</v>
      </c>
      <c r="AL696">
        <v>1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6.3480000000000008</v>
      </c>
      <c r="AV696">
        <v>5</v>
      </c>
      <c r="AW696">
        <v>804.37700000000007</v>
      </c>
      <c r="AY696">
        <v>1129.55</v>
      </c>
      <c r="AZ696">
        <v>1188.29</v>
      </c>
      <c r="BA696">
        <v>12.140499999999999</v>
      </c>
      <c r="BD696" t="s">
        <v>108</v>
      </c>
    </row>
    <row r="697" spans="1:56" x14ac:dyDescent="0.3">
      <c r="A697">
        <v>10696</v>
      </c>
      <c r="B697">
        <v>1</v>
      </c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1</v>
      </c>
      <c r="AB697">
        <v>0</v>
      </c>
      <c r="AC697">
        <v>0</v>
      </c>
      <c r="AD697">
        <f t="shared" ref="AD697:AD708" si="6">AW697</f>
        <v>803.39100000000008</v>
      </c>
      <c r="AE697">
        <v>0</v>
      </c>
      <c r="AF697">
        <v>1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10.5884</v>
      </c>
      <c r="AV697">
        <v>1.0283333333333333</v>
      </c>
      <c r="AW697">
        <v>803.39100000000008</v>
      </c>
      <c r="AX697">
        <v>79</v>
      </c>
      <c r="AY697">
        <v>782</v>
      </c>
      <c r="BD697" t="s">
        <v>60</v>
      </c>
    </row>
    <row r="698" spans="1:56" x14ac:dyDescent="0.3">
      <c r="A698">
        <v>10697</v>
      </c>
      <c r="B698">
        <v>1</v>
      </c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0</v>
      </c>
      <c r="Y698">
        <v>0</v>
      </c>
      <c r="Z698">
        <v>0</v>
      </c>
      <c r="AA698">
        <v>1</v>
      </c>
      <c r="AB698">
        <v>0</v>
      </c>
      <c r="AC698">
        <v>0</v>
      </c>
      <c r="AD698">
        <f t="shared" si="6"/>
        <v>814.02300000000002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9.0935999999999986</v>
      </c>
      <c r="AV698">
        <v>1.0616666666666668</v>
      </c>
      <c r="AW698">
        <v>814.02300000000002</v>
      </c>
      <c r="AX698">
        <v>78</v>
      </c>
      <c r="AY698">
        <v>735</v>
      </c>
      <c r="BD698" t="s">
        <v>60</v>
      </c>
    </row>
    <row r="699" spans="1:56" x14ac:dyDescent="0.3">
      <c r="A699">
        <v>10698</v>
      </c>
      <c r="B699">
        <v>1</v>
      </c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0</v>
      </c>
      <c r="Y699">
        <v>0</v>
      </c>
      <c r="Z699">
        <v>0</v>
      </c>
      <c r="AA699">
        <v>1</v>
      </c>
      <c r="AB699">
        <v>0</v>
      </c>
      <c r="AC699">
        <v>0</v>
      </c>
      <c r="AD699">
        <f t="shared" si="6"/>
        <v>814.93200000000002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9.3192000000000021</v>
      </c>
      <c r="AV699">
        <v>1.1066666666666667</v>
      </c>
      <c r="AW699">
        <v>814.93200000000002</v>
      </c>
      <c r="AX699">
        <v>77</v>
      </c>
      <c r="AY699">
        <v>672</v>
      </c>
      <c r="BD699" t="s">
        <v>60</v>
      </c>
    </row>
    <row r="700" spans="1:56" x14ac:dyDescent="0.3">
      <c r="A700">
        <v>10699</v>
      </c>
      <c r="B700">
        <v>1</v>
      </c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</v>
      </c>
      <c r="X700">
        <v>0</v>
      </c>
      <c r="Y700">
        <v>0</v>
      </c>
      <c r="Z700">
        <v>0</v>
      </c>
      <c r="AA700">
        <v>1</v>
      </c>
      <c r="AB700">
        <v>0</v>
      </c>
      <c r="AC700">
        <v>0</v>
      </c>
      <c r="AD700">
        <f t="shared" si="6"/>
        <v>799.96400000000006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11.8514</v>
      </c>
      <c r="AV700">
        <v>0.68333333333333346</v>
      </c>
      <c r="AW700">
        <v>799.96400000000006</v>
      </c>
      <c r="AX700">
        <v>90</v>
      </c>
      <c r="AY700">
        <v>1011</v>
      </c>
      <c r="BD700" t="s">
        <v>60</v>
      </c>
    </row>
    <row r="701" spans="1:56" x14ac:dyDescent="0.3">
      <c r="A701">
        <v>10700</v>
      </c>
      <c r="B701">
        <v>1</v>
      </c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0</v>
      </c>
      <c r="Z701">
        <v>0</v>
      </c>
      <c r="AA701">
        <v>1</v>
      </c>
      <c r="AB701">
        <v>0</v>
      </c>
      <c r="AC701">
        <v>0</v>
      </c>
      <c r="AD701">
        <f t="shared" si="6"/>
        <v>797.70899999999995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11.0136</v>
      </c>
      <c r="AV701">
        <v>1.0316666666666665</v>
      </c>
      <c r="AW701">
        <v>797.70899999999995</v>
      </c>
      <c r="AX701">
        <v>69</v>
      </c>
      <c r="AY701">
        <v>1027</v>
      </c>
      <c r="BD701" t="s">
        <v>60</v>
      </c>
    </row>
    <row r="702" spans="1:56" x14ac:dyDescent="0.3">
      <c r="A702">
        <v>10701</v>
      </c>
      <c r="B702">
        <v>1</v>
      </c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0</v>
      </c>
      <c r="Z702">
        <v>0</v>
      </c>
      <c r="AA702">
        <v>1</v>
      </c>
      <c r="AB702">
        <v>0</v>
      </c>
      <c r="AC702">
        <v>0</v>
      </c>
      <c r="AD702">
        <f t="shared" si="6"/>
        <v>813.32999999999993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6.8022000000000009</v>
      </c>
      <c r="AV702">
        <v>1.4466666666666665</v>
      </c>
      <c r="AW702">
        <v>813.32999999999993</v>
      </c>
      <c r="AX702">
        <v>58</v>
      </c>
      <c r="AY702">
        <v>780</v>
      </c>
      <c r="BD702" t="s">
        <v>60</v>
      </c>
    </row>
    <row r="703" spans="1:56" x14ac:dyDescent="0.3">
      <c r="A703">
        <v>10702</v>
      </c>
      <c r="B703">
        <v>1</v>
      </c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0</v>
      </c>
      <c r="Z703">
        <v>0</v>
      </c>
      <c r="AA703">
        <v>1</v>
      </c>
      <c r="AB703">
        <v>0</v>
      </c>
      <c r="AC703">
        <v>0</v>
      </c>
      <c r="AD703">
        <f t="shared" si="6"/>
        <v>786.56000000000006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4.5772000000000004</v>
      </c>
      <c r="AV703">
        <v>1.9333333333333336</v>
      </c>
      <c r="AW703">
        <v>786.56000000000006</v>
      </c>
      <c r="AX703">
        <v>59</v>
      </c>
      <c r="AY703">
        <v>553</v>
      </c>
      <c r="BD703" t="s">
        <v>60</v>
      </c>
    </row>
    <row r="704" spans="1:56" x14ac:dyDescent="0.3">
      <c r="A704">
        <v>10703</v>
      </c>
      <c r="B704">
        <v>1</v>
      </c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0</v>
      </c>
      <c r="Z704">
        <v>0</v>
      </c>
      <c r="AA704">
        <v>1</v>
      </c>
      <c r="AB704">
        <v>0</v>
      </c>
      <c r="AC704">
        <v>0</v>
      </c>
      <c r="AD704">
        <f t="shared" si="6"/>
        <v>831.76199999999994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9.8742000000000001</v>
      </c>
      <c r="AV704">
        <v>0.66666666666666663</v>
      </c>
      <c r="AW704">
        <v>831.76199999999994</v>
      </c>
      <c r="AX704">
        <v>62</v>
      </c>
      <c r="AY704">
        <v>1038</v>
      </c>
      <c r="BD704" t="s">
        <v>60</v>
      </c>
    </row>
    <row r="705" spans="1:56" x14ac:dyDescent="0.3">
      <c r="A705">
        <v>10704</v>
      </c>
      <c r="B705">
        <v>1</v>
      </c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0</v>
      </c>
      <c r="Z705">
        <v>0</v>
      </c>
      <c r="AA705">
        <v>1</v>
      </c>
      <c r="AB705">
        <v>0</v>
      </c>
      <c r="AC705">
        <v>0</v>
      </c>
      <c r="AD705">
        <f t="shared" si="6"/>
        <v>760.46900000000005</v>
      </c>
      <c r="AE705">
        <v>0</v>
      </c>
      <c r="AF705">
        <v>0</v>
      </c>
      <c r="AG705">
        <v>1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4.9492000000000003</v>
      </c>
      <c r="AV705">
        <v>2.8983333333333334</v>
      </c>
      <c r="AW705">
        <v>760.46900000000005</v>
      </c>
      <c r="AX705">
        <v>70</v>
      </c>
      <c r="AY705">
        <v>480</v>
      </c>
      <c r="BD705" t="s">
        <v>60</v>
      </c>
    </row>
    <row r="706" spans="1:56" x14ac:dyDescent="0.3">
      <c r="A706">
        <v>10705</v>
      </c>
      <c r="B706">
        <v>1</v>
      </c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0</v>
      </c>
      <c r="Z706">
        <v>0</v>
      </c>
      <c r="AA706">
        <v>1</v>
      </c>
      <c r="AB706">
        <v>0</v>
      </c>
      <c r="AC706">
        <v>0</v>
      </c>
      <c r="AD706">
        <f t="shared" si="6"/>
        <v>832.56200000000001</v>
      </c>
      <c r="AE706">
        <v>0</v>
      </c>
      <c r="AF706">
        <v>1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9.0010000000000012</v>
      </c>
      <c r="AV706">
        <v>0.83333333333333337</v>
      </c>
      <c r="AW706">
        <v>832.56200000000001</v>
      </c>
      <c r="AX706">
        <v>49</v>
      </c>
      <c r="AY706">
        <v>552</v>
      </c>
      <c r="BD706" t="s">
        <v>60</v>
      </c>
    </row>
    <row r="707" spans="1:56" x14ac:dyDescent="0.3">
      <c r="A707">
        <v>10706</v>
      </c>
      <c r="B707">
        <v>1</v>
      </c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0</v>
      </c>
      <c r="Z707">
        <v>0</v>
      </c>
      <c r="AA707">
        <v>1</v>
      </c>
      <c r="AB707">
        <v>0</v>
      </c>
      <c r="AC707">
        <v>0</v>
      </c>
      <c r="AD707">
        <f t="shared" si="6"/>
        <v>858.53499999999997</v>
      </c>
      <c r="AE707">
        <v>0</v>
      </c>
      <c r="AF707">
        <v>1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6.2687999999999997</v>
      </c>
      <c r="AV707">
        <v>0</v>
      </c>
      <c r="AW707">
        <v>858.53499999999997</v>
      </c>
      <c r="AX707">
        <v>50</v>
      </c>
      <c r="AY707">
        <v>557</v>
      </c>
      <c r="BD707" t="s">
        <v>60</v>
      </c>
    </row>
    <row r="708" spans="1:56" x14ac:dyDescent="0.3">
      <c r="A708">
        <v>10707</v>
      </c>
      <c r="B708">
        <v>1</v>
      </c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1</v>
      </c>
      <c r="X708">
        <v>0</v>
      </c>
      <c r="Y708">
        <v>0</v>
      </c>
      <c r="Z708">
        <v>0</v>
      </c>
      <c r="AA708">
        <v>1</v>
      </c>
      <c r="AB708">
        <v>0</v>
      </c>
      <c r="AC708">
        <v>0</v>
      </c>
      <c r="AD708">
        <f t="shared" si="6"/>
        <v>856.54</v>
      </c>
      <c r="AE708">
        <v>0</v>
      </c>
      <c r="AF708">
        <v>1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9.3216000000000001</v>
      </c>
      <c r="AV708">
        <v>0</v>
      </c>
      <c r="AW708">
        <v>856.54</v>
      </c>
      <c r="AX708">
        <v>53</v>
      </c>
      <c r="AY708">
        <v>599</v>
      </c>
      <c r="BD708" t="s">
        <v>60</v>
      </c>
    </row>
    <row r="709" spans="1:56" x14ac:dyDescent="0.3">
      <c r="A709">
        <v>10708</v>
      </c>
      <c r="B709">
        <v>1</v>
      </c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1</v>
      </c>
      <c r="W709">
        <v>0</v>
      </c>
      <c r="X709">
        <v>0</v>
      </c>
      <c r="Y709">
        <v>0</v>
      </c>
      <c r="Z709">
        <v>1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9.3238000000000003</v>
      </c>
      <c r="AV709">
        <v>0</v>
      </c>
      <c r="AW709">
        <v>856.54</v>
      </c>
      <c r="AX709">
        <v>51</v>
      </c>
    </row>
    <row r="710" spans="1:56" x14ac:dyDescent="0.3">
      <c r="A710">
        <v>10709</v>
      </c>
      <c r="B710">
        <v>1</v>
      </c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1</v>
      </c>
      <c r="X710">
        <v>0</v>
      </c>
      <c r="Y710">
        <v>0</v>
      </c>
      <c r="Z710">
        <v>0</v>
      </c>
      <c r="AA710">
        <v>1</v>
      </c>
      <c r="AB710">
        <v>0</v>
      </c>
      <c r="AC710">
        <v>0</v>
      </c>
      <c r="AD710">
        <f>AW710</f>
        <v>886.49400000000003</v>
      </c>
      <c r="AE710">
        <v>0</v>
      </c>
      <c r="AF710">
        <v>1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6.569</v>
      </c>
      <c r="AV710">
        <v>0.35666666666666663</v>
      </c>
      <c r="AW710">
        <v>886.49400000000003</v>
      </c>
      <c r="AX710">
        <v>48</v>
      </c>
      <c r="AY710">
        <v>432</v>
      </c>
      <c r="BD710" t="s">
        <v>60</v>
      </c>
    </row>
    <row r="711" spans="1:56" x14ac:dyDescent="0.3">
      <c r="A711">
        <v>10710</v>
      </c>
      <c r="B711">
        <v>1</v>
      </c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1</v>
      </c>
      <c r="X711">
        <v>0</v>
      </c>
      <c r="Y711">
        <v>0</v>
      </c>
      <c r="Z711">
        <v>0</v>
      </c>
      <c r="AA711">
        <v>1</v>
      </c>
      <c r="AB711">
        <v>0</v>
      </c>
      <c r="AC711">
        <v>0</v>
      </c>
      <c r="AD711">
        <f>AW711</f>
        <v>892.58399999999995</v>
      </c>
      <c r="AE711">
        <v>0</v>
      </c>
      <c r="AF711">
        <v>1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6.7086000000000006</v>
      </c>
      <c r="AV711">
        <v>0.84</v>
      </c>
      <c r="AW711">
        <v>892.58399999999995</v>
      </c>
      <c r="AX711">
        <v>55</v>
      </c>
      <c r="AY711">
        <v>367</v>
      </c>
      <c r="BD711" t="s">
        <v>60</v>
      </c>
    </row>
    <row r="712" spans="1:56" x14ac:dyDescent="0.3">
      <c r="A712">
        <v>10711</v>
      </c>
      <c r="B712">
        <v>1</v>
      </c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1</v>
      </c>
      <c r="X712">
        <v>0</v>
      </c>
      <c r="Y712">
        <v>0</v>
      </c>
      <c r="Z712">
        <v>0</v>
      </c>
      <c r="AA712">
        <v>1</v>
      </c>
      <c r="AB712">
        <v>0</v>
      </c>
      <c r="AC712">
        <v>0</v>
      </c>
      <c r="AD712">
        <f>AW712</f>
        <v>895.94399999999996</v>
      </c>
      <c r="AE712">
        <v>0</v>
      </c>
      <c r="AF712">
        <v>1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6.7840000000000007</v>
      </c>
      <c r="AV712">
        <v>1.1066666666666667</v>
      </c>
      <c r="AW712">
        <v>895.94399999999996</v>
      </c>
      <c r="AX712">
        <v>69</v>
      </c>
      <c r="AY712">
        <v>501</v>
      </c>
      <c r="BD712" t="s">
        <v>60</v>
      </c>
    </row>
    <row r="713" spans="1:56" x14ac:dyDescent="0.3">
      <c r="A713">
        <v>10712</v>
      </c>
      <c r="B713">
        <v>1</v>
      </c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</v>
      </c>
      <c r="W713">
        <v>0</v>
      </c>
      <c r="X713">
        <v>0</v>
      </c>
      <c r="Y713">
        <v>0</v>
      </c>
      <c r="Z713">
        <v>1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6.571200000000001</v>
      </c>
      <c r="AV713">
        <v>0.35666666666666669</v>
      </c>
      <c r="AW713">
        <v>886.49400000000003</v>
      </c>
      <c r="AX713">
        <v>69</v>
      </c>
    </row>
    <row r="714" spans="1:56" x14ac:dyDescent="0.3">
      <c r="A714">
        <v>10713</v>
      </c>
      <c r="B714">
        <v>1</v>
      </c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1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12.423</v>
      </c>
      <c r="AV714">
        <v>3.4466666666666668</v>
      </c>
      <c r="AW714">
        <v>665.41</v>
      </c>
      <c r="AX714">
        <v>140</v>
      </c>
      <c r="AY714">
        <v>1049</v>
      </c>
      <c r="BD714" t="s">
        <v>60</v>
      </c>
    </row>
    <row r="715" spans="1:56" x14ac:dyDescent="0.3">
      <c r="A715">
        <v>10714</v>
      </c>
      <c r="B715">
        <v>1</v>
      </c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1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18.442</v>
      </c>
      <c r="AV715">
        <v>3.4583333333333335</v>
      </c>
      <c r="AW715">
        <v>632.92800000000011</v>
      </c>
      <c r="AX715">
        <v>145</v>
      </c>
      <c r="AY715">
        <v>1130</v>
      </c>
      <c r="BD715" t="s">
        <v>60</v>
      </c>
    </row>
    <row r="716" spans="1:56" x14ac:dyDescent="0.3">
      <c r="A716">
        <v>10715</v>
      </c>
      <c r="B716">
        <v>1</v>
      </c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24.474</v>
      </c>
      <c r="AV716">
        <v>3.47</v>
      </c>
      <c r="AW716">
        <v>600.41300000000001</v>
      </c>
      <c r="AX716">
        <v>157</v>
      </c>
      <c r="AY716">
        <v>1239</v>
      </c>
      <c r="BD716" t="s">
        <v>60</v>
      </c>
    </row>
    <row r="717" spans="1:56" x14ac:dyDescent="0.3">
      <c r="A717">
        <v>10716</v>
      </c>
      <c r="B717">
        <v>1</v>
      </c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1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15.988000000000001</v>
      </c>
      <c r="AV717">
        <v>3.4533333333333331</v>
      </c>
      <c r="AW717">
        <v>638.23900000000003</v>
      </c>
      <c r="AX717">
        <v>130</v>
      </c>
      <c r="AY717">
        <v>1113</v>
      </c>
      <c r="BD717" t="s">
        <v>60</v>
      </c>
    </row>
    <row r="718" spans="1:56" x14ac:dyDescent="0.3">
      <c r="A718">
        <v>10717</v>
      </c>
      <c r="B718">
        <v>1</v>
      </c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1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22.006999999999998</v>
      </c>
      <c r="AV718">
        <v>3.4649999999999999</v>
      </c>
      <c r="AW718">
        <v>605.75700000000006</v>
      </c>
      <c r="AX718">
        <v>142</v>
      </c>
      <c r="AY718">
        <v>1210</v>
      </c>
      <c r="BD718" t="s">
        <v>60</v>
      </c>
    </row>
    <row r="719" spans="1:56" x14ac:dyDescent="0.3">
      <c r="A719">
        <v>10718</v>
      </c>
      <c r="B719">
        <v>1</v>
      </c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1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28.071000000000005</v>
      </c>
      <c r="AV719">
        <v>3.4766666666666666</v>
      </c>
      <c r="AW719">
        <v>573</v>
      </c>
      <c r="AX719">
        <v>149</v>
      </c>
      <c r="AY719">
        <v>1287</v>
      </c>
      <c r="BD719" t="s">
        <v>60</v>
      </c>
    </row>
    <row r="720" spans="1:56" x14ac:dyDescent="0.3">
      <c r="A720">
        <v>10719</v>
      </c>
      <c r="B720">
        <v>1</v>
      </c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0</v>
      </c>
      <c r="Z720">
        <v>0</v>
      </c>
      <c r="AA720">
        <v>1</v>
      </c>
      <c r="AB720">
        <v>0</v>
      </c>
      <c r="AC720">
        <v>0</v>
      </c>
      <c r="AD720">
        <f>AW720</f>
        <v>766.346</v>
      </c>
      <c r="AE720">
        <v>0</v>
      </c>
      <c r="AF720">
        <v>0</v>
      </c>
      <c r="AG720">
        <v>1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12.071</v>
      </c>
      <c r="AV720">
        <v>0.57833333333333337</v>
      </c>
      <c r="AW720">
        <v>766.346</v>
      </c>
      <c r="AX720">
        <v>79.5</v>
      </c>
      <c r="AY720">
        <v>897</v>
      </c>
      <c r="BD720" t="s">
        <v>60</v>
      </c>
    </row>
    <row r="721" spans="1:56" x14ac:dyDescent="0.3">
      <c r="A721">
        <v>10720</v>
      </c>
      <c r="B721">
        <v>1</v>
      </c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1</v>
      </c>
      <c r="X721">
        <v>0</v>
      </c>
      <c r="Y721">
        <v>0</v>
      </c>
      <c r="Z721">
        <v>0</v>
      </c>
      <c r="AA721">
        <v>1</v>
      </c>
      <c r="AB721">
        <v>0</v>
      </c>
      <c r="AC721">
        <v>0</v>
      </c>
      <c r="AD721">
        <f>AW721</f>
        <v>772.87400000000002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4.0700000000000012</v>
      </c>
      <c r="AV721">
        <v>5.1649999999999991</v>
      </c>
      <c r="AW721">
        <v>772.87400000000002</v>
      </c>
      <c r="AX721">
        <v>58</v>
      </c>
      <c r="AY721">
        <v>625.4</v>
      </c>
      <c r="BD721" t="s">
        <v>60</v>
      </c>
    </row>
    <row r="722" spans="1:56" x14ac:dyDescent="0.3">
      <c r="A722">
        <v>10721</v>
      </c>
      <c r="B722">
        <v>1</v>
      </c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1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6.47</v>
      </c>
      <c r="AV722">
        <v>1.2733333333333332</v>
      </c>
      <c r="AW722">
        <v>804.71899999999994</v>
      </c>
      <c r="AX722">
        <v>83</v>
      </c>
    </row>
    <row r="723" spans="1:56" x14ac:dyDescent="0.3">
      <c r="A723">
        <v>10722</v>
      </c>
      <c r="B723">
        <v>1</v>
      </c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1</v>
      </c>
      <c r="W723">
        <v>0</v>
      </c>
      <c r="X723">
        <v>0</v>
      </c>
      <c r="Y723">
        <v>0</v>
      </c>
      <c r="Z723">
        <v>1</v>
      </c>
      <c r="AA723">
        <v>0</v>
      </c>
      <c r="AB723">
        <v>0</v>
      </c>
      <c r="AC723">
        <v>0</v>
      </c>
      <c r="AD723">
        <v>800</v>
      </c>
      <c r="AE723">
        <v>0.5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12.8</v>
      </c>
      <c r="AV723">
        <v>2.166666666666667</v>
      </c>
      <c r="AW723">
        <v>853.8</v>
      </c>
      <c r="AX723">
        <v>70</v>
      </c>
      <c r="AY723">
        <v>668</v>
      </c>
      <c r="AZ723">
        <v>690</v>
      </c>
      <c r="BA723">
        <v>18</v>
      </c>
      <c r="BD723" t="s">
        <v>158</v>
      </c>
    </row>
    <row r="724" spans="1:56" x14ac:dyDescent="0.3">
      <c r="A724">
        <v>10723</v>
      </c>
      <c r="B724">
        <v>1</v>
      </c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1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  <c r="AC724">
        <v>0</v>
      </c>
      <c r="AD724">
        <v>800</v>
      </c>
      <c r="AE724">
        <v>0.5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15.8</v>
      </c>
      <c r="AV724">
        <v>2.166666666666667</v>
      </c>
      <c r="AW724">
        <v>825.3</v>
      </c>
      <c r="AX724">
        <v>85</v>
      </c>
      <c r="AY724">
        <v>729</v>
      </c>
      <c r="AZ724">
        <v>770</v>
      </c>
      <c r="BA724">
        <v>10.5</v>
      </c>
      <c r="BD724" t="s">
        <v>158</v>
      </c>
    </row>
    <row r="725" spans="1:56" x14ac:dyDescent="0.3">
      <c r="A725">
        <v>10724</v>
      </c>
      <c r="B725">
        <v>1</v>
      </c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1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0</v>
      </c>
      <c r="AD725">
        <v>800</v>
      </c>
      <c r="AE725">
        <v>0.5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18.8</v>
      </c>
      <c r="AV725">
        <v>2.5</v>
      </c>
      <c r="AW725">
        <v>747</v>
      </c>
      <c r="AX725">
        <v>70</v>
      </c>
      <c r="AY725">
        <v>781</v>
      </c>
      <c r="AZ725">
        <v>833</v>
      </c>
      <c r="BA725">
        <v>10.199999999999999</v>
      </c>
      <c r="BD725" t="s">
        <v>158</v>
      </c>
    </row>
    <row r="726" spans="1:56" x14ac:dyDescent="0.3">
      <c r="A726">
        <v>10725</v>
      </c>
      <c r="B726">
        <v>1</v>
      </c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1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0</v>
      </c>
      <c r="AD726">
        <v>800</v>
      </c>
      <c r="AE726">
        <v>0.5</v>
      </c>
      <c r="AF726">
        <v>1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12.8</v>
      </c>
      <c r="AV726">
        <v>2.333333333333333</v>
      </c>
      <c r="AW726">
        <v>828.9</v>
      </c>
      <c r="AX726">
        <v>55</v>
      </c>
      <c r="AY726">
        <v>654</v>
      </c>
      <c r="AZ726">
        <v>666</v>
      </c>
      <c r="BA726">
        <v>8.9</v>
      </c>
      <c r="BD726" t="s">
        <v>158</v>
      </c>
    </row>
    <row r="727" spans="1:56" x14ac:dyDescent="0.3">
      <c r="A727">
        <v>10726</v>
      </c>
      <c r="B727">
        <v>1</v>
      </c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1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8.1559999999999988</v>
      </c>
      <c r="AV727">
        <v>3.833333333333333</v>
      </c>
      <c r="AW727">
        <v>789.94999999999993</v>
      </c>
      <c r="AX727">
        <v>48</v>
      </c>
      <c r="AY727">
        <v>478</v>
      </c>
      <c r="AZ727">
        <v>715</v>
      </c>
      <c r="BA727">
        <v>7.6</v>
      </c>
      <c r="BD727" t="s">
        <v>159</v>
      </c>
    </row>
    <row r="728" spans="1:56" x14ac:dyDescent="0.3">
      <c r="A728">
        <v>10727</v>
      </c>
      <c r="B728">
        <v>1</v>
      </c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1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9.98</v>
      </c>
      <c r="AV728">
        <v>3.4833333333333334</v>
      </c>
      <c r="AW728">
        <v>798.39</v>
      </c>
      <c r="AX728">
        <v>72</v>
      </c>
      <c r="AY728">
        <v>499</v>
      </c>
      <c r="AZ728">
        <v>519</v>
      </c>
      <c r="BA728">
        <v>6.4</v>
      </c>
      <c r="BD728" t="s">
        <v>159</v>
      </c>
    </row>
    <row r="729" spans="1:56" x14ac:dyDescent="0.3">
      <c r="A729">
        <v>10728</v>
      </c>
      <c r="B729">
        <v>1</v>
      </c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1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8.8760000000000012</v>
      </c>
      <c r="AV729">
        <v>3.55</v>
      </c>
      <c r="AW729">
        <v>796.48000000000013</v>
      </c>
      <c r="AX729">
        <v>56</v>
      </c>
      <c r="AY729">
        <v>566</v>
      </c>
      <c r="AZ729">
        <v>701</v>
      </c>
      <c r="BA729">
        <v>13.6</v>
      </c>
      <c r="BD729" t="s">
        <v>159</v>
      </c>
    </row>
    <row r="730" spans="1:56" x14ac:dyDescent="0.3">
      <c r="A730">
        <v>10729</v>
      </c>
      <c r="B730">
        <v>1</v>
      </c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1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7.7160000000000002</v>
      </c>
      <c r="AV730">
        <v>3.6500000000000004</v>
      </c>
      <c r="AW730">
        <v>794.99</v>
      </c>
      <c r="AX730">
        <v>54</v>
      </c>
      <c r="AY730">
        <v>235</v>
      </c>
      <c r="AZ730">
        <v>715</v>
      </c>
      <c r="BA730">
        <v>12.5</v>
      </c>
      <c r="BD730" t="s">
        <v>159</v>
      </c>
    </row>
    <row r="731" spans="1:56" x14ac:dyDescent="0.3">
      <c r="A731">
        <v>10730</v>
      </c>
      <c r="B731">
        <v>1</v>
      </c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1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7.8719999999999999</v>
      </c>
      <c r="AV731">
        <v>2.916666666666667</v>
      </c>
      <c r="AW731">
        <v>826.2</v>
      </c>
      <c r="AX731">
        <v>59</v>
      </c>
      <c r="AY731">
        <v>275</v>
      </c>
      <c r="AZ731">
        <v>762</v>
      </c>
      <c r="BA731">
        <v>13.8</v>
      </c>
      <c r="BD731" t="s">
        <v>159</v>
      </c>
    </row>
    <row r="732" spans="1:56" x14ac:dyDescent="0.3">
      <c r="A732">
        <v>10731</v>
      </c>
      <c r="B732">
        <v>1</v>
      </c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1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9.5560000000000009</v>
      </c>
      <c r="AV732">
        <v>3</v>
      </c>
      <c r="AW732">
        <v>824.44999999999993</v>
      </c>
      <c r="AX732">
        <v>55</v>
      </c>
      <c r="AY732">
        <v>533</v>
      </c>
      <c r="AZ732">
        <v>692</v>
      </c>
      <c r="BA732">
        <v>14.2</v>
      </c>
      <c r="BD732" t="s">
        <v>159</v>
      </c>
    </row>
    <row r="733" spans="1:56" x14ac:dyDescent="0.3">
      <c r="A733">
        <v>10732</v>
      </c>
      <c r="B733">
        <v>1</v>
      </c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20</v>
      </c>
      <c r="Y733">
        <v>0</v>
      </c>
      <c r="Z733">
        <v>0</v>
      </c>
      <c r="AA733">
        <v>1</v>
      </c>
      <c r="AB733">
        <v>0</v>
      </c>
      <c r="AC733">
        <v>0</v>
      </c>
      <c r="AD733">
        <v>800</v>
      </c>
      <c r="AE733">
        <v>0.5</v>
      </c>
      <c r="AF733">
        <v>1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15.8</v>
      </c>
      <c r="AV733">
        <v>2.833333333333333</v>
      </c>
      <c r="AW733">
        <v>779.69999999999993</v>
      </c>
      <c r="AZ733">
        <v>797</v>
      </c>
      <c r="BA733">
        <v>14.12</v>
      </c>
      <c r="BD733" t="s">
        <v>160</v>
      </c>
    </row>
    <row r="734" spans="1:56" x14ac:dyDescent="0.3">
      <c r="A734">
        <v>10733</v>
      </c>
      <c r="B734">
        <v>1</v>
      </c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20</v>
      </c>
      <c r="Y734">
        <v>23</v>
      </c>
      <c r="Z734">
        <v>0</v>
      </c>
      <c r="AA734">
        <v>1</v>
      </c>
      <c r="AB734">
        <v>0</v>
      </c>
      <c r="AC734">
        <v>0</v>
      </c>
      <c r="AD734">
        <v>800</v>
      </c>
      <c r="AE734">
        <v>0.5</v>
      </c>
      <c r="AF734">
        <v>1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15.8</v>
      </c>
      <c r="AV734">
        <v>2.833333333333333</v>
      </c>
      <c r="AW734">
        <v>779.69999999999993</v>
      </c>
      <c r="AZ734">
        <v>857</v>
      </c>
      <c r="BA734">
        <v>12.41</v>
      </c>
      <c r="BD734" t="s">
        <v>161</v>
      </c>
    </row>
    <row r="735" spans="1:56" x14ac:dyDescent="0.3">
      <c r="A735">
        <v>10734</v>
      </c>
      <c r="B735">
        <v>1</v>
      </c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20</v>
      </c>
      <c r="Y735">
        <v>44</v>
      </c>
      <c r="Z735">
        <v>0</v>
      </c>
      <c r="AA735">
        <v>1</v>
      </c>
      <c r="AB735">
        <v>0</v>
      </c>
      <c r="AC735">
        <v>0</v>
      </c>
      <c r="AD735">
        <v>800</v>
      </c>
      <c r="AE735">
        <v>0.5</v>
      </c>
      <c r="AF735">
        <v>1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15.8</v>
      </c>
      <c r="AV735">
        <v>2.833333333333333</v>
      </c>
      <c r="AW735">
        <v>779.69999999999993</v>
      </c>
      <c r="AZ735">
        <v>935</v>
      </c>
      <c r="BA735">
        <v>8.9</v>
      </c>
      <c r="BD735" t="s">
        <v>162</v>
      </c>
    </row>
    <row r="736" spans="1:56" x14ac:dyDescent="0.3">
      <c r="A736">
        <v>10735</v>
      </c>
      <c r="B736">
        <v>1</v>
      </c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20</v>
      </c>
      <c r="Y736">
        <v>66</v>
      </c>
      <c r="Z736">
        <v>0</v>
      </c>
      <c r="AA736">
        <v>1</v>
      </c>
      <c r="AB736">
        <v>0</v>
      </c>
      <c r="AC736">
        <v>0</v>
      </c>
      <c r="AD736">
        <v>800</v>
      </c>
      <c r="AE736">
        <v>0.5</v>
      </c>
      <c r="AF736">
        <v>1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15.8</v>
      </c>
      <c r="AV736">
        <v>2.833333333333333</v>
      </c>
      <c r="AW736">
        <v>779.69999999999993</v>
      </c>
      <c r="AZ736">
        <v>1009</v>
      </c>
      <c r="BA736">
        <v>7.98</v>
      </c>
      <c r="BD736" t="s">
        <v>163</v>
      </c>
    </row>
    <row r="737" spans="1:56" x14ac:dyDescent="0.3">
      <c r="A737">
        <v>10736</v>
      </c>
      <c r="B737">
        <v>1</v>
      </c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20</v>
      </c>
      <c r="Y737">
        <v>85</v>
      </c>
      <c r="Z737">
        <v>0</v>
      </c>
      <c r="AA737">
        <v>1</v>
      </c>
      <c r="AB737">
        <v>0</v>
      </c>
      <c r="AC737">
        <v>0</v>
      </c>
      <c r="AD737">
        <v>800</v>
      </c>
      <c r="AE737">
        <v>0.5</v>
      </c>
      <c r="AF737">
        <v>1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15.8</v>
      </c>
      <c r="AV737">
        <v>2.833333333333333</v>
      </c>
      <c r="AW737">
        <v>779.69999999999993</v>
      </c>
      <c r="AZ737">
        <v>1110</v>
      </c>
      <c r="BA737">
        <v>4.42</v>
      </c>
      <c r="BD737" t="s">
        <v>164</v>
      </c>
    </row>
    <row r="738" spans="1:56" x14ac:dyDescent="0.3">
      <c r="A738">
        <v>10737</v>
      </c>
      <c r="B738">
        <v>1</v>
      </c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1</v>
      </c>
      <c r="W738">
        <v>0</v>
      </c>
      <c r="X738">
        <v>0</v>
      </c>
      <c r="Y738">
        <v>0</v>
      </c>
      <c r="Z738">
        <v>1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9.98</v>
      </c>
      <c r="AV738">
        <v>3.4833333333333334</v>
      </c>
      <c r="AW738">
        <v>798.39</v>
      </c>
      <c r="AY738">
        <v>499</v>
      </c>
      <c r="AZ738">
        <v>519</v>
      </c>
      <c r="BA738">
        <v>6.4</v>
      </c>
      <c r="BD738" t="s">
        <v>108</v>
      </c>
    </row>
    <row r="739" spans="1:56" x14ac:dyDescent="0.3">
      <c r="A739">
        <v>10738</v>
      </c>
      <c r="B739">
        <v>1</v>
      </c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1</v>
      </c>
      <c r="W739">
        <v>0</v>
      </c>
      <c r="X739">
        <v>0</v>
      </c>
      <c r="Y739">
        <v>0</v>
      </c>
      <c r="Z739">
        <v>1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8.8760000000000012</v>
      </c>
      <c r="AV739">
        <v>3.55</v>
      </c>
      <c r="AW739">
        <v>796.48000000000013</v>
      </c>
      <c r="AY739">
        <v>566</v>
      </c>
      <c r="AZ739">
        <v>701</v>
      </c>
      <c r="BA739">
        <v>13.6</v>
      </c>
      <c r="BD739" t="s">
        <v>108</v>
      </c>
    </row>
    <row r="740" spans="1:56" x14ac:dyDescent="0.3">
      <c r="A740">
        <v>10739</v>
      </c>
      <c r="B740">
        <v>1</v>
      </c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1</v>
      </c>
      <c r="W740">
        <v>0</v>
      </c>
      <c r="X740">
        <v>0</v>
      </c>
      <c r="Y740">
        <v>0</v>
      </c>
      <c r="Z740">
        <v>1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7.7160000000000002</v>
      </c>
      <c r="AV740">
        <v>3.6500000000000004</v>
      </c>
      <c r="AW740">
        <v>794.99</v>
      </c>
      <c r="AY740">
        <v>235</v>
      </c>
      <c r="AZ740">
        <v>715</v>
      </c>
      <c r="BA740">
        <v>12.5</v>
      </c>
      <c r="BD740" t="s">
        <v>108</v>
      </c>
    </row>
    <row r="741" spans="1:56" x14ac:dyDescent="0.3">
      <c r="A741">
        <v>10740</v>
      </c>
      <c r="B741">
        <v>1</v>
      </c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1</v>
      </c>
      <c r="W741">
        <v>0</v>
      </c>
      <c r="X741">
        <v>0</v>
      </c>
      <c r="Y741">
        <v>0</v>
      </c>
      <c r="Z741">
        <v>1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7.8719999999999999</v>
      </c>
      <c r="AV741">
        <v>2.916666666666667</v>
      </c>
      <c r="AW741">
        <v>826.2</v>
      </c>
      <c r="AY741">
        <v>275</v>
      </c>
      <c r="AZ741">
        <v>762</v>
      </c>
      <c r="BA741">
        <v>13.8</v>
      </c>
      <c r="BD741" t="s">
        <v>108</v>
      </c>
    </row>
    <row r="742" spans="1:56" x14ac:dyDescent="0.3">
      <c r="A742">
        <v>10741</v>
      </c>
      <c r="B742">
        <v>1</v>
      </c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1</v>
      </c>
      <c r="W742">
        <v>0</v>
      </c>
      <c r="X742">
        <v>0</v>
      </c>
      <c r="Y742">
        <v>0</v>
      </c>
      <c r="Z742">
        <v>1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9.5560000000000009</v>
      </c>
      <c r="AV742">
        <v>3</v>
      </c>
      <c r="AW742">
        <v>824.44999999999993</v>
      </c>
      <c r="AY742">
        <v>533</v>
      </c>
      <c r="AZ742">
        <v>692</v>
      </c>
      <c r="BA742">
        <v>14.2</v>
      </c>
      <c r="BD742" t="s">
        <v>108</v>
      </c>
    </row>
    <row r="743" spans="1:56" x14ac:dyDescent="0.3">
      <c r="A743">
        <v>10742</v>
      </c>
      <c r="B743">
        <v>1</v>
      </c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0</v>
      </c>
      <c r="X743">
        <v>0</v>
      </c>
      <c r="Y743">
        <v>0</v>
      </c>
      <c r="Z743">
        <v>1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8.1559999999999988</v>
      </c>
      <c r="AV743">
        <v>3.833333333333333</v>
      </c>
      <c r="AW743">
        <v>789.94999999999993</v>
      </c>
      <c r="AY743">
        <v>478</v>
      </c>
      <c r="AZ743">
        <v>715</v>
      </c>
      <c r="BA743">
        <v>7.6</v>
      </c>
      <c r="BD743" t="s">
        <v>108</v>
      </c>
    </row>
    <row r="744" spans="1:56" x14ac:dyDescent="0.3">
      <c r="A744">
        <v>10743</v>
      </c>
      <c r="B744">
        <v>1</v>
      </c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1</v>
      </c>
      <c r="X744">
        <v>90</v>
      </c>
      <c r="Y744">
        <v>0</v>
      </c>
      <c r="Z744">
        <v>0</v>
      </c>
      <c r="AA744">
        <v>1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8.1559999999999988</v>
      </c>
      <c r="AV744">
        <v>3.833333333333333</v>
      </c>
      <c r="AW744">
        <v>789.94999999999993</v>
      </c>
      <c r="AY744">
        <v>558</v>
      </c>
      <c r="AZ744">
        <v>738</v>
      </c>
      <c r="BA744">
        <v>2.7</v>
      </c>
      <c r="BD744" t="s">
        <v>108</v>
      </c>
    </row>
    <row r="745" spans="1:56" x14ac:dyDescent="0.3">
      <c r="A745">
        <v>10744</v>
      </c>
      <c r="B745">
        <v>1</v>
      </c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1</v>
      </c>
      <c r="X745">
        <v>90</v>
      </c>
      <c r="Y745">
        <v>0</v>
      </c>
      <c r="Z745">
        <v>0</v>
      </c>
      <c r="AA745">
        <v>1</v>
      </c>
      <c r="AB745">
        <v>0</v>
      </c>
      <c r="AC745">
        <v>0</v>
      </c>
      <c r="AD745">
        <v>950</v>
      </c>
      <c r="AE745">
        <v>2</v>
      </c>
      <c r="AF745">
        <v>1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8.1559999999999988</v>
      </c>
      <c r="AV745">
        <v>3.833333333333333</v>
      </c>
      <c r="AW745">
        <v>789.94999999999993</v>
      </c>
      <c r="AY745">
        <v>408</v>
      </c>
      <c r="AZ745">
        <v>577</v>
      </c>
      <c r="BA745">
        <v>6.7</v>
      </c>
      <c r="BD745" t="s">
        <v>108</v>
      </c>
    </row>
    <row r="746" spans="1:56" x14ac:dyDescent="0.3">
      <c r="A746">
        <v>10745</v>
      </c>
      <c r="B746">
        <v>1</v>
      </c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</v>
      </c>
      <c r="X746">
        <v>90</v>
      </c>
      <c r="Y746">
        <v>0</v>
      </c>
      <c r="Z746">
        <v>0</v>
      </c>
      <c r="AA746">
        <v>1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400</v>
      </c>
      <c r="AJ746">
        <v>0.33333333300000001</v>
      </c>
      <c r="AK746">
        <v>1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8.1559999999999988</v>
      </c>
      <c r="AV746">
        <v>3.833333333333333</v>
      </c>
      <c r="AW746">
        <v>789.94999999999993</v>
      </c>
      <c r="AY746">
        <v>1176</v>
      </c>
      <c r="AZ746">
        <v>1369</v>
      </c>
      <c r="BA746">
        <v>2.9</v>
      </c>
      <c r="BD746" t="s">
        <v>108</v>
      </c>
    </row>
    <row r="747" spans="1:56" x14ac:dyDescent="0.3">
      <c r="A747">
        <v>10746</v>
      </c>
      <c r="B747">
        <v>1</v>
      </c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1</v>
      </c>
      <c r="X747">
        <v>90</v>
      </c>
      <c r="Y747">
        <v>0</v>
      </c>
      <c r="Z747">
        <v>0</v>
      </c>
      <c r="AA747">
        <v>1</v>
      </c>
      <c r="AB747">
        <v>0</v>
      </c>
      <c r="AC747">
        <v>0</v>
      </c>
      <c r="AD747">
        <v>950</v>
      </c>
      <c r="AE747">
        <v>1</v>
      </c>
      <c r="AF747">
        <v>1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8.1559999999999988</v>
      </c>
      <c r="AV747">
        <v>3.833333333333333</v>
      </c>
      <c r="AW747">
        <v>789.94999999999993</v>
      </c>
      <c r="AY747">
        <v>602</v>
      </c>
      <c r="AZ747">
        <v>813</v>
      </c>
      <c r="BA747">
        <v>8.1</v>
      </c>
      <c r="BC747" t="s">
        <v>352</v>
      </c>
      <c r="BD747" t="s">
        <v>108</v>
      </c>
    </row>
    <row r="748" spans="1:56" x14ac:dyDescent="0.3">
      <c r="A748">
        <v>10747</v>
      </c>
      <c r="B748">
        <v>1</v>
      </c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1</v>
      </c>
      <c r="X748">
        <v>90</v>
      </c>
      <c r="Y748">
        <v>0</v>
      </c>
      <c r="Z748">
        <v>0</v>
      </c>
      <c r="AA748">
        <v>1</v>
      </c>
      <c r="AB748">
        <v>0</v>
      </c>
      <c r="AC748">
        <v>0</v>
      </c>
      <c r="AD748">
        <v>950</v>
      </c>
      <c r="AE748">
        <v>1</v>
      </c>
      <c r="AF748">
        <v>1</v>
      </c>
      <c r="AG748">
        <v>0</v>
      </c>
      <c r="AH748">
        <v>0</v>
      </c>
      <c r="AI748">
        <v>400</v>
      </c>
      <c r="AJ748">
        <v>0.33333333300000001</v>
      </c>
      <c r="AK748">
        <v>1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8.1559999999999988</v>
      </c>
      <c r="AV748">
        <v>3.833333333333333</v>
      </c>
      <c r="AW748">
        <v>789.94999999999993</v>
      </c>
      <c r="AY748">
        <v>488</v>
      </c>
      <c r="AZ748">
        <v>635</v>
      </c>
      <c r="BA748">
        <v>1.5</v>
      </c>
      <c r="BC748" t="s">
        <v>352</v>
      </c>
      <c r="BD748" t="s">
        <v>108</v>
      </c>
    </row>
    <row r="749" spans="1:56" x14ac:dyDescent="0.3">
      <c r="A749">
        <v>10748</v>
      </c>
      <c r="B749">
        <v>1</v>
      </c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6.2639999999999993</v>
      </c>
      <c r="AV749">
        <v>1.9683333333333333</v>
      </c>
      <c r="AW749">
        <v>825.49099999999999</v>
      </c>
      <c r="AX749">
        <v>72</v>
      </c>
      <c r="AY749">
        <v>499</v>
      </c>
      <c r="BC749" t="s">
        <v>352</v>
      </c>
      <c r="BD749" t="s">
        <v>60</v>
      </c>
    </row>
    <row r="750" spans="1:56" x14ac:dyDescent="0.3">
      <c r="A750">
        <v>10749</v>
      </c>
      <c r="B750">
        <v>1</v>
      </c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1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5.4380000000000006</v>
      </c>
      <c r="AV750">
        <v>1.96</v>
      </c>
      <c r="AW750">
        <v>825.476</v>
      </c>
      <c r="AX750">
        <v>56</v>
      </c>
      <c r="AY750">
        <v>566</v>
      </c>
      <c r="BC750" t="s">
        <v>352</v>
      </c>
      <c r="BD750" t="s">
        <v>60</v>
      </c>
    </row>
    <row r="751" spans="1:56" x14ac:dyDescent="0.3">
      <c r="A751">
        <v>10750</v>
      </c>
      <c r="B751">
        <v>1</v>
      </c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5.7780000000000005</v>
      </c>
      <c r="AV751">
        <v>1.5650000000000002</v>
      </c>
      <c r="AW751">
        <v>843.529</v>
      </c>
      <c r="AX751">
        <v>55</v>
      </c>
      <c r="AY751">
        <v>533</v>
      </c>
      <c r="BC751" t="s">
        <v>304</v>
      </c>
      <c r="BD751" t="s">
        <v>60</v>
      </c>
    </row>
    <row r="752" spans="1:56" x14ac:dyDescent="0.3">
      <c r="A752">
        <v>10751</v>
      </c>
      <c r="B752">
        <v>1</v>
      </c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0</v>
      </c>
      <c r="AA752">
        <v>1</v>
      </c>
      <c r="AB752">
        <v>0</v>
      </c>
      <c r="AC752">
        <v>0</v>
      </c>
      <c r="AD752">
        <f>AW752</f>
        <v>856.05500000000006</v>
      </c>
      <c r="AE752">
        <v>0</v>
      </c>
      <c r="AF752">
        <v>0</v>
      </c>
      <c r="AG752">
        <v>1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6.0964</v>
      </c>
      <c r="AV752">
        <v>0.6333333333333333</v>
      </c>
      <c r="AW752">
        <v>856.05500000000006</v>
      </c>
      <c r="AX752">
        <v>83</v>
      </c>
      <c r="AY752">
        <v>499.1</v>
      </c>
      <c r="BC752" t="s">
        <v>305</v>
      </c>
      <c r="BD752" t="s">
        <v>60</v>
      </c>
    </row>
    <row r="753" spans="1:56" x14ac:dyDescent="0.3">
      <c r="A753">
        <v>10752</v>
      </c>
      <c r="B753">
        <v>1</v>
      </c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0</v>
      </c>
      <c r="AA753">
        <v>1</v>
      </c>
      <c r="AB753">
        <v>0</v>
      </c>
      <c r="AC753">
        <v>0</v>
      </c>
      <c r="AD753">
        <f>AW753</f>
        <v>856.90600000000006</v>
      </c>
      <c r="AE753">
        <v>0</v>
      </c>
      <c r="AF753">
        <v>1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5.9604000000000008</v>
      </c>
      <c r="AV753">
        <v>0.59333333333333327</v>
      </c>
      <c r="AW753">
        <v>856.90600000000006</v>
      </c>
      <c r="AX753">
        <v>72</v>
      </c>
      <c r="AY753">
        <v>534</v>
      </c>
      <c r="BC753" t="s">
        <v>306</v>
      </c>
      <c r="BD753" t="s">
        <v>60</v>
      </c>
    </row>
    <row r="754" spans="1:56" x14ac:dyDescent="0.3">
      <c r="A754">
        <v>10753</v>
      </c>
      <c r="B754">
        <v>1</v>
      </c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0</v>
      </c>
      <c r="AA754">
        <v>1</v>
      </c>
      <c r="AB754">
        <v>0</v>
      </c>
      <c r="AC754">
        <v>0</v>
      </c>
      <c r="AD754">
        <f>AW754</f>
        <v>840.98300000000006</v>
      </c>
      <c r="AE754">
        <v>0</v>
      </c>
      <c r="AF754">
        <v>1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7.6123999999999992</v>
      </c>
      <c r="AV754">
        <v>0.65500000000000003</v>
      </c>
      <c r="AW754">
        <v>840.98300000000006</v>
      </c>
      <c r="AX754">
        <v>68</v>
      </c>
      <c r="AY754">
        <v>491</v>
      </c>
      <c r="BC754" t="s">
        <v>307</v>
      </c>
      <c r="BD754" t="s">
        <v>60</v>
      </c>
    </row>
    <row r="755" spans="1:56" x14ac:dyDescent="0.3">
      <c r="A755">
        <v>10754</v>
      </c>
      <c r="B755">
        <v>1</v>
      </c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1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4.88</v>
      </c>
      <c r="AV755">
        <v>2.081666666666667</v>
      </c>
      <c r="AW755">
        <v>822.24400000000003</v>
      </c>
      <c r="AX755">
        <v>48</v>
      </c>
      <c r="BC755" t="s">
        <v>308</v>
      </c>
    </row>
    <row r="756" spans="1:56" x14ac:dyDescent="0.3">
      <c r="A756">
        <v>10755</v>
      </c>
      <c r="B756">
        <v>1</v>
      </c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1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4.88</v>
      </c>
      <c r="AV756">
        <v>3.1233333333333335</v>
      </c>
      <c r="AW756">
        <v>779.11900000000003</v>
      </c>
      <c r="AX756">
        <v>56</v>
      </c>
      <c r="BC756" t="s">
        <v>309</v>
      </c>
    </row>
    <row r="757" spans="1:56" x14ac:dyDescent="0.3">
      <c r="A757">
        <v>10756</v>
      </c>
      <c r="B757">
        <v>1</v>
      </c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1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6.2328000000000001</v>
      </c>
      <c r="AV757">
        <v>1.9633333333333334</v>
      </c>
      <c r="AW757">
        <v>825.88800000000003</v>
      </c>
      <c r="AX757">
        <v>72</v>
      </c>
      <c r="BC757" t="s">
        <v>310</v>
      </c>
    </row>
    <row r="758" spans="1:56" x14ac:dyDescent="0.3">
      <c r="A758">
        <v>10757</v>
      </c>
      <c r="B758">
        <v>1</v>
      </c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1</v>
      </c>
      <c r="W758">
        <v>0</v>
      </c>
      <c r="X758">
        <v>0</v>
      </c>
      <c r="Y758">
        <v>0</v>
      </c>
      <c r="Z758">
        <v>1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8.0560000000000009</v>
      </c>
      <c r="AV758">
        <v>3.833333333333333</v>
      </c>
      <c r="AW758">
        <v>790.9</v>
      </c>
      <c r="AX758">
        <v>48</v>
      </c>
      <c r="BC758" t="s">
        <v>311</v>
      </c>
    </row>
    <row r="759" spans="1:56" x14ac:dyDescent="0.3">
      <c r="A759">
        <v>10758</v>
      </c>
      <c r="B759">
        <v>1</v>
      </c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1</v>
      </c>
      <c r="W759">
        <v>0</v>
      </c>
      <c r="X759">
        <v>0</v>
      </c>
      <c r="Y759">
        <v>0</v>
      </c>
      <c r="Z759">
        <v>1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7.7160000000000002</v>
      </c>
      <c r="AV759">
        <v>5.25</v>
      </c>
      <c r="AW759">
        <v>728.75</v>
      </c>
      <c r="AX759">
        <v>56</v>
      </c>
      <c r="BC759" t="s">
        <v>312</v>
      </c>
    </row>
    <row r="760" spans="1:56" x14ac:dyDescent="0.3">
      <c r="A760">
        <v>10759</v>
      </c>
      <c r="B760">
        <v>1</v>
      </c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1</v>
      </c>
      <c r="W760">
        <v>0</v>
      </c>
      <c r="X760">
        <v>0</v>
      </c>
      <c r="Y760">
        <v>0</v>
      </c>
      <c r="Z760">
        <v>1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9.8800000000000008</v>
      </c>
      <c r="AV760">
        <v>3.45</v>
      </c>
      <c r="AW760">
        <v>798.92000000000007</v>
      </c>
      <c r="AX760">
        <v>72</v>
      </c>
      <c r="BC760" t="s">
        <v>313</v>
      </c>
    </row>
    <row r="761" spans="1:56" x14ac:dyDescent="0.3">
      <c r="A761">
        <v>10760</v>
      </c>
      <c r="B761">
        <v>1</v>
      </c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1</v>
      </c>
      <c r="W761">
        <v>0</v>
      </c>
      <c r="X761">
        <v>0</v>
      </c>
      <c r="Y761">
        <v>0</v>
      </c>
      <c r="Z761">
        <v>1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9.4840000000000018</v>
      </c>
      <c r="AV761">
        <v>4.7666666666666666</v>
      </c>
      <c r="AW761">
        <v>742.71</v>
      </c>
      <c r="AX761">
        <v>82</v>
      </c>
      <c r="BC761" t="s">
        <v>314</v>
      </c>
    </row>
    <row r="762" spans="1:56" x14ac:dyDescent="0.3">
      <c r="A762">
        <v>10761</v>
      </c>
      <c r="B762">
        <v>1</v>
      </c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1</v>
      </c>
      <c r="W762">
        <v>0</v>
      </c>
      <c r="X762">
        <v>0</v>
      </c>
      <c r="Y762">
        <v>0</v>
      </c>
      <c r="Z762">
        <v>1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11.512</v>
      </c>
      <c r="AV762">
        <v>3.1666666666666665</v>
      </c>
      <c r="AW762">
        <v>806.3</v>
      </c>
      <c r="AX762">
        <v>66</v>
      </c>
    </row>
    <row r="763" spans="1:56" x14ac:dyDescent="0.3">
      <c r="A763">
        <v>10762</v>
      </c>
      <c r="B763">
        <v>1</v>
      </c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1</v>
      </c>
      <c r="W763">
        <v>0</v>
      </c>
      <c r="X763">
        <v>0</v>
      </c>
      <c r="Y763">
        <v>0</v>
      </c>
      <c r="Z763">
        <v>1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11.132</v>
      </c>
      <c r="AV763">
        <v>4.3833333333333329</v>
      </c>
      <c r="AW763">
        <v>753.28</v>
      </c>
      <c r="AX763">
        <v>72</v>
      </c>
    </row>
    <row r="764" spans="1:56" x14ac:dyDescent="0.3">
      <c r="A764">
        <v>10763</v>
      </c>
      <c r="B764">
        <v>1</v>
      </c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1</v>
      </c>
      <c r="W764">
        <v>0</v>
      </c>
      <c r="X764">
        <v>0</v>
      </c>
      <c r="Y764">
        <v>0</v>
      </c>
      <c r="Z764">
        <v>1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4.5</v>
      </c>
      <c r="AV764">
        <v>2.2833333333333332</v>
      </c>
      <c r="AW764">
        <v>813.81999999999994</v>
      </c>
      <c r="AX764">
        <v>58</v>
      </c>
    </row>
    <row r="765" spans="1:56" x14ac:dyDescent="0.3">
      <c r="A765">
        <v>10764</v>
      </c>
      <c r="B765">
        <v>1</v>
      </c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1</v>
      </c>
      <c r="W765">
        <v>0</v>
      </c>
      <c r="X765">
        <v>0</v>
      </c>
      <c r="Y765">
        <v>0</v>
      </c>
      <c r="Z765">
        <v>1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3.968</v>
      </c>
      <c r="AV765">
        <v>2.6</v>
      </c>
      <c r="AW765">
        <v>800.70999999999992</v>
      </c>
      <c r="AX765">
        <v>56</v>
      </c>
    </row>
    <row r="766" spans="1:56" x14ac:dyDescent="0.3">
      <c r="A766">
        <v>10765</v>
      </c>
      <c r="B766">
        <v>1</v>
      </c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1</v>
      </c>
      <c r="W766">
        <v>0</v>
      </c>
      <c r="X766">
        <v>0</v>
      </c>
      <c r="Y766">
        <v>0</v>
      </c>
      <c r="Z766">
        <v>1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4.9156000000000004</v>
      </c>
      <c r="AV766">
        <v>2.0883333333333329</v>
      </c>
      <c r="AW766">
        <v>821.86299999999994</v>
      </c>
      <c r="AX766">
        <v>48</v>
      </c>
    </row>
    <row r="767" spans="1:56" x14ac:dyDescent="0.3">
      <c r="A767">
        <v>10766</v>
      </c>
      <c r="B767">
        <v>1</v>
      </c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1</v>
      </c>
      <c r="W767">
        <v>0</v>
      </c>
      <c r="X767">
        <v>0</v>
      </c>
      <c r="Y767">
        <v>0</v>
      </c>
      <c r="Z767">
        <v>1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6.2640000000000011</v>
      </c>
      <c r="AV767">
        <v>1.9683333333333333</v>
      </c>
      <c r="AW767">
        <v>825.49099999999999</v>
      </c>
      <c r="AX767">
        <v>72</v>
      </c>
    </row>
    <row r="768" spans="1:56" x14ac:dyDescent="0.3">
      <c r="A768">
        <v>10767</v>
      </c>
      <c r="B768">
        <v>1</v>
      </c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1</v>
      </c>
      <c r="W768">
        <v>0</v>
      </c>
      <c r="X768">
        <v>0</v>
      </c>
      <c r="Y768">
        <v>0</v>
      </c>
      <c r="Z768">
        <v>1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5.4380000000000006</v>
      </c>
      <c r="AV768">
        <v>1.96</v>
      </c>
      <c r="AW768">
        <v>825.476</v>
      </c>
      <c r="AX768">
        <v>56</v>
      </c>
    </row>
    <row r="769" spans="1:56" x14ac:dyDescent="0.3">
      <c r="A769">
        <v>10768</v>
      </c>
      <c r="B769">
        <v>1</v>
      </c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1</v>
      </c>
      <c r="W769">
        <v>0</v>
      </c>
      <c r="X769">
        <v>0</v>
      </c>
      <c r="Y769">
        <v>0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4.6020000000000003</v>
      </c>
      <c r="AV769">
        <v>1.9666666666666668</v>
      </c>
      <c r="AW769">
        <v>825.65499999999997</v>
      </c>
      <c r="AX769">
        <v>54</v>
      </c>
    </row>
    <row r="770" spans="1:56" x14ac:dyDescent="0.3">
      <c r="A770">
        <v>10769</v>
      </c>
      <c r="B770">
        <v>1</v>
      </c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1</v>
      </c>
      <c r="W770">
        <v>0</v>
      </c>
      <c r="X770">
        <v>0</v>
      </c>
      <c r="Y770">
        <v>0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4.5920000000000005</v>
      </c>
      <c r="AV770">
        <v>1.4750000000000001</v>
      </c>
      <c r="AW770">
        <v>845.92499999999995</v>
      </c>
      <c r="AX770">
        <v>59</v>
      </c>
    </row>
    <row r="771" spans="1:56" x14ac:dyDescent="0.3">
      <c r="A771">
        <v>10770</v>
      </c>
      <c r="B771">
        <v>1</v>
      </c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1</v>
      </c>
      <c r="W771">
        <v>0</v>
      </c>
      <c r="X771">
        <v>0</v>
      </c>
      <c r="Y771">
        <v>0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5.7808000000000002</v>
      </c>
      <c r="AV771">
        <v>1.5649999999999999</v>
      </c>
      <c r="AW771">
        <v>843.529</v>
      </c>
      <c r="AX771">
        <v>55</v>
      </c>
    </row>
    <row r="772" spans="1:56" x14ac:dyDescent="0.3">
      <c r="A772">
        <v>10771</v>
      </c>
      <c r="B772">
        <v>1</v>
      </c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1</v>
      </c>
      <c r="W772">
        <v>0</v>
      </c>
      <c r="X772">
        <v>0</v>
      </c>
      <c r="Y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7.4476000000000013</v>
      </c>
      <c r="AV772">
        <v>1.85</v>
      </c>
      <c r="AW772">
        <v>828.86</v>
      </c>
      <c r="AX772">
        <v>66</v>
      </c>
    </row>
    <row r="773" spans="1:56" x14ac:dyDescent="0.3">
      <c r="A773">
        <v>10772</v>
      </c>
      <c r="B773">
        <v>1</v>
      </c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1</v>
      </c>
      <c r="W773">
        <v>0</v>
      </c>
      <c r="X773">
        <v>0</v>
      </c>
      <c r="Y773">
        <v>0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7.4820000000000011</v>
      </c>
      <c r="AV773">
        <v>0.6399999999999999</v>
      </c>
      <c r="AW773">
        <v>841.51899999999989</v>
      </c>
      <c r="AX773">
        <v>63</v>
      </c>
    </row>
    <row r="774" spans="1:56" x14ac:dyDescent="0.3">
      <c r="A774">
        <v>10773</v>
      </c>
      <c r="B774">
        <v>1</v>
      </c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1</v>
      </c>
      <c r="W774">
        <v>0</v>
      </c>
      <c r="X774">
        <v>0</v>
      </c>
      <c r="Y774">
        <v>0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5.8803999999999998</v>
      </c>
      <c r="AV774">
        <v>0.63166666666666671</v>
      </c>
      <c r="AW774">
        <v>856.31399999999996</v>
      </c>
      <c r="AX774">
        <v>69</v>
      </c>
    </row>
    <row r="775" spans="1:56" x14ac:dyDescent="0.3">
      <c r="A775">
        <v>10774</v>
      </c>
      <c r="B775">
        <v>1</v>
      </c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X775">
        <v>0</v>
      </c>
      <c r="Y775">
        <v>0</v>
      </c>
      <c r="Z775">
        <v>1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6.1076000000000006</v>
      </c>
      <c r="AV775">
        <v>0.74833333333333329</v>
      </c>
      <c r="AW775">
        <v>868.75400000000002</v>
      </c>
      <c r="AX775">
        <v>58</v>
      </c>
    </row>
    <row r="776" spans="1:56" x14ac:dyDescent="0.3">
      <c r="A776">
        <v>10775</v>
      </c>
      <c r="B776">
        <v>1</v>
      </c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1</v>
      </c>
      <c r="W776">
        <v>0</v>
      </c>
      <c r="X776">
        <v>0</v>
      </c>
      <c r="Y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6.0964000000000009</v>
      </c>
      <c r="AV776">
        <v>0.6333333333333333</v>
      </c>
      <c r="AW776">
        <v>856.05500000000006</v>
      </c>
      <c r="AX776">
        <v>69</v>
      </c>
    </row>
    <row r="777" spans="1:56" x14ac:dyDescent="0.3">
      <c r="A777">
        <v>10776</v>
      </c>
      <c r="B777">
        <v>1</v>
      </c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1</v>
      </c>
      <c r="W777">
        <v>0</v>
      </c>
      <c r="X777">
        <v>0</v>
      </c>
      <c r="Y777">
        <v>0</v>
      </c>
      <c r="Z777">
        <v>1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5.4144000000000005</v>
      </c>
      <c r="AV777">
        <v>0.97499999999999987</v>
      </c>
      <c r="AW777">
        <v>839.28500000000008</v>
      </c>
      <c r="AX777">
        <v>65</v>
      </c>
    </row>
    <row r="778" spans="1:56" x14ac:dyDescent="0.3">
      <c r="A778">
        <v>10777</v>
      </c>
      <c r="B778">
        <v>1</v>
      </c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1</v>
      </c>
      <c r="X778">
        <v>800</v>
      </c>
      <c r="Y778">
        <v>65.7</v>
      </c>
      <c r="Z778">
        <v>0</v>
      </c>
      <c r="AA778">
        <v>1</v>
      </c>
      <c r="AB778">
        <v>0</v>
      </c>
      <c r="AC778">
        <v>0</v>
      </c>
      <c r="AD778">
        <v>730</v>
      </c>
      <c r="AE778">
        <v>0.5</v>
      </c>
      <c r="AF778">
        <v>0</v>
      </c>
      <c r="AG778">
        <v>1</v>
      </c>
      <c r="AH778">
        <v>0</v>
      </c>
      <c r="AI778">
        <f>0.5*AW781</f>
        <v>355.65</v>
      </c>
      <c r="AJ778">
        <v>0</v>
      </c>
      <c r="AK778">
        <v>0</v>
      </c>
      <c r="AL778">
        <v>1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13.950000000000003</v>
      </c>
      <c r="AV778">
        <v>4</v>
      </c>
      <c r="AW778">
        <v>711.3</v>
      </c>
      <c r="AZ778">
        <v>973</v>
      </c>
      <c r="BA778">
        <v>22</v>
      </c>
      <c r="BD778" t="s">
        <v>165</v>
      </c>
    </row>
    <row r="779" spans="1:56" x14ac:dyDescent="0.3">
      <c r="A779">
        <v>10778</v>
      </c>
      <c r="B779">
        <v>1</v>
      </c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1</v>
      </c>
      <c r="X779">
        <v>800</v>
      </c>
      <c r="Y779">
        <v>65.7</v>
      </c>
      <c r="Z779">
        <v>0</v>
      </c>
      <c r="AA779">
        <v>1</v>
      </c>
      <c r="AB779">
        <v>0</v>
      </c>
      <c r="AC779">
        <v>0</v>
      </c>
      <c r="AD779">
        <v>760</v>
      </c>
      <c r="AE779">
        <v>0.5</v>
      </c>
      <c r="AF779">
        <v>0</v>
      </c>
      <c r="AG779">
        <v>1</v>
      </c>
      <c r="AH779">
        <v>0</v>
      </c>
      <c r="AI779">
        <f>0.5*AW782</f>
        <v>355.65</v>
      </c>
      <c r="AJ779">
        <v>0</v>
      </c>
      <c r="AK779">
        <v>0</v>
      </c>
      <c r="AL779">
        <v>1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13.950000000000003</v>
      </c>
      <c r="AV779">
        <v>4</v>
      </c>
      <c r="AW779">
        <v>711.3</v>
      </c>
      <c r="AZ779">
        <v>953.57</v>
      </c>
      <c r="BA779">
        <v>23</v>
      </c>
      <c r="BD779" t="s">
        <v>166</v>
      </c>
    </row>
    <row r="780" spans="1:56" x14ac:dyDescent="0.3">
      <c r="A780">
        <v>10779</v>
      </c>
      <c r="B780">
        <v>1</v>
      </c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1</v>
      </c>
      <c r="X780">
        <v>800</v>
      </c>
      <c r="Y780">
        <v>65.7</v>
      </c>
      <c r="Z780">
        <v>0</v>
      </c>
      <c r="AA780">
        <v>1</v>
      </c>
      <c r="AB780">
        <v>0</v>
      </c>
      <c r="AC780">
        <v>0</v>
      </c>
      <c r="AD780">
        <v>800</v>
      </c>
      <c r="AE780">
        <v>0.5</v>
      </c>
      <c r="AF780">
        <v>0</v>
      </c>
      <c r="AG780">
        <v>1</v>
      </c>
      <c r="AH780">
        <v>0</v>
      </c>
      <c r="AI780">
        <f>0.5*AW783</f>
        <v>355.65</v>
      </c>
      <c r="AJ780">
        <v>0</v>
      </c>
      <c r="AK780">
        <v>0</v>
      </c>
      <c r="AL780">
        <v>1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13.950000000000003</v>
      </c>
      <c r="AV780">
        <v>4</v>
      </c>
      <c r="AW780">
        <v>711.3</v>
      </c>
      <c r="AZ780">
        <v>875.28</v>
      </c>
      <c r="BA780">
        <v>21.92</v>
      </c>
      <c r="BD780" t="s">
        <v>167</v>
      </c>
    </row>
    <row r="781" spans="1:56" x14ac:dyDescent="0.3">
      <c r="A781">
        <v>10780</v>
      </c>
      <c r="B781">
        <v>1</v>
      </c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1</v>
      </c>
      <c r="X781">
        <v>800</v>
      </c>
      <c r="Y781">
        <v>65.7</v>
      </c>
      <c r="Z781">
        <v>0</v>
      </c>
      <c r="AA781">
        <v>1</v>
      </c>
      <c r="AB781">
        <v>0</v>
      </c>
      <c r="AC781">
        <v>0</v>
      </c>
      <c r="AD781">
        <v>830</v>
      </c>
      <c r="AE781">
        <v>0.5</v>
      </c>
      <c r="AF781">
        <v>0</v>
      </c>
      <c r="AG781">
        <v>1</v>
      </c>
      <c r="AH781">
        <v>0</v>
      </c>
      <c r="AI781">
        <f>0.5*AW784</f>
        <v>355.65</v>
      </c>
      <c r="AJ781">
        <v>0</v>
      </c>
      <c r="AK781">
        <v>0</v>
      </c>
      <c r="AL781">
        <v>1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13.950000000000003</v>
      </c>
      <c r="AV781">
        <v>4</v>
      </c>
      <c r="AW781">
        <v>711.3</v>
      </c>
      <c r="AZ781">
        <v>867.62</v>
      </c>
      <c r="BA781">
        <v>22.9</v>
      </c>
      <c r="BD781" t="s">
        <v>168</v>
      </c>
    </row>
    <row r="782" spans="1:56" x14ac:dyDescent="0.3">
      <c r="A782">
        <v>10781</v>
      </c>
      <c r="B782">
        <v>1</v>
      </c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1</v>
      </c>
      <c r="X782">
        <v>800</v>
      </c>
      <c r="Y782">
        <v>65.7</v>
      </c>
      <c r="Z782">
        <v>0</v>
      </c>
      <c r="AA782">
        <v>1</v>
      </c>
      <c r="AB782">
        <v>0</v>
      </c>
      <c r="AC782">
        <v>0</v>
      </c>
      <c r="AD782">
        <v>730</v>
      </c>
      <c r="AE782">
        <v>0.5</v>
      </c>
      <c r="AF782">
        <v>0</v>
      </c>
      <c r="AG782">
        <v>1</v>
      </c>
      <c r="AH782">
        <v>0</v>
      </c>
      <c r="AI782">
        <v>460</v>
      </c>
      <c r="AJ782">
        <v>6</v>
      </c>
      <c r="AK782">
        <v>0</v>
      </c>
      <c r="AL782">
        <v>1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13.950000000000003</v>
      </c>
      <c r="AV782">
        <v>4</v>
      </c>
      <c r="AW782">
        <v>711.3</v>
      </c>
      <c r="AZ782">
        <v>1485.34</v>
      </c>
      <c r="BA782">
        <v>10.119999999999999</v>
      </c>
      <c r="BD782" t="s">
        <v>169</v>
      </c>
    </row>
    <row r="783" spans="1:56" x14ac:dyDescent="0.3">
      <c r="A783">
        <v>10782</v>
      </c>
      <c r="B783">
        <v>1</v>
      </c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1</v>
      </c>
      <c r="X783">
        <v>800</v>
      </c>
      <c r="Y783">
        <v>65.7</v>
      </c>
      <c r="Z783">
        <v>0</v>
      </c>
      <c r="AA783">
        <v>1</v>
      </c>
      <c r="AB783">
        <v>0</v>
      </c>
      <c r="AC783">
        <v>0</v>
      </c>
      <c r="AD783">
        <v>760</v>
      </c>
      <c r="AE783">
        <v>0.5</v>
      </c>
      <c r="AF783">
        <v>0</v>
      </c>
      <c r="AG783">
        <v>1</v>
      </c>
      <c r="AH783">
        <v>0</v>
      </c>
      <c r="AI783">
        <v>460</v>
      </c>
      <c r="AJ783">
        <v>6</v>
      </c>
      <c r="AK783">
        <v>0</v>
      </c>
      <c r="AL783">
        <v>1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13.950000000000003</v>
      </c>
      <c r="AV783">
        <v>4</v>
      </c>
      <c r="AW783">
        <v>711.3</v>
      </c>
      <c r="AZ783">
        <v>1572.56</v>
      </c>
      <c r="BA783">
        <v>6.18</v>
      </c>
      <c r="BD783" t="s">
        <v>170</v>
      </c>
    </row>
    <row r="784" spans="1:56" x14ac:dyDescent="0.3">
      <c r="A784">
        <v>10783</v>
      </c>
      <c r="B784">
        <v>1</v>
      </c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1</v>
      </c>
      <c r="X784">
        <v>800</v>
      </c>
      <c r="Y784">
        <v>65.7</v>
      </c>
      <c r="Z784">
        <v>0</v>
      </c>
      <c r="AA784">
        <v>1</v>
      </c>
      <c r="AB784">
        <v>0</v>
      </c>
      <c r="AC784">
        <v>0</v>
      </c>
      <c r="AD784">
        <v>800</v>
      </c>
      <c r="AE784">
        <v>0.5</v>
      </c>
      <c r="AF784">
        <v>0</v>
      </c>
      <c r="AG784">
        <v>1</v>
      </c>
      <c r="AH784">
        <v>0</v>
      </c>
      <c r="AI784">
        <v>460</v>
      </c>
      <c r="AJ784">
        <v>6</v>
      </c>
      <c r="AK784">
        <v>0</v>
      </c>
      <c r="AL784">
        <v>1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13.950000000000003</v>
      </c>
      <c r="AV784">
        <v>4</v>
      </c>
      <c r="AW784">
        <v>711.3</v>
      </c>
      <c r="AZ784">
        <v>1208.8</v>
      </c>
      <c r="BA784">
        <v>10.73</v>
      </c>
      <c r="BD784" t="s">
        <v>171</v>
      </c>
    </row>
    <row r="785" spans="1:56" x14ac:dyDescent="0.3">
      <c r="A785">
        <v>10784</v>
      </c>
      <c r="B785">
        <v>1</v>
      </c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1</v>
      </c>
      <c r="X785">
        <v>800</v>
      </c>
      <c r="Y785">
        <v>65.7</v>
      </c>
      <c r="Z785">
        <v>0</v>
      </c>
      <c r="AA785">
        <v>1</v>
      </c>
      <c r="AB785">
        <v>0</v>
      </c>
      <c r="AC785">
        <v>0</v>
      </c>
      <c r="AD785">
        <v>830</v>
      </c>
      <c r="AE785">
        <v>0.5</v>
      </c>
      <c r="AF785">
        <v>0</v>
      </c>
      <c r="AG785">
        <v>1</v>
      </c>
      <c r="AH785">
        <v>0</v>
      </c>
      <c r="AI785">
        <v>460</v>
      </c>
      <c r="AJ785">
        <v>6</v>
      </c>
      <c r="AK785">
        <v>0</v>
      </c>
      <c r="AL785">
        <v>1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13.950000000000003</v>
      </c>
      <c r="AV785">
        <v>4</v>
      </c>
      <c r="AW785">
        <v>711.3</v>
      </c>
      <c r="AZ785">
        <v>1288.17</v>
      </c>
      <c r="BA785">
        <v>7.72</v>
      </c>
      <c r="BD785" t="s">
        <v>172</v>
      </c>
    </row>
    <row r="786" spans="1:56" x14ac:dyDescent="0.3">
      <c r="A786">
        <v>10785</v>
      </c>
      <c r="B786">
        <v>1</v>
      </c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1</v>
      </c>
      <c r="X786">
        <v>800</v>
      </c>
      <c r="Y786">
        <v>65.7</v>
      </c>
      <c r="Z786">
        <v>0</v>
      </c>
      <c r="AA786">
        <v>1</v>
      </c>
      <c r="AB786">
        <v>0</v>
      </c>
      <c r="AC786">
        <v>0</v>
      </c>
      <c r="AD786">
        <v>730</v>
      </c>
      <c r="AE786">
        <v>0.5</v>
      </c>
      <c r="AF786">
        <v>0</v>
      </c>
      <c r="AG786">
        <v>1</v>
      </c>
      <c r="AH786">
        <v>0</v>
      </c>
      <c r="AI786">
        <v>480</v>
      </c>
      <c r="AJ786">
        <v>6</v>
      </c>
      <c r="AK786">
        <v>0</v>
      </c>
      <c r="AL786">
        <v>1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13.950000000000003</v>
      </c>
      <c r="AV786">
        <v>4</v>
      </c>
      <c r="AW786">
        <v>711.3</v>
      </c>
      <c r="AZ786">
        <v>1475.41</v>
      </c>
      <c r="BA786">
        <v>10.18</v>
      </c>
      <c r="BD786" t="s">
        <v>173</v>
      </c>
    </row>
    <row r="787" spans="1:56" x14ac:dyDescent="0.3">
      <c r="A787">
        <v>10786</v>
      </c>
      <c r="B787">
        <v>1</v>
      </c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800</v>
      </c>
      <c r="Y787">
        <v>65.7</v>
      </c>
      <c r="Z787">
        <v>0</v>
      </c>
      <c r="AA787">
        <v>1</v>
      </c>
      <c r="AB787">
        <v>0</v>
      </c>
      <c r="AC787">
        <v>0</v>
      </c>
      <c r="AD787">
        <v>760</v>
      </c>
      <c r="AE787">
        <v>0.5</v>
      </c>
      <c r="AF787">
        <v>0</v>
      </c>
      <c r="AG787">
        <v>1</v>
      </c>
      <c r="AH787">
        <v>0</v>
      </c>
      <c r="AI787">
        <v>480</v>
      </c>
      <c r="AJ787">
        <v>6</v>
      </c>
      <c r="AK787">
        <v>0</v>
      </c>
      <c r="AL787">
        <v>1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13.950000000000003</v>
      </c>
      <c r="AV787">
        <v>4</v>
      </c>
      <c r="AW787">
        <v>711.3</v>
      </c>
      <c r="AZ787">
        <v>1474.28</v>
      </c>
      <c r="BA787">
        <v>8.9499999999999993</v>
      </c>
      <c r="BD787" t="s">
        <v>174</v>
      </c>
    </row>
    <row r="788" spans="1:56" x14ac:dyDescent="0.3">
      <c r="A788">
        <v>10787</v>
      </c>
      <c r="B788">
        <v>1</v>
      </c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800</v>
      </c>
      <c r="Y788">
        <v>65.7</v>
      </c>
      <c r="Z788">
        <v>0</v>
      </c>
      <c r="AA788">
        <v>1</v>
      </c>
      <c r="AB788">
        <v>0</v>
      </c>
      <c r="AC788">
        <v>0</v>
      </c>
      <c r="AD788">
        <v>800</v>
      </c>
      <c r="AE788">
        <v>0.5</v>
      </c>
      <c r="AF788">
        <v>0</v>
      </c>
      <c r="AG788">
        <v>1</v>
      </c>
      <c r="AH788">
        <v>0</v>
      </c>
      <c r="AI788">
        <v>480</v>
      </c>
      <c r="AJ788">
        <v>6</v>
      </c>
      <c r="AK788">
        <v>0</v>
      </c>
      <c r="AL788">
        <v>1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13.950000000000003</v>
      </c>
      <c r="AV788">
        <v>4</v>
      </c>
      <c r="AW788">
        <v>711.3</v>
      </c>
      <c r="AZ788">
        <v>1263.42</v>
      </c>
      <c r="BA788">
        <v>9.44</v>
      </c>
      <c r="BD788" t="s">
        <v>175</v>
      </c>
    </row>
    <row r="789" spans="1:56" x14ac:dyDescent="0.3">
      <c r="A789">
        <v>10788</v>
      </c>
      <c r="B789">
        <v>1</v>
      </c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800</v>
      </c>
      <c r="Y789">
        <v>65.7</v>
      </c>
      <c r="Z789">
        <v>0</v>
      </c>
      <c r="AA789">
        <v>1</v>
      </c>
      <c r="AB789">
        <v>0</v>
      </c>
      <c r="AC789">
        <v>0</v>
      </c>
      <c r="AD789">
        <v>830</v>
      </c>
      <c r="AE789">
        <v>0.5</v>
      </c>
      <c r="AF789">
        <v>0</v>
      </c>
      <c r="AG789">
        <v>1</v>
      </c>
      <c r="AH789">
        <v>0</v>
      </c>
      <c r="AI789">
        <v>480</v>
      </c>
      <c r="AJ789">
        <v>6</v>
      </c>
      <c r="AK789">
        <v>0</v>
      </c>
      <c r="AL789">
        <v>1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13.950000000000003</v>
      </c>
      <c r="AV789">
        <v>4</v>
      </c>
      <c r="AW789">
        <v>711.3</v>
      </c>
      <c r="AZ789">
        <v>1216.6300000000001</v>
      </c>
      <c r="BA789">
        <v>9.9</v>
      </c>
      <c r="BD789" t="s">
        <v>176</v>
      </c>
    </row>
    <row r="790" spans="1:56" x14ac:dyDescent="0.3">
      <c r="A790">
        <v>10789</v>
      </c>
      <c r="B790">
        <v>1</v>
      </c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800</v>
      </c>
      <c r="Y790">
        <v>65.7</v>
      </c>
      <c r="Z790">
        <v>0</v>
      </c>
      <c r="AA790">
        <v>1</v>
      </c>
      <c r="AB790">
        <v>0</v>
      </c>
      <c r="AC790">
        <v>0</v>
      </c>
      <c r="AD790">
        <v>730</v>
      </c>
      <c r="AE790">
        <v>0.5</v>
      </c>
      <c r="AF790">
        <v>0</v>
      </c>
      <c r="AG790">
        <v>1</v>
      </c>
      <c r="AH790">
        <v>0</v>
      </c>
      <c r="AI790">
        <v>500</v>
      </c>
      <c r="AJ790">
        <v>6</v>
      </c>
      <c r="AK790">
        <v>0</v>
      </c>
      <c r="AL790">
        <v>1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13.950000000000003</v>
      </c>
      <c r="AV790">
        <v>4</v>
      </c>
      <c r="AW790">
        <v>711.3</v>
      </c>
      <c r="AZ790">
        <v>1383.33</v>
      </c>
      <c r="BA790">
        <v>13.87</v>
      </c>
      <c r="BD790" t="s">
        <v>177</v>
      </c>
    </row>
    <row r="791" spans="1:56" x14ac:dyDescent="0.3">
      <c r="A791">
        <v>10790</v>
      </c>
      <c r="B791">
        <v>1</v>
      </c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800</v>
      </c>
      <c r="Y791">
        <v>65.7</v>
      </c>
      <c r="Z791">
        <v>0</v>
      </c>
      <c r="AA791">
        <v>1</v>
      </c>
      <c r="AB791">
        <v>0</v>
      </c>
      <c r="AC791">
        <v>0</v>
      </c>
      <c r="AD791">
        <v>760</v>
      </c>
      <c r="AE791">
        <v>0.5</v>
      </c>
      <c r="AF791">
        <v>0</v>
      </c>
      <c r="AG791">
        <v>1</v>
      </c>
      <c r="AH791">
        <v>0</v>
      </c>
      <c r="AI791">
        <v>500</v>
      </c>
      <c r="AJ791">
        <v>6</v>
      </c>
      <c r="AK791">
        <v>0</v>
      </c>
      <c r="AL791">
        <v>1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13.950000000000003</v>
      </c>
      <c r="AV791">
        <v>4</v>
      </c>
      <c r="AW791">
        <v>711.3</v>
      </c>
      <c r="AZ791">
        <v>1470.05</v>
      </c>
      <c r="BA791">
        <v>10.4</v>
      </c>
      <c r="BD791" t="s">
        <v>178</v>
      </c>
    </row>
    <row r="792" spans="1:56" x14ac:dyDescent="0.3">
      <c r="A792">
        <v>10791</v>
      </c>
      <c r="B792">
        <v>1</v>
      </c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800</v>
      </c>
      <c r="Y792">
        <v>65.7</v>
      </c>
      <c r="Z792">
        <v>0</v>
      </c>
      <c r="AA792">
        <v>1</v>
      </c>
      <c r="AB792">
        <v>0</v>
      </c>
      <c r="AC792">
        <v>0</v>
      </c>
      <c r="AD792">
        <v>800</v>
      </c>
      <c r="AE792">
        <v>0.5</v>
      </c>
      <c r="AF792">
        <v>0</v>
      </c>
      <c r="AG792">
        <v>1</v>
      </c>
      <c r="AH792">
        <v>0</v>
      </c>
      <c r="AI792">
        <v>500</v>
      </c>
      <c r="AJ792">
        <v>6</v>
      </c>
      <c r="AK792">
        <v>0</v>
      </c>
      <c r="AL792">
        <v>1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13.950000000000003</v>
      </c>
      <c r="AV792">
        <v>4</v>
      </c>
      <c r="AW792">
        <v>711.3</v>
      </c>
      <c r="AZ792">
        <v>1400.15</v>
      </c>
      <c r="BA792">
        <v>7.52</v>
      </c>
      <c r="BD792" t="s">
        <v>179</v>
      </c>
    </row>
    <row r="793" spans="1:56" x14ac:dyDescent="0.3">
      <c r="A793">
        <v>10792</v>
      </c>
      <c r="B793">
        <v>1</v>
      </c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800</v>
      </c>
      <c r="Y793">
        <v>65.7</v>
      </c>
      <c r="Z793">
        <v>0</v>
      </c>
      <c r="AA793">
        <v>1</v>
      </c>
      <c r="AB793">
        <v>0</v>
      </c>
      <c r="AC793">
        <v>0</v>
      </c>
      <c r="AD793">
        <v>830</v>
      </c>
      <c r="AE793">
        <v>0.5</v>
      </c>
      <c r="AF793">
        <v>0</v>
      </c>
      <c r="AG793">
        <v>1</v>
      </c>
      <c r="AH793">
        <v>0</v>
      </c>
      <c r="AI793">
        <v>500</v>
      </c>
      <c r="AJ793">
        <v>6</v>
      </c>
      <c r="AK793">
        <v>0</v>
      </c>
      <c r="AL793">
        <v>1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13.950000000000003</v>
      </c>
      <c r="AV793">
        <v>4</v>
      </c>
      <c r="AW793">
        <v>711.3</v>
      </c>
      <c r="AZ793">
        <v>1305.81</v>
      </c>
      <c r="BA793">
        <v>7.75</v>
      </c>
      <c r="BD793" t="s">
        <v>180</v>
      </c>
    </row>
    <row r="794" spans="1:56" x14ac:dyDescent="0.3">
      <c r="A794">
        <v>10793</v>
      </c>
      <c r="B794">
        <v>1</v>
      </c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800</v>
      </c>
      <c r="Y794">
        <v>65.7</v>
      </c>
      <c r="Z794">
        <v>0</v>
      </c>
      <c r="AA794">
        <v>1</v>
      </c>
      <c r="AB794">
        <v>0</v>
      </c>
      <c r="AC794">
        <v>0</v>
      </c>
      <c r="AD794">
        <v>730</v>
      </c>
      <c r="AE794">
        <v>0.5</v>
      </c>
      <c r="AF794">
        <v>0</v>
      </c>
      <c r="AG794">
        <v>1</v>
      </c>
      <c r="AH794">
        <v>0</v>
      </c>
      <c r="AI794">
        <v>520</v>
      </c>
      <c r="AJ794">
        <v>6</v>
      </c>
      <c r="AK794">
        <v>0</v>
      </c>
      <c r="AL794">
        <v>1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13.950000000000003</v>
      </c>
      <c r="AV794">
        <v>4</v>
      </c>
      <c r="AW794">
        <v>711.3</v>
      </c>
      <c r="AZ794">
        <v>1279.6600000000001</v>
      </c>
      <c r="BA794">
        <v>15.55</v>
      </c>
      <c r="BD794" t="s">
        <v>181</v>
      </c>
    </row>
    <row r="795" spans="1:56" x14ac:dyDescent="0.3">
      <c r="A795">
        <v>10794</v>
      </c>
      <c r="B795">
        <v>1</v>
      </c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800</v>
      </c>
      <c r="Y795">
        <v>65.7</v>
      </c>
      <c r="Z795">
        <v>0</v>
      </c>
      <c r="AA795">
        <v>1</v>
      </c>
      <c r="AB795">
        <v>0</v>
      </c>
      <c r="AC795">
        <v>0</v>
      </c>
      <c r="AD795">
        <v>760</v>
      </c>
      <c r="AE795">
        <v>0.5</v>
      </c>
      <c r="AF795">
        <v>0</v>
      </c>
      <c r="AG795">
        <v>1</v>
      </c>
      <c r="AH795">
        <v>0</v>
      </c>
      <c r="AI795">
        <v>520</v>
      </c>
      <c r="AJ795">
        <v>6</v>
      </c>
      <c r="AK795">
        <v>0</v>
      </c>
      <c r="AL795">
        <v>1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13.950000000000003</v>
      </c>
      <c r="AV795">
        <v>4</v>
      </c>
      <c r="AW795">
        <v>711.3</v>
      </c>
      <c r="AZ795">
        <v>1366.56</v>
      </c>
      <c r="BA795">
        <v>12.97</v>
      </c>
      <c r="BD795" t="s">
        <v>182</v>
      </c>
    </row>
    <row r="796" spans="1:56" x14ac:dyDescent="0.3">
      <c r="A796">
        <v>10795</v>
      </c>
      <c r="B796">
        <v>1</v>
      </c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</v>
      </c>
      <c r="X796">
        <v>800</v>
      </c>
      <c r="Y796">
        <v>65.7</v>
      </c>
      <c r="Z796">
        <v>0</v>
      </c>
      <c r="AA796">
        <v>1</v>
      </c>
      <c r="AB796">
        <v>0</v>
      </c>
      <c r="AC796">
        <v>0</v>
      </c>
      <c r="AD796">
        <v>800</v>
      </c>
      <c r="AE796">
        <v>0.5</v>
      </c>
      <c r="AF796">
        <v>0</v>
      </c>
      <c r="AG796">
        <v>1</v>
      </c>
      <c r="AH796">
        <v>0</v>
      </c>
      <c r="AI796">
        <v>520</v>
      </c>
      <c r="AJ796">
        <v>6</v>
      </c>
      <c r="AK796">
        <v>0</v>
      </c>
      <c r="AL796">
        <v>1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13.950000000000003</v>
      </c>
      <c r="AV796">
        <v>4</v>
      </c>
      <c r="AW796">
        <v>711.3</v>
      </c>
      <c r="AZ796">
        <v>1413.25</v>
      </c>
      <c r="BA796">
        <v>8.1999999999999993</v>
      </c>
      <c r="BD796" t="s">
        <v>183</v>
      </c>
    </row>
    <row r="797" spans="1:56" x14ac:dyDescent="0.3">
      <c r="A797">
        <v>10796</v>
      </c>
      <c r="B797">
        <v>1</v>
      </c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1</v>
      </c>
      <c r="X797">
        <v>800</v>
      </c>
      <c r="Y797">
        <v>65.7</v>
      </c>
      <c r="Z797">
        <v>0</v>
      </c>
      <c r="AA797">
        <v>1</v>
      </c>
      <c r="AB797">
        <v>0</v>
      </c>
      <c r="AC797">
        <v>0</v>
      </c>
      <c r="AD797">
        <v>830</v>
      </c>
      <c r="AE797">
        <v>0.5</v>
      </c>
      <c r="AF797">
        <v>0</v>
      </c>
      <c r="AG797">
        <v>1</v>
      </c>
      <c r="AH797">
        <v>0</v>
      </c>
      <c r="AI797">
        <v>520</v>
      </c>
      <c r="AJ797">
        <v>6</v>
      </c>
      <c r="AK797">
        <v>0</v>
      </c>
      <c r="AL797">
        <v>1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13.950000000000003</v>
      </c>
      <c r="AV797">
        <v>4</v>
      </c>
      <c r="AW797">
        <v>711.3</v>
      </c>
      <c r="AZ797">
        <v>1409.09</v>
      </c>
      <c r="BA797">
        <v>6.88</v>
      </c>
      <c r="BD797" t="s">
        <v>184</v>
      </c>
    </row>
    <row r="798" spans="1:56" x14ac:dyDescent="0.3">
      <c r="A798">
        <v>10797</v>
      </c>
      <c r="B798">
        <v>0</v>
      </c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X798">
        <v>0</v>
      </c>
      <c r="Y798">
        <v>0</v>
      </c>
      <c r="Z798">
        <v>1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-2.7699999999999996</v>
      </c>
      <c r="AV798">
        <v>6.208333333333333</v>
      </c>
      <c r="AW798">
        <v>836.94999999999993</v>
      </c>
      <c r="BD798" t="s">
        <v>185</v>
      </c>
    </row>
    <row r="799" spans="1:56" x14ac:dyDescent="0.3">
      <c r="A799">
        <v>10798</v>
      </c>
      <c r="B799">
        <v>0</v>
      </c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1</v>
      </c>
      <c r="W799">
        <v>0</v>
      </c>
      <c r="X799">
        <v>0</v>
      </c>
      <c r="Y799">
        <v>0</v>
      </c>
      <c r="Z799">
        <v>1</v>
      </c>
      <c r="AA799">
        <v>0</v>
      </c>
      <c r="AB799">
        <v>0</v>
      </c>
      <c r="AC799">
        <v>0</v>
      </c>
      <c r="AD799">
        <v>910</v>
      </c>
      <c r="AE799">
        <v>2</v>
      </c>
      <c r="AF799">
        <v>0</v>
      </c>
      <c r="AG799">
        <v>1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-2.7699999999999996</v>
      </c>
      <c r="AV799">
        <v>6.208333333333333</v>
      </c>
      <c r="AW799">
        <v>836.94999999999993</v>
      </c>
      <c r="BD799" t="s">
        <v>185</v>
      </c>
    </row>
    <row r="800" spans="1:56" x14ac:dyDescent="0.3">
      <c r="A800">
        <v>10799</v>
      </c>
      <c r="B800">
        <v>0</v>
      </c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1</v>
      </c>
      <c r="W800">
        <v>0</v>
      </c>
      <c r="X800">
        <v>0</v>
      </c>
      <c r="Y800">
        <v>0</v>
      </c>
      <c r="Z800">
        <v>1</v>
      </c>
      <c r="AA800">
        <v>0</v>
      </c>
      <c r="AB800">
        <v>0</v>
      </c>
      <c r="AC800">
        <v>0</v>
      </c>
      <c r="AD800">
        <v>910</v>
      </c>
      <c r="AE800">
        <v>1</v>
      </c>
      <c r="AF800">
        <v>0</v>
      </c>
      <c r="AG800">
        <v>0</v>
      </c>
      <c r="AH800">
        <v>1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-2.7699999999999996</v>
      </c>
      <c r="AV800">
        <v>6.208333333333333</v>
      </c>
      <c r="AW800">
        <v>836.94999999999993</v>
      </c>
      <c r="BD800" t="s">
        <v>185</v>
      </c>
    </row>
    <row r="801" spans="1:56" x14ac:dyDescent="0.3">
      <c r="A801">
        <v>10800</v>
      </c>
      <c r="B801">
        <v>0</v>
      </c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1</v>
      </c>
      <c r="W801">
        <v>0</v>
      </c>
      <c r="X801">
        <v>0</v>
      </c>
      <c r="Y801">
        <v>0</v>
      </c>
      <c r="Z801">
        <v>1</v>
      </c>
      <c r="AA801">
        <v>0</v>
      </c>
      <c r="AB801">
        <v>0</v>
      </c>
      <c r="AC801">
        <v>0</v>
      </c>
      <c r="AD801">
        <v>955</v>
      </c>
      <c r="AE801">
        <v>1</v>
      </c>
      <c r="AF801">
        <v>0</v>
      </c>
      <c r="AG801">
        <v>0</v>
      </c>
      <c r="AH801">
        <v>1</v>
      </c>
      <c r="AI801">
        <v>500</v>
      </c>
      <c r="AJ801">
        <v>2</v>
      </c>
      <c r="AK801">
        <v>0</v>
      </c>
      <c r="AL801">
        <v>1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-2.7699999999999996</v>
      </c>
      <c r="AV801">
        <v>6.208333333333333</v>
      </c>
      <c r="AW801">
        <v>836.94999999999993</v>
      </c>
      <c r="BD801" t="s">
        <v>185</v>
      </c>
    </row>
    <row r="802" spans="1:56" x14ac:dyDescent="0.3">
      <c r="A802">
        <v>10801</v>
      </c>
      <c r="B802">
        <v>0</v>
      </c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1</v>
      </c>
      <c r="W802">
        <v>0</v>
      </c>
      <c r="X802">
        <v>0</v>
      </c>
      <c r="Y802">
        <v>0</v>
      </c>
      <c r="Z802">
        <v>1</v>
      </c>
      <c r="AA802">
        <v>0</v>
      </c>
      <c r="AB802">
        <v>0</v>
      </c>
      <c r="AC802">
        <v>0</v>
      </c>
      <c r="AD802">
        <v>955</v>
      </c>
      <c r="AE802">
        <v>1</v>
      </c>
      <c r="AF802">
        <v>0</v>
      </c>
      <c r="AG802">
        <v>0</v>
      </c>
      <c r="AH802">
        <v>1</v>
      </c>
      <c r="AI802">
        <v>500</v>
      </c>
      <c r="AJ802">
        <v>2</v>
      </c>
      <c r="AK802">
        <v>0</v>
      </c>
      <c r="AL802">
        <v>1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-2.6199999999999992</v>
      </c>
      <c r="AV802">
        <v>6.2333333333333334</v>
      </c>
      <c r="AW802">
        <v>834.4899999999999</v>
      </c>
      <c r="BC802" t="s">
        <v>315</v>
      </c>
      <c r="BD802" t="s">
        <v>186</v>
      </c>
    </row>
    <row r="803" spans="1:56" x14ac:dyDescent="0.3">
      <c r="A803">
        <v>10802</v>
      </c>
      <c r="B803">
        <v>0</v>
      </c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</v>
      </c>
      <c r="W803">
        <v>0</v>
      </c>
      <c r="X803">
        <v>0</v>
      </c>
      <c r="Y803">
        <v>0</v>
      </c>
      <c r="Z803">
        <v>1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-4.16</v>
      </c>
      <c r="AV803">
        <v>6.333333333333333</v>
      </c>
      <c r="AW803">
        <v>871.30000000000007</v>
      </c>
      <c r="BC803" t="s">
        <v>316</v>
      </c>
      <c r="BD803" t="s">
        <v>187</v>
      </c>
    </row>
    <row r="804" spans="1:56" x14ac:dyDescent="0.3">
      <c r="A804">
        <v>10803</v>
      </c>
      <c r="B804">
        <v>0</v>
      </c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1</v>
      </c>
      <c r="W804">
        <v>0</v>
      </c>
      <c r="X804">
        <v>0</v>
      </c>
      <c r="Y804">
        <v>0</v>
      </c>
      <c r="Z804">
        <v>1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-4.16</v>
      </c>
      <c r="AV804">
        <v>6.333333333333333</v>
      </c>
      <c r="AW804">
        <v>871.30000000000007</v>
      </c>
      <c r="BC804" t="s">
        <v>317</v>
      </c>
      <c r="BD804" t="s">
        <v>187</v>
      </c>
    </row>
    <row r="805" spans="1:56" x14ac:dyDescent="0.3">
      <c r="A805">
        <v>10804</v>
      </c>
      <c r="B805">
        <v>0</v>
      </c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1</v>
      </c>
      <c r="W805">
        <v>0</v>
      </c>
      <c r="X805">
        <v>0</v>
      </c>
      <c r="Y805">
        <v>0</v>
      </c>
      <c r="Z805">
        <v>1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-4.16</v>
      </c>
      <c r="AV805">
        <v>6.333333333333333</v>
      </c>
      <c r="AW805">
        <v>871.30000000000007</v>
      </c>
      <c r="BC805" t="s">
        <v>318</v>
      </c>
      <c r="BD805" t="s">
        <v>187</v>
      </c>
    </row>
    <row r="806" spans="1:56" x14ac:dyDescent="0.3">
      <c r="A806">
        <v>10805</v>
      </c>
      <c r="B806">
        <v>0</v>
      </c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1</v>
      </c>
      <c r="W806">
        <v>0</v>
      </c>
      <c r="X806">
        <v>0</v>
      </c>
      <c r="Y806">
        <v>0</v>
      </c>
      <c r="Z806">
        <v>1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-4.16</v>
      </c>
      <c r="AV806">
        <v>6.333333333333333</v>
      </c>
      <c r="AW806">
        <v>871.30000000000007</v>
      </c>
      <c r="BC806" t="s">
        <v>319</v>
      </c>
      <c r="BD806" t="s">
        <v>187</v>
      </c>
    </row>
    <row r="807" spans="1:56" x14ac:dyDescent="0.3">
      <c r="A807">
        <v>10806</v>
      </c>
      <c r="B807">
        <v>0</v>
      </c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1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-4.16</v>
      </c>
      <c r="AV807">
        <v>6.333333333333333</v>
      </c>
      <c r="AW807">
        <v>871.30000000000007</v>
      </c>
      <c r="BC807" t="s">
        <v>320</v>
      </c>
      <c r="BD807" t="s">
        <v>187</v>
      </c>
    </row>
    <row r="808" spans="1:56" x14ac:dyDescent="0.3">
      <c r="A808">
        <v>10807</v>
      </c>
      <c r="B808">
        <v>0</v>
      </c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1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-4.16</v>
      </c>
      <c r="AV808">
        <v>6.333333333333333</v>
      </c>
      <c r="AW808">
        <v>871.30000000000007</v>
      </c>
      <c r="BC808" t="s">
        <v>321</v>
      </c>
      <c r="BD808" t="s">
        <v>187</v>
      </c>
    </row>
    <row r="809" spans="1:56" x14ac:dyDescent="0.3">
      <c r="A809">
        <v>10808</v>
      </c>
      <c r="B809">
        <v>1</v>
      </c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1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970</v>
      </c>
      <c r="AE809">
        <v>2</v>
      </c>
      <c r="AF809">
        <v>0</v>
      </c>
      <c r="AG809">
        <v>1</v>
      </c>
      <c r="AH809">
        <v>0</v>
      </c>
      <c r="AI809">
        <v>750</v>
      </c>
      <c r="AJ809">
        <v>2</v>
      </c>
      <c r="AK809">
        <v>0</v>
      </c>
      <c r="AL809">
        <v>1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-4.2639999999999993</v>
      </c>
      <c r="AV809">
        <v>6.5916666666666668</v>
      </c>
      <c r="AW809">
        <v>870.625</v>
      </c>
      <c r="AY809">
        <v>787.51649999999995</v>
      </c>
      <c r="AZ809">
        <v>879.67525000000001</v>
      </c>
      <c r="BA809">
        <v>16.701025000000001</v>
      </c>
      <c r="BD809" t="s">
        <v>108</v>
      </c>
    </row>
    <row r="810" spans="1:56" x14ac:dyDescent="0.3">
      <c r="A810">
        <v>10809</v>
      </c>
      <c r="B810">
        <v>1</v>
      </c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1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965</v>
      </c>
      <c r="AE810">
        <v>1</v>
      </c>
      <c r="AF810">
        <v>1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-4.8419999999999996</v>
      </c>
      <c r="AV810">
        <v>7.1016666666666666</v>
      </c>
      <c r="AW810">
        <v>871.73599999999999</v>
      </c>
      <c r="AY810">
        <v>840</v>
      </c>
      <c r="AZ810">
        <v>989</v>
      </c>
      <c r="BA810">
        <v>13.4</v>
      </c>
      <c r="BD810" t="s">
        <v>108</v>
      </c>
    </row>
    <row r="811" spans="1:56" x14ac:dyDescent="0.3">
      <c r="A811">
        <v>10810</v>
      </c>
      <c r="B811">
        <v>1</v>
      </c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1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965</v>
      </c>
      <c r="AE811">
        <v>1</v>
      </c>
      <c r="AF811">
        <v>1</v>
      </c>
      <c r="AG811">
        <v>0</v>
      </c>
      <c r="AH811">
        <v>0</v>
      </c>
      <c r="AI811">
        <v>900</v>
      </c>
      <c r="AJ811">
        <v>1</v>
      </c>
      <c r="AK811">
        <v>1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-4.8419999999999996</v>
      </c>
      <c r="AV811">
        <v>7.1016666666666666</v>
      </c>
      <c r="AW811">
        <v>871.73599999999999</v>
      </c>
      <c r="AY811">
        <v>779</v>
      </c>
      <c r="AZ811">
        <v>903</v>
      </c>
      <c r="BA811">
        <v>17.100000000000001</v>
      </c>
      <c r="BD811" t="s">
        <v>108</v>
      </c>
    </row>
    <row r="812" spans="1:56" x14ac:dyDescent="0.3">
      <c r="A812">
        <v>10811</v>
      </c>
      <c r="B812">
        <v>1</v>
      </c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1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980</v>
      </c>
      <c r="AE812">
        <v>1</v>
      </c>
      <c r="AF812">
        <v>1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-4.8419999999999996</v>
      </c>
      <c r="AV812">
        <v>7.1016666666666666</v>
      </c>
      <c r="AW812">
        <v>871.73599999999999</v>
      </c>
      <c r="AY812">
        <v>854</v>
      </c>
      <c r="AZ812">
        <v>990</v>
      </c>
      <c r="BA812">
        <v>12.6</v>
      </c>
      <c r="BD812" t="s">
        <v>108</v>
      </c>
    </row>
    <row r="813" spans="1:56" x14ac:dyDescent="0.3">
      <c r="A813">
        <v>10812</v>
      </c>
      <c r="B813">
        <v>1</v>
      </c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980</v>
      </c>
      <c r="AE813">
        <v>1</v>
      </c>
      <c r="AF813">
        <v>1</v>
      </c>
      <c r="AG813">
        <v>0</v>
      </c>
      <c r="AH813">
        <v>0</v>
      </c>
      <c r="AI813">
        <v>900</v>
      </c>
      <c r="AJ813">
        <v>1</v>
      </c>
      <c r="AK813">
        <v>1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-4.8419999999999996</v>
      </c>
      <c r="AV813">
        <v>7.1016666666666666</v>
      </c>
      <c r="AW813">
        <v>871.73599999999999</v>
      </c>
      <c r="AY813">
        <v>788</v>
      </c>
      <c r="AZ813">
        <v>915</v>
      </c>
      <c r="BA813">
        <v>13.6</v>
      </c>
      <c r="BD813" t="s">
        <v>108</v>
      </c>
    </row>
    <row r="814" spans="1:56" x14ac:dyDescent="0.3">
      <c r="A814">
        <v>10813</v>
      </c>
      <c r="B814">
        <v>1</v>
      </c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950</v>
      </c>
      <c r="AE814">
        <v>1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-4.8419999999999996</v>
      </c>
      <c r="AV814">
        <v>7.1016666666666666</v>
      </c>
      <c r="AW814">
        <v>871.73599999999999</v>
      </c>
      <c r="AY814">
        <v>771</v>
      </c>
      <c r="AZ814">
        <v>874</v>
      </c>
      <c r="BA814">
        <v>14.9</v>
      </c>
      <c r="BD814" t="s">
        <v>108</v>
      </c>
    </row>
    <row r="815" spans="1:56" x14ac:dyDescent="0.3">
      <c r="A815">
        <v>10814</v>
      </c>
      <c r="B815">
        <v>1</v>
      </c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965</v>
      </c>
      <c r="AE815">
        <v>1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-4.8419999999999996</v>
      </c>
      <c r="AV815">
        <v>7.1016666666666666</v>
      </c>
      <c r="AW815">
        <v>871.73599999999999</v>
      </c>
      <c r="AY815">
        <v>770</v>
      </c>
      <c r="AZ815">
        <v>881</v>
      </c>
      <c r="BA815">
        <v>14.5</v>
      </c>
      <c r="BD815" t="s">
        <v>108</v>
      </c>
    </row>
    <row r="816" spans="1:56" x14ac:dyDescent="0.3">
      <c r="A816">
        <v>10815</v>
      </c>
      <c r="B816">
        <v>1</v>
      </c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0</v>
      </c>
      <c r="AD816">
        <v>980</v>
      </c>
      <c r="AE816">
        <v>1</v>
      </c>
      <c r="AF816">
        <v>0</v>
      </c>
      <c r="AG816">
        <v>1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-4.8419999999999996</v>
      </c>
      <c r="AV816">
        <v>7.1016666666666666</v>
      </c>
      <c r="AW816">
        <v>871.73599999999999</v>
      </c>
      <c r="AY816">
        <v>782</v>
      </c>
      <c r="AZ816">
        <v>891</v>
      </c>
      <c r="BA816">
        <v>13.4</v>
      </c>
      <c r="BD816" t="s">
        <v>108</v>
      </c>
    </row>
    <row r="817" spans="1:56" x14ac:dyDescent="0.3">
      <c r="A817">
        <v>10816</v>
      </c>
      <c r="B817">
        <v>1</v>
      </c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0</v>
      </c>
      <c r="AD817">
        <v>950</v>
      </c>
      <c r="AE817">
        <v>1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-4.8419999999999996</v>
      </c>
      <c r="AV817">
        <v>7.1016666666666666</v>
      </c>
      <c r="AW817">
        <v>871.73599999999999</v>
      </c>
      <c r="AY817">
        <v>830</v>
      </c>
      <c r="AZ817">
        <v>950</v>
      </c>
      <c r="BA817">
        <v>15.3</v>
      </c>
      <c r="BD817" t="s">
        <v>108</v>
      </c>
    </row>
    <row r="818" spans="1:56" x14ac:dyDescent="0.3">
      <c r="A818">
        <v>10817</v>
      </c>
      <c r="B818">
        <v>1</v>
      </c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0</v>
      </c>
      <c r="AD818">
        <v>950</v>
      </c>
      <c r="AE818">
        <v>1</v>
      </c>
      <c r="AF818">
        <v>1</v>
      </c>
      <c r="AG818">
        <v>0</v>
      </c>
      <c r="AH818">
        <v>0</v>
      </c>
      <c r="AI818">
        <v>900</v>
      </c>
      <c r="AJ818">
        <v>1</v>
      </c>
      <c r="AK818">
        <v>1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-4.8419999999999996</v>
      </c>
      <c r="AV818">
        <v>7.1016666666666666</v>
      </c>
      <c r="AW818">
        <v>871.73599999999999</v>
      </c>
      <c r="AY818">
        <v>776</v>
      </c>
      <c r="AZ818">
        <v>872</v>
      </c>
      <c r="BA818">
        <v>15.5</v>
      </c>
      <c r="BD818" t="s">
        <v>108</v>
      </c>
    </row>
    <row r="819" spans="1:56" x14ac:dyDescent="0.3">
      <c r="A819">
        <v>10818</v>
      </c>
      <c r="B819">
        <v>1</v>
      </c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1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930</v>
      </c>
      <c r="AJ819">
        <v>1</v>
      </c>
      <c r="AK819">
        <v>1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-4.8419999999999996</v>
      </c>
      <c r="AV819">
        <v>7.1016666666666666</v>
      </c>
      <c r="AW819">
        <v>871.73599999999999</v>
      </c>
      <c r="AY819">
        <v>784</v>
      </c>
      <c r="AZ819">
        <v>884</v>
      </c>
      <c r="BA819">
        <v>14.4</v>
      </c>
      <c r="BD819" t="s">
        <v>108</v>
      </c>
    </row>
    <row r="820" spans="1:56" x14ac:dyDescent="0.3">
      <c r="A820">
        <v>10819</v>
      </c>
      <c r="B820">
        <v>1</v>
      </c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1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900</v>
      </c>
      <c r="AJ820">
        <v>1</v>
      </c>
      <c r="AK820">
        <v>0</v>
      </c>
      <c r="AL820">
        <v>1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-4.8419999999999996</v>
      </c>
      <c r="AV820">
        <v>7.1016666666666666</v>
      </c>
      <c r="AW820">
        <v>871.73599999999999</v>
      </c>
      <c r="AY820">
        <v>766</v>
      </c>
      <c r="AZ820">
        <v>869</v>
      </c>
      <c r="BA820">
        <v>16.5</v>
      </c>
      <c r="BD820" t="s">
        <v>108</v>
      </c>
    </row>
    <row r="821" spans="1:56" x14ac:dyDescent="0.3">
      <c r="A821">
        <v>10820</v>
      </c>
      <c r="B821">
        <v>1</v>
      </c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1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930</v>
      </c>
      <c r="AJ821">
        <v>1</v>
      </c>
      <c r="AK821">
        <v>0</v>
      </c>
      <c r="AL821">
        <v>1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-4.8419999999999996</v>
      </c>
      <c r="AV821">
        <v>7.1016666666666666</v>
      </c>
      <c r="AW821">
        <v>871.73599999999999</v>
      </c>
      <c r="AY821">
        <v>776</v>
      </c>
      <c r="AZ821">
        <v>876</v>
      </c>
      <c r="BA821">
        <v>16.399999999999999</v>
      </c>
      <c r="BD821" t="s">
        <v>108</v>
      </c>
    </row>
    <row r="822" spans="1:56" x14ac:dyDescent="0.3">
      <c r="A822">
        <v>10821</v>
      </c>
      <c r="B822">
        <v>1</v>
      </c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930</v>
      </c>
      <c r="AJ822">
        <v>1</v>
      </c>
      <c r="AK822">
        <v>1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-4.8419999999999996</v>
      </c>
      <c r="AV822">
        <v>7.1016666666666666</v>
      </c>
      <c r="AW822">
        <v>871.73599999999999</v>
      </c>
      <c r="AY822">
        <v>785</v>
      </c>
      <c r="AZ822">
        <v>919</v>
      </c>
      <c r="BA822">
        <v>16.899999999999999</v>
      </c>
      <c r="BD822" t="s">
        <v>108</v>
      </c>
    </row>
    <row r="823" spans="1:56" x14ac:dyDescent="0.3">
      <c r="A823">
        <v>10822</v>
      </c>
      <c r="B823">
        <v>1</v>
      </c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950</v>
      </c>
      <c r="AJ823">
        <v>1</v>
      </c>
      <c r="AK823">
        <v>1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-4.8419999999999996</v>
      </c>
      <c r="AV823">
        <v>7.1016666666666666</v>
      </c>
      <c r="AW823">
        <v>871.73599999999999</v>
      </c>
      <c r="AY823">
        <v>878</v>
      </c>
      <c r="AZ823">
        <v>1017</v>
      </c>
      <c r="BA823">
        <v>16.2</v>
      </c>
      <c r="BD823" t="s">
        <v>108</v>
      </c>
    </row>
    <row r="824" spans="1:56" x14ac:dyDescent="0.3">
      <c r="A824">
        <v>10823</v>
      </c>
      <c r="B824">
        <v>1</v>
      </c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900</v>
      </c>
      <c r="AJ824">
        <v>1</v>
      </c>
      <c r="AK824">
        <v>0</v>
      </c>
      <c r="AL824">
        <v>1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-4.8419999999999996</v>
      </c>
      <c r="AV824">
        <v>7.1016666666666666</v>
      </c>
      <c r="AW824">
        <v>871.73599999999999</v>
      </c>
      <c r="AY824">
        <v>765</v>
      </c>
      <c r="AZ824">
        <v>873</v>
      </c>
      <c r="BA824">
        <v>17.100000000000001</v>
      </c>
      <c r="BD824" t="s">
        <v>108</v>
      </c>
    </row>
    <row r="825" spans="1:56" x14ac:dyDescent="0.3">
      <c r="A825">
        <v>10824</v>
      </c>
      <c r="B825">
        <v>1</v>
      </c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X825">
        <v>0</v>
      </c>
      <c r="Y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930</v>
      </c>
      <c r="AJ825">
        <v>1</v>
      </c>
      <c r="AK825">
        <v>0</v>
      </c>
      <c r="AL825">
        <v>1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-4.8419999999999996</v>
      </c>
      <c r="AV825">
        <v>7.1016666666666666</v>
      </c>
      <c r="AW825">
        <v>871.73599999999999</v>
      </c>
      <c r="AY825">
        <v>770</v>
      </c>
      <c r="AZ825">
        <v>875</v>
      </c>
      <c r="BA825">
        <v>14.5</v>
      </c>
      <c r="BD825" t="s">
        <v>108</v>
      </c>
    </row>
    <row r="826" spans="1:56" x14ac:dyDescent="0.3">
      <c r="A826">
        <v>10825</v>
      </c>
      <c r="B826">
        <v>1</v>
      </c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X826">
        <v>0</v>
      </c>
      <c r="Y826">
        <v>0</v>
      </c>
      <c r="Z826">
        <v>1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950</v>
      </c>
      <c r="AJ826">
        <v>1</v>
      </c>
      <c r="AK826">
        <v>0</v>
      </c>
      <c r="AL826">
        <v>1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-4.8419999999999996</v>
      </c>
      <c r="AV826">
        <v>7.1016666666666666</v>
      </c>
      <c r="AW826">
        <v>871.73599999999999</v>
      </c>
      <c r="AY826">
        <v>774</v>
      </c>
      <c r="AZ826">
        <v>874</v>
      </c>
      <c r="BA826">
        <v>15.8</v>
      </c>
      <c r="BD826" t="s">
        <v>108</v>
      </c>
    </row>
    <row r="827" spans="1:56" x14ac:dyDescent="0.3">
      <c r="A827">
        <v>10826</v>
      </c>
      <c r="B827">
        <v>1</v>
      </c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0</v>
      </c>
      <c r="Y827">
        <v>0</v>
      </c>
      <c r="Z827">
        <v>1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930</v>
      </c>
      <c r="AJ827">
        <v>1</v>
      </c>
      <c r="AK827">
        <v>1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-4.8419999999999996</v>
      </c>
      <c r="AV827">
        <v>7.1016666666666666</v>
      </c>
      <c r="AW827">
        <v>871.73599999999999</v>
      </c>
      <c r="AY827">
        <v>850</v>
      </c>
      <c r="AZ827">
        <v>990</v>
      </c>
      <c r="BA827">
        <v>13.4</v>
      </c>
      <c r="BD827" t="s">
        <v>108</v>
      </c>
    </row>
    <row r="828" spans="1:56" x14ac:dyDescent="0.3">
      <c r="A828">
        <v>10827</v>
      </c>
      <c r="B828">
        <v>1</v>
      </c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0</v>
      </c>
      <c r="Y828">
        <v>0</v>
      </c>
      <c r="Z828">
        <v>1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950</v>
      </c>
      <c r="AJ828">
        <v>1</v>
      </c>
      <c r="AK828">
        <v>1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-4.8419999999999996</v>
      </c>
      <c r="AV828">
        <v>7.1016666666666666</v>
      </c>
      <c r="AW828">
        <v>871.73599999999999</v>
      </c>
      <c r="AY828">
        <v>883</v>
      </c>
      <c r="AZ828">
        <v>1031</v>
      </c>
      <c r="BA828">
        <v>12.6</v>
      </c>
      <c r="BD828" t="s">
        <v>108</v>
      </c>
    </row>
    <row r="829" spans="1:56" x14ac:dyDescent="0.3">
      <c r="A829">
        <v>10828</v>
      </c>
      <c r="B829">
        <v>1</v>
      </c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0</v>
      </c>
      <c r="Y829">
        <v>0</v>
      </c>
      <c r="Z829">
        <v>1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965</v>
      </c>
      <c r="AJ829">
        <v>1</v>
      </c>
      <c r="AK829">
        <v>1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-4.8419999999999996</v>
      </c>
      <c r="AV829">
        <v>7.1016666666666666</v>
      </c>
      <c r="AW829">
        <v>871.73599999999999</v>
      </c>
      <c r="AY829">
        <v>891</v>
      </c>
      <c r="AZ829">
        <v>1037</v>
      </c>
      <c r="BA829">
        <v>12.7</v>
      </c>
      <c r="BD829" t="s">
        <v>108</v>
      </c>
    </row>
    <row r="830" spans="1:56" x14ac:dyDescent="0.3">
      <c r="A830">
        <v>10829</v>
      </c>
      <c r="B830">
        <v>1</v>
      </c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X830">
        <v>0</v>
      </c>
      <c r="Y830">
        <v>0</v>
      </c>
      <c r="Z830">
        <v>1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900</v>
      </c>
      <c r="AJ830">
        <v>1</v>
      </c>
      <c r="AK830">
        <v>0</v>
      </c>
      <c r="AL830">
        <v>1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-4.8419999999999996</v>
      </c>
      <c r="AV830">
        <v>7.1016666666666666</v>
      </c>
      <c r="AW830">
        <v>871.73599999999999</v>
      </c>
      <c r="AY830">
        <v>783</v>
      </c>
      <c r="AZ830">
        <v>894</v>
      </c>
      <c r="BA830">
        <v>17.5</v>
      </c>
      <c r="BD830" t="s">
        <v>108</v>
      </c>
    </row>
    <row r="831" spans="1:56" x14ac:dyDescent="0.3">
      <c r="A831">
        <v>10830</v>
      </c>
      <c r="B831">
        <v>1</v>
      </c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X831">
        <v>0</v>
      </c>
      <c r="Y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930</v>
      </c>
      <c r="AJ831">
        <v>1</v>
      </c>
      <c r="AK831">
        <v>0</v>
      </c>
      <c r="AL831">
        <v>1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-4.8419999999999996</v>
      </c>
      <c r="AV831">
        <v>7.1016666666666666</v>
      </c>
      <c r="AW831">
        <v>871.73599999999999</v>
      </c>
      <c r="AY831">
        <v>743</v>
      </c>
      <c r="AZ831">
        <v>864</v>
      </c>
      <c r="BA831">
        <v>14.8</v>
      </c>
      <c r="BD831" t="s">
        <v>108</v>
      </c>
    </row>
    <row r="832" spans="1:56" x14ac:dyDescent="0.3">
      <c r="A832">
        <v>10831</v>
      </c>
      <c r="B832">
        <v>1</v>
      </c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1</v>
      </c>
      <c r="W832">
        <v>0</v>
      </c>
      <c r="X832">
        <v>0</v>
      </c>
      <c r="Y832">
        <v>0</v>
      </c>
      <c r="Z832">
        <v>1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950</v>
      </c>
      <c r="AJ832">
        <v>1</v>
      </c>
      <c r="AK832">
        <v>0</v>
      </c>
      <c r="AL832">
        <v>1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-4.8419999999999996</v>
      </c>
      <c r="AV832">
        <v>7.1016666666666666</v>
      </c>
      <c r="AW832">
        <v>871.73599999999999</v>
      </c>
      <c r="AY832">
        <v>755</v>
      </c>
      <c r="AZ832">
        <v>857</v>
      </c>
      <c r="BA832">
        <v>15.6</v>
      </c>
      <c r="BD832" t="s">
        <v>108</v>
      </c>
    </row>
    <row r="833" spans="1:56" x14ac:dyDescent="0.3">
      <c r="A833">
        <v>10832</v>
      </c>
      <c r="B833">
        <v>1</v>
      </c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1</v>
      </c>
      <c r="W833">
        <v>0</v>
      </c>
      <c r="X833">
        <v>0</v>
      </c>
      <c r="Y833">
        <v>0</v>
      </c>
      <c r="Z833">
        <v>1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965</v>
      </c>
      <c r="AJ833">
        <v>1</v>
      </c>
      <c r="AK833">
        <v>0</v>
      </c>
      <c r="AL833">
        <v>1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-4.8419999999999996</v>
      </c>
      <c r="AV833">
        <v>7.1016666666666666</v>
      </c>
      <c r="AW833">
        <v>871.73599999999999</v>
      </c>
      <c r="AY833">
        <v>796</v>
      </c>
      <c r="AZ833">
        <v>896</v>
      </c>
      <c r="BA833">
        <v>15</v>
      </c>
      <c r="BD833" t="s">
        <v>108</v>
      </c>
    </row>
    <row r="834" spans="1:56" x14ac:dyDescent="0.3">
      <c r="A834">
        <v>10833</v>
      </c>
      <c r="B834">
        <v>1</v>
      </c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1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940</v>
      </c>
      <c r="AE834">
        <v>1</v>
      </c>
      <c r="AF834">
        <v>1</v>
      </c>
      <c r="AG834">
        <v>0</v>
      </c>
      <c r="AH834">
        <v>0</v>
      </c>
      <c r="AI834">
        <v>700</v>
      </c>
      <c r="AJ834">
        <v>1</v>
      </c>
      <c r="AK834">
        <v>0</v>
      </c>
      <c r="AL834">
        <v>1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-1.9000000000000004</v>
      </c>
      <c r="AV834">
        <v>6.3333333333333339</v>
      </c>
      <c r="AW834">
        <v>855.05000000000007</v>
      </c>
      <c r="AY834">
        <v>970</v>
      </c>
      <c r="AZ834">
        <v>1040</v>
      </c>
      <c r="BA834">
        <v>15</v>
      </c>
      <c r="BD834" t="s">
        <v>191</v>
      </c>
    </row>
    <row r="835" spans="1:56" x14ac:dyDescent="0.3">
      <c r="A835">
        <v>10834</v>
      </c>
      <c r="B835">
        <v>1</v>
      </c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1</v>
      </c>
      <c r="W835">
        <v>0</v>
      </c>
      <c r="X835">
        <v>0</v>
      </c>
      <c r="Y835">
        <v>0</v>
      </c>
      <c r="Z835">
        <v>1</v>
      </c>
      <c r="AA835">
        <v>0</v>
      </c>
      <c r="AB835">
        <v>0</v>
      </c>
      <c r="AC835">
        <v>0</v>
      </c>
      <c r="AD835">
        <v>940</v>
      </c>
      <c r="AE835">
        <v>0</v>
      </c>
      <c r="AF835">
        <v>1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-1.9000000000000004</v>
      </c>
      <c r="AV835">
        <v>6.3333333333333339</v>
      </c>
      <c r="AW835">
        <v>855.05000000000007</v>
      </c>
      <c r="AY835">
        <v>1080</v>
      </c>
      <c r="AZ835">
        <v>1150</v>
      </c>
      <c r="BA835">
        <v>10</v>
      </c>
      <c r="BD835" t="s">
        <v>191</v>
      </c>
    </row>
    <row r="836" spans="1:56" x14ac:dyDescent="0.3">
      <c r="A836">
        <v>10835</v>
      </c>
      <c r="B836">
        <v>1</v>
      </c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0</v>
      </c>
      <c r="X836">
        <v>0</v>
      </c>
      <c r="Y836">
        <v>0</v>
      </c>
      <c r="Z836">
        <v>1</v>
      </c>
      <c r="AA836">
        <v>0</v>
      </c>
      <c r="AB836">
        <v>0</v>
      </c>
      <c r="AC836">
        <v>0</v>
      </c>
      <c r="AD836">
        <v>940</v>
      </c>
      <c r="AE836">
        <v>0</v>
      </c>
      <c r="AF836">
        <v>1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-1.9000000000000004</v>
      </c>
      <c r="AV836">
        <v>6.3333333333333339</v>
      </c>
      <c r="AW836">
        <v>855.05000000000007</v>
      </c>
      <c r="AY836">
        <v>1150</v>
      </c>
      <c r="AZ836">
        <v>1230</v>
      </c>
      <c r="BA836">
        <v>11</v>
      </c>
      <c r="BD836" t="s">
        <v>191</v>
      </c>
    </row>
    <row r="837" spans="1:56" x14ac:dyDescent="0.3">
      <c r="A837">
        <v>10836</v>
      </c>
      <c r="B837">
        <v>1</v>
      </c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0</v>
      </c>
      <c r="X837">
        <v>0</v>
      </c>
      <c r="Y837">
        <v>0</v>
      </c>
      <c r="Z837">
        <v>1</v>
      </c>
      <c r="AA837">
        <v>0</v>
      </c>
      <c r="AB837">
        <v>0</v>
      </c>
      <c r="AC837">
        <v>0</v>
      </c>
      <c r="AD837">
        <v>958</v>
      </c>
      <c r="AE837">
        <v>2</v>
      </c>
      <c r="AF837">
        <v>0</v>
      </c>
      <c r="AG837">
        <v>1</v>
      </c>
      <c r="AH837">
        <v>0</v>
      </c>
      <c r="AI837">
        <v>550</v>
      </c>
      <c r="AJ837">
        <v>6</v>
      </c>
      <c r="AK837">
        <v>0</v>
      </c>
      <c r="AL837">
        <v>1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-1.5</v>
      </c>
      <c r="AV837">
        <v>7.8333333333333339</v>
      </c>
      <c r="AW837">
        <v>828.94999999999993</v>
      </c>
      <c r="AY837">
        <v>1135.5</v>
      </c>
      <c r="AZ837">
        <v>1292</v>
      </c>
      <c r="BA837">
        <v>11</v>
      </c>
      <c r="BD837" t="s">
        <v>108</v>
      </c>
    </row>
    <row r="838" spans="1:56" x14ac:dyDescent="0.3">
      <c r="A838">
        <v>10837</v>
      </c>
      <c r="B838">
        <v>1</v>
      </c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0</v>
      </c>
      <c r="X838">
        <v>0</v>
      </c>
      <c r="Y838">
        <v>0</v>
      </c>
      <c r="Z838">
        <v>1</v>
      </c>
      <c r="AA838">
        <v>0</v>
      </c>
      <c r="AB838">
        <v>0</v>
      </c>
      <c r="AC838">
        <v>0</v>
      </c>
      <c r="AD838">
        <v>958</v>
      </c>
      <c r="AE838">
        <v>2</v>
      </c>
      <c r="AF838">
        <v>0</v>
      </c>
      <c r="AG838">
        <v>1</v>
      </c>
      <c r="AH838">
        <v>0</v>
      </c>
      <c r="AI838">
        <v>520</v>
      </c>
      <c r="AJ838">
        <v>6</v>
      </c>
      <c r="AK838">
        <v>0</v>
      </c>
      <c r="AL838">
        <v>1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-1.5</v>
      </c>
      <c r="AV838">
        <v>7.8333333333333339</v>
      </c>
      <c r="AW838">
        <v>828.94999999999993</v>
      </c>
      <c r="AY838">
        <v>1099</v>
      </c>
      <c r="AZ838">
        <v>1261.5</v>
      </c>
      <c r="BA838">
        <v>14</v>
      </c>
      <c r="BD838" t="s">
        <v>108</v>
      </c>
    </row>
    <row r="839" spans="1:56" x14ac:dyDescent="0.3">
      <c r="A839">
        <v>10838</v>
      </c>
      <c r="B839">
        <v>1</v>
      </c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0</v>
      </c>
      <c r="X839">
        <v>0</v>
      </c>
      <c r="Y839">
        <v>0</v>
      </c>
      <c r="Z839">
        <v>1</v>
      </c>
      <c r="AA839">
        <v>0</v>
      </c>
      <c r="AB839">
        <v>0</v>
      </c>
      <c r="AC839">
        <v>0</v>
      </c>
      <c r="AD839">
        <v>958</v>
      </c>
      <c r="AE839">
        <v>2</v>
      </c>
      <c r="AF839">
        <v>0</v>
      </c>
      <c r="AG839">
        <v>1</v>
      </c>
      <c r="AH839">
        <v>0</v>
      </c>
      <c r="AI839">
        <v>540</v>
      </c>
      <c r="AJ839">
        <v>6</v>
      </c>
      <c r="AK839">
        <v>0</v>
      </c>
      <c r="AL839">
        <v>1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-1.5</v>
      </c>
      <c r="AV839">
        <v>7.8333333333333339</v>
      </c>
      <c r="AW839">
        <v>828.94999999999993</v>
      </c>
      <c r="AY839">
        <v>1171.5</v>
      </c>
      <c r="AZ839">
        <v>1279</v>
      </c>
      <c r="BA839">
        <v>13</v>
      </c>
      <c r="BD839" t="s">
        <v>108</v>
      </c>
    </row>
    <row r="840" spans="1:56" x14ac:dyDescent="0.3">
      <c r="A840">
        <v>10839</v>
      </c>
      <c r="B840">
        <v>1</v>
      </c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0</v>
      </c>
      <c r="X840">
        <v>0</v>
      </c>
      <c r="Y840">
        <v>0</v>
      </c>
      <c r="Z840">
        <v>1</v>
      </c>
      <c r="AA840">
        <v>0</v>
      </c>
      <c r="AB840">
        <v>0</v>
      </c>
      <c r="AC840">
        <v>0</v>
      </c>
      <c r="AD840">
        <v>958</v>
      </c>
      <c r="AE840">
        <v>2</v>
      </c>
      <c r="AF840">
        <v>0</v>
      </c>
      <c r="AG840">
        <v>1</v>
      </c>
      <c r="AH840">
        <v>0</v>
      </c>
      <c r="AI840">
        <v>560</v>
      </c>
      <c r="AJ840">
        <v>6</v>
      </c>
      <c r="AK840">
        <v>0</v>
      </c>
      <c r="AL840">
        <v>1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-1.5</v>
      </c>
      <c r="AV840">
        <v>7.8333333333333339</v>
      </c>
      <c r="AW840">
        <v>828.94999999999993</v>
      </c>
      <c r="AY840">
        <v>1130</v>
      </c>
      <c r="AZ840">
        <v>1276.5</v>
      </c>
      <c r="BA840">
        <v>15.3</v>
      </c>
      <c r="BD840" t="s">
        <v>108</v>
      </c>
    </row>
    <row r="841" spans="1:56" x14ac:dyDescent="0.3">
      <c r="A841">
        <v>10840</v>
      </c>
      <c r="B841">
        <v>1</v>
      </c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0</v>
      </c>
      <c r="X841">
        <v>0</v>
      </c>
      <c r="Y841">
        <v>0</v>
      </c>
      <c r="Z841">
        <v>1</v>
      </c>
      <c r="AA841">
        <v>0</v>
      </c>
      <c r="AB841">
        <v>0</v>
      </c>
      <c r="AC841">
        <v>0</v>
      </c>
      <c r="AD841">
        <v>958</v>
      </c>
      <c r="AE841">
        <v>2</v>
      </c>
      <c r="AF841">
        <v>0</v>
      </c>
      <c r="AG841">
        <v>1</v>
      </c>
      <c r="AH841">
        <v>0</v>
      </c>
      <c r="AI841">
        <v>580</v>
      </c>
      <c r="AJ841">
        <v>6</v>
      </c>
      <c r="AK841">
        <v>0</v>
      </c>
      <c r="AL841">
        <v>1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-1.5</v>
      </c>
      <c r="AV841">
        <v>7.8333333333333339</v>
      </c>
      <c r="AW841">
        <v>828.94999999999993</v>
      </c>
      <c r="AY841">
        <v>1124</v>
      </c>
      <c r="AZ841">
        <v>1268</v>
      </c>
      <c r="BA841">
        <v>14</v>
      </c>
      <c r="BD841" t="s">
        <v>108</v>
      </c>
    </row>
    <row r="842" spans="1:56" x14ac:dyDescent="0.3">
      <c r="A842">
        <v>10841</v>
      </c>
      <c r="B842">
        <v>1</v>
      </c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1</v>
      </c>
      <c r="W842">
        <v>0</v>
      </c>
      <c r="X842">
        <v>0</v>
      </c>
      <c r="Y842">
        <v>0</v>
      </c>
      <c r="Z842">
        <v>1</v>
      </c>
      <c r="AA842">
        <v>0</v>
      </c>
      <c r="AB842">
        <v>0</v>
      </c>
      <c r="AC842">
        <v>0</v>
      </c>
      <c r="AD842">
        <v>958</v>
      </c>
      <c r="AE842">
        <v>2</v>
      </c>
      <c r="AF842">
        <v>0</v>
      </c>
      <c r="AG842">
        <v>1</v>
      </c>
      <c r="AH842">
        <v>0</v>
      </c>
      <c r="AI842">
        <v>600</v>
      </c>
      <c r="AJ842">
        <v>6</v>
      </c>
      <c r="AK842">
        <v>0</v>
      </c>
      <c r="AL842">
        <v>1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-1.5</v>
      </c>
      <c r="AV842">
        <v>7.8333333333333339</v>
      </c>
      <c r="AW842">
        <v>828.94999999999993</v>
      </c>
      <c r="AY842">
        <v>1129.5</v>
      </c>
      <c r="AZ842">
        <v>1293</v>
      </c>
      <c r="BA842">
        <v>13.5</v>
      </c>
      <c r="BD842" t="s">
        <v>108</v>
      </c>
    </row>
    <row r="843" spans="1:56" x14ac:dyDescent="0.3">
      <c r="A843">
        <v>10842</v>
      </c>
      <c r="B843">
        <v>1</v>
      </c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1</v>
      </c>
      <c r="X843">
        <v>880</v>
      </c>
      <c r="Y843">
        <v>60</v>
      </c>
      <c r="Z843">
        <v>0</v>
      </c>
      <c r="AA843">
        <v>1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-2.5000000000000004</v>
      </c>
      <c r="AV843">
        <v>7.6033333333333335</v>
      </c>
      <c r="AW843">
        <v>840.17200000000014</v>
      </c>
      <c r="AY843">
        <v>1131.8599999999999</v>
      </c>
      <c r="AZ843">
        <v>1217.71</v>
      </c>
      <c r="BA843">
        <v>10.6775</v>
      </c>
      <c r="BD843" t="s">
        <v>108</v>
      </c>
    </row>
    <row r="844" spans="1:56" x14ac:dyDescent="0.3">
      <c r="A844">
        <v>10843</v>
      </c>
      <c r="B844">
        <v>1</v>
      </c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1</v>
      </c>
      <c r="X844">
        <v>910</v>
      </c>
      <c r="Y844">
        <v>60</v>
      </c>
      <c r="Z844">
        <v>0</v>
      </c>
      <c r="AA844">
        <v>1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-2.5000000000000004</v>
      </c>
      <c r="AV844">
        <v>7.6033333333333335</v>
      </c>
      <c r="AW844">
        <v>840.17200000000014</v>
      </c>
      <c r="AY844">
        <v>1030.3599999999999</v>
      </c>
      <c r="AZ844">
        <v>1086.32</v>
      </c>
      <c r="BA844">
        <v>14.1265</v>
      </c>
      <c r="BD844" t="s">
        <v>108</v>
      </c>
    </row>
    <row r="845" spans="1:56" x14ac:dyDescent="0.3">
      <c r="A845">
        <v>10844</v>
      </c>
      <c r="B845">
        <v>1</v>
      </c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1</v>
      </c>
      <c r="X845">
        <v>940</v>
      </c>
      <c r="Y845">
        <v>60</v>
      </c>
      <c r="Z845">
        <v>0</v>
      </c>
      <c r="AA845">
        <v>1</v>
      </c>
      <c r="AB845">
        <v>0</v>
      </c>
      <c r="AC845">
        <v>0</v>
      </c>
      <c r="AD845">
        <v>900</v>
      </c>
      <c r="AE845">
        <v>1</v>
      </c>
      <c r="AF845">
        <v>0</v>
      </c>
      <c r="AG845">
        <v>1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-2.5000000000000004</v>
      </c>
      <c r="AV845">
        <v>7.6033333333333335</v>
      </c>
      <c r="AW845">
        <v>840.17200000000014</v>
      </c>
      <c r="AY845">
        <v>1123.5</v>
      </c>
      <c r="AZ845">
        <v>1192</v>
      </c>
      <c r="BA845">
        <v>12</v>
      </c>
      <c r="BD845" t="s">
        <v>108</v>
      </c>
    </row>
    <row r="846" spans="1:56" x14ac:dyDescent="0.3">
      <c r="A846">
        <v>10845</v>
      </c>
      <c r="B846">
        <v>1</v>
      </c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1</v>
      </c>
      <c r="X846">
        <v>940</v>
      </c>
      <c r="Y846">
        <v>60</v>
      </c>
      <c r="Z846">
        <v>0</v>
      </c>
      <c r="AA846">
        <v>1</v>
      </c>
      <c r="AB846">
        <v>0</v>
      </c>
      <c r="AC846">
        <v>0</v>
      </c>
      <c r="AD846">
        <v>930</v>
      </c>
      <c r="AE846">
        <v>1</v>
      </c>
      <c r="AF846">
        <v>1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-2.5000000000000004</v>
      </c>
      <c r="AV846">
        <v>7.6033333333333335</v>
      </c>
      <c r="AW846">
        <v>840.17200000000014</v>
      </c>
      <c r="AY846">
        <v>1472.5</v>
      </c>
      <c r="AZ846">
        <v>1580.5</v>
      </c>
      <c r="BA846">
        <v>4.75</v>
      </c>
      <c r="BD846" t="s">
        <v>108</v>
      </c>
    </row>
    <row r="847" spans="1:56" x14ac:dyDescent="0.3">
      <c r="A847">
        <v>10846</v>
      </c>
      <c r="B847">
        <v>1</v>
      </c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1</v>
      </c>
      <c r="X847">
        <v>940</v>
      </c>
      <c r="Y847">
        <v>60</v>
      </c>
      <c r="Z847">
        <v>0</v>
      </c>
      <c r="AA847">
        <v>1</v>
      </c>
      <c r="AB847">
        <v>0</v>
      </c>
      <c r="AC847">
        <v>0</v>
      </c>
      <c r="AD847">
        <v>950</v>
      </c>
      <c r="AE847">
        <v>1</v>
      </c>
      <c r="AF847">
        <v>0</v>
      </c>
      <c r="AG847">
        <v>1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-2.5000000000000004</v>
      </c>
      <c r="AV847">
        <v>7.6033333333333335</v>
      </c>
      <c r="AW847">
        <v>840.17200000000014</v>
      </c>
      <c r="AY847">
        <v>1029</v>
      </c>
      <c r="AZ847">
        <v>1193.5</v>
      </c>
      <c r="BA847">
        <v>7</v>
      </c>
      <c r="BD847" t="s">
        <v>108</v>
      </c>
    </row>
    <row r="848" spans="1:56" x14ac:dyDescent="0.3">
      <c r="A848">
        <v>10847</v>
      </c>
      <c r="B848">
        <v>1</v>
      </c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1</v>
      </c>
      <c r="X848">
        <v>960</v>
      </c>
      <c r="Y848">
        <v>60</v>
      </c>
      <c r="Z848">
        <v>0</v>
      </c>
      <c r="AA848">
        <v>1</v>
      </c>
      <c r="AB848">
        <v>0</v>
      </c>
      <c r="AC848">
        <v>0</v>
      </c>
      <c r="AD848">
        <v>900</v>
      </c>
      <c r="AE848">
        <v>1</v>
      </c>
      <c r="AF848">
        <v>0</v>
      </c>
      <c r="AG848">
        <v>1</v>
      </c>
      <c r="AH848">
        <v>0</v>
      </c>
      <c r="AI848">
        <v>600</v>
      </c>
      <c r="AJ848">
        <v>6</v>
      </c>
      <c r="AK848">
        <v>0</v>
      </c>
      <c r="AL848">
        <v>1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-2.5000000000000004</v>
      </c>
      <c r="AV848">
        <v>7.6033333333333335</v>
      </c>
      <c r="AW848">
        <v>840.17200000000014</v>
      </c>
      <c r="AY848">
        <v>1069.25</v>
      </c>
      <c r="AZ848">
        <v>1163.1600000000001</v>
      </c>
      <c r="BA848">
        <v>14.0883</v>
      </c>
      <c r="BD848" t="s">
        <v>108</v>
      </c>
    </row>
    <row r="849" spans="1:56" x14ac:dyDescent="0.3">
      <c r="A849">
        <v>10848</v>
      </c>
      <c r="B849">
        <v>1</v>
      </c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1</v>
      </c>
      <c r="X849">
        <v>990</v>
      </c>
      <c r="Y849">
        <v>60</v>
      </c>
      <c r="Z849">
        <v>0</v>
      </c>
      <c r="AA849">
        <v>1</v>
      </c>
      <c r="AB849">
        <v>0</v>
      </c>
      <c r="AC849">
        <v>0</v>
      </c>
      <c r="AD849">
        <v>900</v>
      </c>
      <c r="AE849">
        <v>1</v>
      </c>
      <c r="AF849">
        <v>0</v>
      </c>
      <c r="AG849">
        <v>1</v>
      </c>
      <c r="AH849">
        <v>0</v>
      </c>
      <c r="AI849">
        <v>600</v>
      </c>
      <c r="AJ849">
        <v>6</v>
      </c>
      <c r="AK849">
        <v>0</v>
      </c>
      <c r="AL849">
        <v>1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-2.5000000000000004</v>
      </c>
      <c r="AV849">
        <v>7.6033333333333335</v>
      </c>
      <c r="AW849">
        <v>840.17200000000014</v>
      </c>
      <c r="AY849">
        <v>1076.3599999999999</v>
      </c>
      <c r="AZ849">
        <v>1180.24</v>
      </c>
      <c r="BA849">
        <v>9.9297699999999995</v>
      </c>
      <c r="BD849" t="s">
        <v>108</v>
      </c>
    </row>
    <row r="850" spans="1:56" x14ac:dyDescent="0.3">
      <c r="A850">
        <v>10849</v>
      </c>
      <c r="B850">
        <v>1</v>
      </c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1</v>
      </c>
      <c r="X850">
        <v>1005</v>
      </c>
      <c r="Y850">
        <v>60</v>
      </c>
      <c r="Z850">
        <v>0</v>
      </c>
      <c r="AA850">
        <v>1</v>
      </c>
      <c r="AB850">
        <v>0</v>
      </c>
      <c r="AC850">
        <v>0</v>
      </c>
      <c r="AD850">
        <v>900</v>
      </c>
      <c r="AE850">
        <v>1</v>
      </c>
      <c r="AF850">
        <v>0</v>
      </c>
      <c r="AG850">
        <v>1</v>
      </c>
      <c r="AH850">
        <v>0</v>
      </c>
      <c r="AI850">
        <v>600</v>
      </c>
      <c r="AJ850">
        <v>6</v>
      </c>
      <c r="AK850">
        <v>0</v>
      </c>
      <c r="AL850">
        <v>1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-2.5000000000000004</v>
      </c>
      <c r="AV850">
        <v>7.6033333333333335</v>
      </c>
      <c r="AW850">
        <v>840.17200000000014</v>
      </c>
      <c r="AY850">
        <v>1086.32</v>
      </c>
      <c r="AZ850">
        <v>1170.28</v>
      </c>
      <c r="BA850">
        <v>12.206</v>
      </c>
      <c r="BD850" t="s">
        <v>108</v>
      </c>
    </row>
    <row r="851" spans="1:56" x14ac:dyDescent="0.3">
      <c r="A851">
        <v>10850</v>
      </c>
      <c r="B851">
        <v>1</v>
      </c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1</v>
      </c>
      <c r="X851">
        <v>940</v>
      </c>
      <c r="Y851">
        <v>20</v>
      </c>
      <c r="Z851">
        <v>0</v>
      </c>
      <c r="AA851">
        <v>1</v>
      </c>
      <c r="AB851">
        <v>0</v>
      </c>
      <c r="AC851">
        <v>0</v>
      </c>
      <c r="AD851">
        <v>900</v>
      </c>
      <c r="AE851">
        <v>1</v>
      </c>
      <c r="AF851">
        <v>0</v>
      </c>
      <c r="AG851">
        <v>1</v>
      </c>
      <c r="AH851">
        <v>0</v>
      </c>
      <c r="AI851">
        <v>600</v>
      </c>
      <c r="AJ851">
        <v>6</v>
      </c>
      <c r="AK851">
        <v>0</v>
      </c>
      <c r="AL851">
        <v>1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-2.5000000000000004</v>
      </c>
      <c r="AV851">
        <v>7.6033333333333335</v>
      </c>
      <c r="AW851">
        <v>840.17200000000014</v>
      </c>
      <c r="AY851">
        <v>1078</v>
      </c>
      <c r="AZ851">
        <v>1158</v>
      </c>
      <c r="BA851">
        <v>11.75</v>
      </c>
      <c r="BD851" t="s">
        <v>108</v>
      </c>
    </row>
    <row r="852" spans="1:56" x14ac:dyDescent="0.3">
      <c r="A852">
        <v>10851</v>
      </c>
      <c r="B852">
        <v>1</v>
      </c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1</v>
      </c>
      <c r="X852">
        <v>940</v>
      </c>
      <c r="Y852">
        <v>40</v>
      </c>
      <c r="Z852">
        <v>0</v>
      </c>
      <c r="AA852">
        <v>1</v>
      </c>
      <c r="AB852">
        <v>0</v>
      </c>
      <c r="AC852">
        <v>0</v>
      </c>
      <c r="AD852">
        <v>900</v>
      </c>
      <c r="AE852">
        <v>1</v>
      </c>
      <c r="AF852">
        <v>0</v>
      </c>
      <c r="AG852">
        <v>1</v>
      </c>
      <c r="AH852">
        <v>0</v>
      </c>
      <c r="AI852">
        <v>600</v>
      </c>
      <c r="AJ852">
        <v>6</v>
      </c>
      <c r="AK852">
        <v>0</v>
      </c>
      <c r="AL852">
        <v>1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-2.5000000000000004</v>
      </c>
      <c r="AV852">
        <v>7.6033333333333335</v>
      </c>
      <c r="AW852">
        <v>840.17200000000014</v>
      </c>
      <c r="AY852">
        <v>1068</v>
      </c>
      <c r="AZ852">
        <v>1158.5</v>
      </c>
      <c r="BA852">
        <v>12.75</v>
      </c>
      <c r="BD852" t="s">
        <v>108</v>
      </c>
    </row>
    <row r="853" spans="1:56" x14ac:dyDescent="0.3">
      <c r="A853">
        <v>10852</v>
      </c>
      <c r="B853">
        <v>1</v>
      </c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1</v>
      </c>
      <c r="X853">
        <v>1050</v>
      </c>
      <c r="Y853">
        <v>0</v>
      </c>
      <c r="Z853">
        <v>0</v>
      </c>
      <c r="AA853">
        <v>1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-4.7099999999999991</v>
      </c>
      <c r="AV853">
        <v>7.8516666666666666</v>
      </c>
      <c r="AW853">
        <v>869.226</v>
      </c>
      <c r="AY853">
        <v>1059.57</v>
      </c>
      <c r="AZ853">
        <v>1187.3900000000001</v>
      </c>
      <c r="BA853">
        <v>9.2331500000000002</v>
      </c>
      <c r="BD853" t="s">
        <v>108</v>
      </c>
    </row>
    <row r="854" spans="1:56" x14ac:dyDescent="0.3">
      <c r="A854">
        <v>10853</v>
      </c>
      <c r="B854">
        <v>1</v>
      </c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1</v>
      </c>
      <c r="X854">
        <v>1050</v>
      </c>
      <c r="Y854">
        <v>25</v>
      </c>
      <c r="Z854">
        <v>0</v>
      </c>
      <c r="AA854">
        <v>1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-4.7099999999999991</v>
      </c>
      <c r="AV854">
        <v>7.8516666666666666</v>
      </c>
      <c r="AW854">
        <v>869.226</v>
      </c>
      <c r="AY854">
        <v>1073.05</v>
      </c>
      <c r="AZ854">
        <v>1191.29</v>
      </c>
      <c r="BA854">
        <v>13.033300000000001</v>
      </c>
      <c r="BD854" t="s">
        <v>108</v>
      </c>
    </row>
    <row r="855" spans="1:56" x14ac:dyDescent="0.3">
      <c r="A855">
        <v>10854</v>
      </c>
      <c r="B855">
        <v>1</v>
      </c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1</v>
      </c>
      <c r="X855">
        <v>1050</v>
      </c>
      <c r="Y855">
        <v>45</v>
      </c>
      <c r="Z855">
        <v>0</v>
      </c>
      <c r="AA855">
        <v>1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-4.7099999999999991</v>
      </c>
      <c r="AV855">
        <v>7.8516666666666666</v>
      </c>
      <c r="AW855">
        <v>869.226</v>
      </c>
      <c r="AY855">
        <v>1083.47</v>
      </c>
      <c r="AZ855">
        <v>1200</v>
      </c>
      <c r="BA855">
        <v>13.36</v>
      </c>
      <c r="BD855" t="s">
        <v>108</v>
      </c>
    </row>
    <row r="856" spans="1:56" x14ac:dyDescent="0.3">
      <c r="A856">
        <v>10855</v>
      </c>
      <c r="B856">
        <v>1</v>
      </c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1050</v>
      </c>
      <c r="Y856">
        <v>80</v>
      </c>
      <c r="Z856">
        <v>0</v>
      </c>
      <c r="AA856">
        <v>1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-4.7099999999999991</v>
      </c>
      <c r="AV856">
        <v>7.8516666666666666</v>
      </c>
      <c r="AW856">
        <v>869.226</v>
      </c>
      <c r="AY856">
        <v>1151.76</v>
      </c>
      <c r="AZ856">
        <v>1258.7</v>
      </c>
      <c r="BA856">
        <v>15.1442</v>
      </c>
      <c r="BD856" t="s">
        <v>108</v>
      </c>
    </row>
    <row r="857" spans="1:56" x14ac:dyDescent="0.3">
      <c r="A857">
        <v>10856</v>
      </c>
      <c r="B857">
        <v>1</v>
      </c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950</v>
      </c>
      <c r="AE857">
        <v>1</v>
      </c>
      <c r="AF857">
        <v>1</v>
      </c>
      <c r="AG857">
        <v>0</v>
      </c>
      <c r="AH857">
        <v>0</v>
      </c>
      <c r="AI857">
        <v>650</v>
      </c>
      <c r="AJ857">
        <v>6</v>
      </c>
      <c r="AK857">
        <v>0</v>
      </c>
      <c r="AL857">
        <v>1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-5.6</v>
      </c>
      <c r="AV857">
        <v>7.5833333333333339</v>
      </c>
      <c r="AW857">
        <v>874.75</v>
      </c>
      <c r="AY857">
        <v>922</v>
      </c>
      <c r="AZ857">
        <v>1026</v>
      </c>
      <c r="BA857">
        <v>3.7</v>
      </c>
      <c r="BD857" t="s">
        <v>108</v>
      </c>
    </row>
    <row r="858" spans="1:56" x14ac:dyDescent="0.3">
      <c r="A858">
        <v>10857</v>
      </c>
      <c r="B858">
        <v>1</v>
      </c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1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900</v>
      </c>
      <c r="AE858">
        <v>1</v>
      </c>
      <c r="AF858">
        <v>0</v>
      </c>
      <c r="AG858">
        <v>1</v>
      </c>
      <c r="AH858">
        <v>0</v>
      </c>
      <c r="AI858">
        <v>550</v>
      </c>
      <c r="AJ858">
        <v>8</v>
      </c>
      <c r="AK858">
        <v>0</v>
      </c>
      <c r="AL858">
        <v>1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-4</v>
      </c>
      <c r="AV858">
        <v>7.3333333333333339</v>
      </c>
      <c r="AW858">
        <v>856.4</v>
      </c>
      <c r="AZ858">
        <v>1045.31</v>
      </c>
      <c r="BA858">
        <v>17.287199999999999</v>
      </c>
      <c r="BD858" t="s">
        <v>108</v>
      </c>
    </row>
    <row r="859" spans="1:56" x14ac:dyDescent="0.3">
      <c r="A859">
        <v>10858</v>
      </c>
      <c r="B859">
        <v>1</v>
      </c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1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900</v>
      </c>
      <c r="AE859">
        <v>1</v>
      </c>
      <c r="AF859">
        <v>0</v>
      </c>
      <c r="AG859">
        <v>1</v>
      </c>
      <c r="AH859">
        <v>0</v>
      </c>
      <c r="AI859">
        <v>600</v>
      </c>
      <c r="AJ859">
        <v>8</v>
      </c>
      <c r="AK859">
        <v>0</v>
      </c>
      <c r="AL859">
        <v>1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-4</v>
      </c>
      <c r="AV859">
        <v>7.3333333333333339</v>
      </c>
      <c r="AW859">
        <v>856.4</v>
      </c>
      <c r="AZ859">
        <v>1060.1300000000001</v>
      </c>
      <c r="BA859">
        <v>16.668900000000001</v>
      </c>
      <c r="BD859" t="s">
        <v>108</v>
      </c>
    </row>
    <row r="860" spans="1:56" x14ac:dyDescent="0.3">
      <c r="A860">
        <v>10859</v>
      </c>
      <c r="B860">
        <v>1</v>
      </c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1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900</v>
      </c>
      <c r="AE860">
        <v>1</v>
      </c>
      <c r="AF860">
        <v>0</v>
      </c>
      <c r="AG860">
        <v>1</v>
      </c>
      <c r="AH860">
        <v>0</v>
      </c>
      <c r="AI860">
        <v>650</v>
      </c>
      <c r="AJ860">
        <v>8</v>
      </c>
      <c r="AK860">
        <v>0</v>
      </c>
      <c r="AL860">
        <v>1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-4</v>
      </c>
      <c r="AV860">
        <v>7.3333333333333339</v>
      </c>
      <c r="AW860">
        <v>856.4</v>
      </c>
      <c r="AZ860">
        <v>1044.27</v>
      </c>
      <c r="BA860">
        <v>13.732100000000001</v>
      </c>
      <c r="BD860" t="s">
        <v>108</v>
      </c>
    </row>
    <row r="861" spans="1:56" x14ac:dyDescent="0.3">
      <c r="A861">
        <v>10860</v>
      </c>
      <c r="B861">
        <v>1</v>
      </c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1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950</v>
      </c>
      <c r="AE861">
        <v>1</v>
      </c>
      <c r="AF861">
        <v>0</v>
      </c>
      <c r="AG861">
        <v>1</v>
      </c>
      <c r="AH861">
        <v>0</v>
      </c>
      <c r="AI861">
        <v>550</v>
      </c>
      <c r="AJ861">
        <v>8</v>
      </c>
      <c r="AK861">
        <v>0</v>
      </c>
      <c r="AL861">
        <v>1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-4</v>
      </c>
      <c r="AV861">
        <v>7.3333333333333339</v>
      </c>
      <c r="AW861">
        <v>856.4</v>
      </c>
      <c r="AZ861">
        <v>1049</v>
      </c>
      <c r="BA861">
        <v>17.088799999999999</v>
      </c>
      <c r="BD861" t="s">
        <v>108</v>
      </c>
    </row>
    <row r="862" spans="1:56" x14ac:dyDescent="0.3">
      <c r="A862">
        <v>10861</v>
      </c>
      <c r="B862">
        <v>1</v>
      </c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1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950</v>
      </c>
      <c r="AE862">
        <v>1</v>
      </c>
      <c r="AF862">
        <v>0</v>
      </c>
      <c r="AG862">
        <v>1</v>
      </c>
      <c r="AH862">
        <v>0</v>
      </c>
      <c r="AI862">
        <v>600</v>
      </c>
      <c r="AJ862">
        <v>8</v>
      </c>
      <c r="AK862">
        <v>0</v>
      </c>
      <c r="AL862">
        <v>1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-4</v>
      </c>
      <c r="AV862">
        <v>7.3333333333333339</v>
      </c>
      <c r="AW862">
        <v>856.4</v>
      </c>
      <c r="AZ862">
        <v>1050.3399999999999</v>
      </c>
      <c r="BA862">
        <v>16.192499999999999</v>
      </c>
      <c r="BD862" t="s">
        <v>108</v>
      </c>
    </row>
    <row r="863" spans="1:56" x14ac:dyDescent="0.3">
      <c r="A863">
        <v>10862</v>
      </c>
      <c r="B863">
        <v>1</v>
      </c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1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950</v>
      </c>
      <c r="AE863">
        <v>1</v>
      </c>
      <c r="AF863">
        <v>0</v>
      </c>
      <c r="AG863">
        <v>1</v>
      </c>
      <c r="AH863">
        <v>0</v>
      </c>
      <c r="AI863">
        <v>650</v>
      </c>
      <c r="AJ863">
        <v>8</v>
      </c>
      <c r="AK863">
        <v>0</v>
      </c>
      <c r="AL863">
        <v>1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-4</v>
      </c>
      <c r="AV863">
        <v>7.3333333333333339</v>
      </c>
      <c r="AW863">
        <v>856.4</v>
      </c>
      <c r="AZ863">
        <v>1044.6500000000001</v>
      </c>
      <c r="BA863">
        <v>13.008599999999999</v>
      </c>
      <c r="BD863" t="s">
        <v>108</v>
      </c>
    </row>
    <row r="864" spans="1:56" x14ac:dyDescent="0.3">
      <c r="A864">
        <v>10863</v>
      </c>
      <c r="B864">
        <v>1</v>
      </c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1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980</v>
      </c>
      <c r="AE864">
        <v>1</v>
      </c>
      <c r="AF864">
        <v>0</v>
      </c>
      <c r="AG864">
        <v>1</v>
      </c>
      <c r="AH864">
        <v>0</v>
      </c>
      <c r="AI864">
        <v>550</v>
      </c>
      <c r="AJ864">
        <v>8</v>
      </c>
      <c r="AK864">
        <v>0</v>
      </c>
      <c r="AL864">
        <v>1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-4</v>
      </c>
      <c r="AV864">
        <v>7.3333333333333339</v>
      </c>
      <c r="AW864">
        <v>856.4</v>
      </c>
      <c r="AZ864">
        <v>1077.53</v>
      </c>
      <c r="BA864">
        <v>13.6069</v>
      </c>
      <c r="BD864" t="s">
        <v>108</v>
      </c>
    </row>
    <row r="865" spans="1:56" x14ac:dyDescent="0.3">
      <c r="A865">
        <v>10864</v>
      </c>
      <c r="B865">
        <v>1</v>
      </c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1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980</v>
      </c>
      <c r="AE865">
        <v>1</v>
      </c>
      <c r="AF865">
        <v>0</v>
      </c>
      <c r="AG865">
        <v>1</v>
      </c>
      <c r="AH865">
        <v>0</v>
      </c>
      <c r="AI865">
        <v>600</v>
      </c>
      <c r="AJ865">
        <v>8</v>
      </c>
      <c r="AK865">
        <v>0</v>
      </c>
      <c r="AL865">
        <v>1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-4</v>
      </c>
      <c r="AV865">
        <v>7.3333333333333339</v>
      </c>
      <c r="AW865">
        <v>856.4</v>
      </c>
      <c r="AZ865">
        <v>1052.8699999999999</v>
      </c>
      <c r="BA865">
        <v>15.1525</v>
      </c>
      <c r="BD865" t="s">
        <v>108</v>
      </c>
    </row>
    <row r="866" spans="1:56" x14ac:dyDescent="0.3">
      <c r="A866">
        <v>10865</v>
      </c>
      <c r="B866">
        <v>1</v>
      </c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1</v>
      </c>
      <c r="W866">
        <v>0</v>
      </c>
      <c r="X866">
        <v>0</v>
      </c>
      <c r="Y866">
        <v>0</v>
      </c>
      <c r="Z866">
        <v>1</v>
      </c>
      <c r="AA866">
        <v>0</v>
      </c>
      <c r="AB866">
        <v>0</v>
      </c>
      <c r="AC866">
        <v>0</v>
      </c>
      <c r="AD866">
        <v>980</v>
      </c>
      <c r="AE866">
        <v>1</v>
      </c>
      <c r="AF866">
        <v>0</v>
      </c>
      <c r="AG866">
        <v>1</v>
      </c>
      <c r="AH866">
        <v>0</v>
      </c>
      <c r="AI866">
        <v>650</v>
      </c>
      <c r="AJ866">
        <v>8</v>
      </c>
      <c r="AK866">
        <v>0</v>
      </c>
      <c r="AL866">
        <v>1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-4</v>
      </c>
      <c r="AV866">
        <v>7.3333333333333339</v>
      </c>
      <c r="AW866">
        <v>856.4</v>
      </c>
      <c r="AZ866">
        <v>1075.77</v>
      </c>
      <c r="BA866">
        <v>11.288600000000001</v>
      </c>
      <c r="BD866" t="s">
        <v>108</v>
      </c>
    </row>
    <row r="867" spans="1:56" x14ac:dyDescent="0.3">
      <c r="A867">
        <v>10866</v>
      </c>
      <c r="B867">
        <v>1</v>
      </c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1</v>
      </c>
      <c r="W867">
        <v>0</v>
      </c>
      <c r="X867">
        <v>0</v>
      </c>
      <c r="Y867">
        <v>0</v>
      </c>
      <c r="Z867">
        <v>1</v>
      </c>
      <c r="AA867">
        <v>0</v>
      </c>
      <c r="AB867">
        <v>0</v>
      </c>
      <c r="AC867">
        <v>0</v>
      </c>
      <c r="AD867">
        <v>1000</v>
      </c>
      <c r="AE867">
        <v>1</v>
      </c>
      <c r="AF867">
        <v>0</v>
      </c>
      <c r="AG867">
        <v>1</v>
      </c>
      <c r="AH867">
        <v>0</v>
      </c>
      <c r="AI867">
        <v>550</v>
      </c>
      <c r="AJ867">
        <v>8</v>
      </c>
      <c r="AK867">
        <v>0</v>
      </c>
      <c r="AL867">
        <v>1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-4</v>
      </c>
      <c r="AV867">
        <v>7.3333333333333339</v>
      </c>
      <c r="AW867">
        <v>856.4</v>
      </c>
      <c r="AZ867">
        <v>1026.78</v>
      </c>
      <c r="BA867">
        <v>11.357799999999999</v>
      </c>
      <c r="BD867" t="s">
        <v>108</v>
      </c>
    </row>
    <row r="868" spans="1:56" x14ac:dyDescent="0.3">
      <c r="A868">
        <v>10867</v>
      </c>
      <c r="B868">
        <v>1</v>
      </c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1</v>
      </c>
      <c r="W868">
        <v>0</v>
      </c>
      <c r="X868">
        <v>0</v>
      </c>
      <c r="Y868">
        <v>0</v>
      </c>
      <c r="Z868">
        <v>1</v>
      </c>
      <c r="AA868">
        <v>0</v>
      </c>
      <c r="AB868">
        <v>0</v>
      </c>
      <c r="AC868">
        <v>0</v>
      </c>
      <c r="AD868">
        <v>1000</v>
      </c>
      <c r="AE868">
        <v>1</v>
      </c>
      <c r="AF868">
        <v>0</v>
      </c>
      <c r="AG868">
        <v>1</v>
      </c>
      <c r="AH868">
        <v>0</v>
      </c>
      <c r="AI868">
        <v>600</v>
      </c>
      <c r="AJ868">
        <v>8</v>
      </c>
      <c r="AK868">
        <v>0</v>
      </c>
      <c r="AL868">
        <v>1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-4</v>
      </c>
      <c r="AV868">
        <v>7.3333333333333339</v>
      </c>
      <c r="AW868">
        <v>856.4</v>
      </c>
      <c r="AZ868">
        <v>1047.5</v>
      </c>
      <c r="BA868">
        <v>8.6065799999999992</v>
      </c>
      <c r="BD868" t="s">
        <v>108</v>
      </c>
    </row>
    <row r="869" spans="1:56" x14ac:dyDescent="0.3">
      <c r="A869">
        <v>10868</v>
      </c>
      <c r="B869">
        <v>1</v>
      </c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1</v>
      </c>
      <c r="W869">
        <v>0</v>
      </c>
      <c r="X869">
        <v>0</v>
      </c>
      <c r="Y869">
        <v>0</v>
      </c>
      <c r="Z869">
        <v>1</v>
      </c>
      <c r="AA869">
        <v>0</v>
      </c>
      <c r="AB869">
        <v>0</v>
      </c>
      <c r="AC869">
        <v>0</v>
      </c>
      <c r="AD869">
        <v>1000</v>
      </c>
      <c r="AE869">
        <v>1</v>
      </c>
      <c r="AF869">
        <v>0</v>
      </c>
      <c r="AG869">
        <v>1</v>
      </c>
      <c r="AH869">
        <v>0</v>
      </c>
      <c r="AI869">
        <v>650</v>
      </c>
      <c r="AJ869">
        <v>8</v>
      </c>
      <c r="AK869">
        <v>0</v>
      </c>
      <c r="AL869">
        <v>1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-4</v>
      </c>
      <c r="AV869">
        <v>7.3333333333333339</v>
      </c>
      <c r="AW869">
        <v>856.4</v>
      </c>
      <c r="AZ869">
        <v>1036.1099999999999</v>
      </c>
      <c r="BA869">
        <v>6.81332</v>
      </c>
      <c r="BD869" t="s">
        <v>108</v>
      </c>
    </row>
    <row r="870" spans="1:56" x14ac:dyDescent="0.3">
      <c r="A870">
        <v>10869</v>
      </c>
      <c r="B870">
        <v>1</v>
      </c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1</v>
      </c>
      <c r="W870">
        <v>0</v>
      </c>
      <c r="X870">
        <v>0</v>
      </c>
      <c r="Y870">
        <v>0</v>
      </c>
      <c r="Z870">
        <v>1</v>
      </c>
      <c r="AA870">
        <v>0</v>
      </c>
      <c r="AB870">
        <v>0</v>
      </c>
      <c r="AC870">
        <v>0</v>
      </c>
      <c r="AD870">
        <v>1030</v>
      </c>
      <c r="AE870">
        <v>1</v>
      </c>
      <c r="AF870">
        <v>0</v>
      </c>
      <c r="AG870">
        <v>1</v>
      </c>
      <c r="AH870">
        <v>0</v>
      </c>
      <c r="AI870">
        <v>550</v>
      </c>
      <c r="AJ870">
        <v>8</v>
      </c>
      <c r="AK870">
        <v>0</v>
      </c>
      <c r="AL870">
        <v>1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-4</v>
      </c>
      <c r="AV870">
        <v>7.3333333333333339</v>
      </c>
      <c r="AW870">
        <v>856.4</v>
      </c>
      <c r="AZ870">
        <v>1030.44</v>
      </c>
      <c r="BA870">
        <v>8.5865899999999993</v>
      </c>
      <c r="BD870" t="s">
        <v>108</v>
      </c>
    </row>
    <row r="871" spans="1:56" x14ac:dyDescent="0.3">
      <c r="A871">
        <v>10870</v>
      </c>
      <c r="B871">
        <v>1</v>
      </c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1</v>
      </c>
      <c r="W871">
        <v>0</v>
      </c>
      <c r="X871">
        <v>0</v>
      </c>
      <c r="Y871">
        <v>0</v>
      </c>
      <c r="Z871">
        <v>1</v>
      </c>
      <c r="AA871">
        <v>0</v>
      </c>
      <c r="AB871">
        <v>0</v>
      </c>
      <c r="AC871">
        <v>0</v>
      </c>
      <c r="AD871">
        <v>1030</v>
      </c>
      <c r="AE871">
        <v>1</v>
      </c>
      <c r="AF871">
        <v>0</v>
      </c>
      <c r="AG871">
        <v>1</v>
      </c>
      <c r="AH871">
        <v>0</v>
      </c>
      <c r="AI871">
        <v>600</v>
      </c>
      <c r="AJ871">
        <v>8</v>
      </c>
      <c r="AK871">
        <v>0</v>
      </c>
      <c r="AL871">
        <v>1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-4</v>
      </c>
      <c r="AV871">
        <v>7.3333333333333339</v>
      </c>
      <c r="AW871">
        <v>856.4</v>
      </c>
      <c r="AZ871">
        <v>1043.4000000000001</v>
      </c>
      <c r="BA871">
        <v>7.7517899999999997</v>
      </c>
      <c r="BD871" t="s">
        <v>108</v>
      </c>
    </row>
    <row r="872" spans="1:56" x14ac:dyDescent="0.3">
      <c r="A872">
        <v>10871</v>
      </c>
      <c r="B872">
        <v>1</v>
      </c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1</v>
      </c>
      <c r="W872">
        <v>0</v>
      </c>
      <c r="X872">
        <v>0</v>
      </c>
      <c r="Y872">
        <v>0</v>
      </c>
      <c r="Z872">
        <v>1</v>
      </c>
      <c r="AA872">
        <v>0</v>
      </c>
      <c r="AB872">
        <v>0</v>
      </c>
      <c r="AC872">
        <v>0</v>
      </c>
      <c r="AD872">
        <v>1030</v>
      </c>
      <c r="AE872">
        <v>1</v>
      </c>
      <c r="AF872">
        <v>0</v>
      </c>
      <c r="AG872">
        <v>1</v>
      </c>
      <c r="AH872">
        <v>0</v>
      </c>
      <c r="AI872">
        <v>650</v>
      </c>
      <c r="AJ872">
        <v>8</v>
      </c>
      <c r="AK872">
        <v>0</v>
      </c>
      <c r="AL872">
        <v>1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-4</v>
      </c>
      <c r="AV872">
        <v>7.3333333333333339</v>
      </c>
      <c r="AW872">
        <v>856.4</v>
      </c>
      <c r="AZ872">
        <v>1029.2</v>
      </c>
      <c r="BA872">
        <v>7.2576099999999997</v>
      </c>
      <c r="BD872" t="s">
        <v>108</v>
      </c>
    </row>
    <row r="873" spans="1:56" x14ac:dyDescent="0.3">
      <c r="A873">
        <v>10872</v>
      </c>
      <c r="B873">
        <v>0</v>
      </c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1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-3.7330000000000001</v>
      </c>
      <c r="AV873">
        <v>7.166666666666667</v>
      </c>
      <c r="AW873">
        <v>855.72800000000007</v>
      </c>
      <c r="BD873" t="s">
        <v>192</v>
      </c>
    </row>
    <row r="874" spans="1:56" x14ac:dyDescent="0.3">
      <c r="A874">
        <v>10873</v>
      </c>
      <c r="B874">
        <v>0</v>
      </c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1</v>
      </c>
      <c r="W874">
        <v>0</v>
      </c>
      <c r="X874">
        <v>0</v>
      </c>
      <c r="Y874">
        <v>0</v>
      </c>
      <c r="Z874">
        <v>1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-3.7330000000000001</v>
      </c>
      <c r="AV874">
        <v>7.166666666666667</v>
      </c>
      <c r="AW874">
        <v>855.72800000000007</v>
      </c>
      <c r="BD874" t="s">
        <v>192</v>
      </c>
    </row>
    <row r="875" spans="1:56" x14ac:dyDescent="0.3">
      <c r="A875">
        <v>10874</v>
      </c>
      <c r="B875">
        <v>0</v>
      </c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1</v>
      </c>
      <c r="W875">
        <v>0</v>
      </c>
      <c r="X875">
        <v>0</v>
      </c>
      <c r="Y875">
        <v>0</v>
      </c>
      <c r="Z875">
        <v>1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-3.7330000000000001</v>
      </c>
      <c r="AV875">
        <v>7.166666666666667</v>
      </c>
      <c r="AW875">
        <v>855.72800000000007</v>
      </c>
      <c r="BD875" t="s">
        <v>192</v>
      </c>
    </row>
    <row r="876" spans="1:56" x14ac:dyDescent="0.3">
      <c r="A876">
        <v>10875</v>
      </c>
      <c r="B876">
        <v>1</v>
      </c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X876">
        <v>0</v>
      </c>
      <c r="Y876">
        <v>0</v>
      </c>
      <c r="Z876">
        <v>0</v>
      </c>
      <c r="AA876">
        <v>1</v>
      </c>
      <c r="AB876">
        <v>0</v>
      </c>
      <c r="AC876">
        <v>0</v>
      </c>
      <c r="AD876">
        <v>870</v>
      </c>
      <c r="AE876">
        <v>1</v>
      </c>
      <c r="AF876">
        <v>1</v>
      </c>
      <c r="AG876">
        <v>0</v>
      </c>
      <c r="AH876">
        <v>0</v>
      </c>
      <c r="AI876">
        <v>675</v>
      </c>
      <c r="AJ876">
        <v>4</v>
      </c>
      <c r="AK876">
        <v>0</v>
      </c>
      <c r="AL876">
        <v>1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-2.855</v>
      </c>
      <c r="AV876">
        <v>6.2033333333333331</v>
      </c>
      <c r="AW876">
        <v>841.67799999999988</v>
      </c>
      <c r="AY876">
        <v>900</v>
      </c>
      <c r="AZ876">
        <v>965</v>
      </c>
      <c r="BA876">
        <v>17</v>
      </c>
      <c r="BD876" t="s">
        <v>193</v>
      </c>
    </row>
    <row r="877" spans="1:56" x14ac:dyDescent="0.3">
      <c r="A877">
        <v>10876</v>
      </c>
      <c r="B877">
        <v>1</v>
      </c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1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1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500</v>
      </c>
      <c r="AJ877">
        <v>1</v>
      </c>
      <c r="AK877">
        <v>0</v>
      </c>
      <c r="AL877">
        <v>1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-2.855</v>
      </c>
      <c r="AV877">
        <v>6.2033333333333331</v>
      </c>
      <c r="AW877">
        <v>841.67799999999988</v>
      </c>
      <c r="AY877">
        <v>1360</v>
      </c>
      <c r="AZ877">
        <v>1435</v>
      </c>
      <c r="BA877">
        <v>9</v>
      </c>
      <c r="BD877" t="s">
        <v>193</v>
      </c>
    </row>
    <row r="878" spans="1:56" x14ac:dyDescent="0.3">
      <c r="A878">
        <v>10877</v>
      </c>
      <c r="B878">
        <v>1</v>
      </c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1</v>
      </c>
      <c r="X878">
        <v>0</v>
      </c>
      <c r="Y878">
        <v>0</v>
      </c>
      <c r="Z878">
        <v>0</v>
      </c>
      <c r="AA878">
        <v>1</v>
      </c>
      <c r="AB878">
        <v>0</v>
      </c>
      <c r="AC878">
        <v>0</v>
      </c>
      <c r="AD878">
        <f>AW878</f>
        <v>736.71299999999997</v>
      </c>
      <c r="AE878">
        <v>0</v>
      </c>
      <c r="AF878">
        <v>0</v>
      </c>
      <c r="AG878">
        <v>1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-6.4275000000000002</v>
      </c>
      <c r="AV878">
        <v>12.866666666666667</v>
      </c>
      <c r="AW878">
        <v>736.71299999999997</v>
      </c>
      <c r="AX878">
        <v>92</v>
      </c>
      <c r="AY878">
        <v>1299</v>
      </c>
      <c r="BD878" t="s">
        <v>60</v>
      </c>
    </row>
    <row r="879" spans="1:56" x14ac:dyDescent="0.3">
      <c r="A879">
        <v>10878</v>
      </c>
      <c r="B879">
        <v>1</v>
      </c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1</v>
      </c>
      <c r="X879">
        <v>0</v>
      </c>
      <c r="Y879">
        <v>0</v>
      </c>
      <c r="Z879">
        <v>0</v>
      </c>
      <c r="AA879">
        <v>1</v>
      </c>
      <c r="AB879">
        <v>0</v>
      </c>
      <c r="AC879">
        <v>0</v>
      </c>
      <c r="AD879">
        <f>AW879</f>
        <v>729.1339999999999</v>
      </c>
      <c r="AE879">
        <v>0</v>
      </c>
      <c r="AF879">
        <v>0</v>
      </c>
      <c r="AG879">
        <v>1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-5.0287999999999995</v>
      </c>
      <c r="AV879">
        <v>12.868333333333334</v>
      </c>
      <c r="AW879">
        <v>729.1339999999999</v>
      </c>
      <c r="AX879">
        <v>100</v>
      </c>
      <c r="AY879">
        <v>1421</v>
      </c>
      <c r="BD879" t="s">
        <v>60</v>
      </c>
    </row>
    <row r="880" spans="1:56" x14ac:dyDescent="0.3">
      <c r="A880">
        <v>10879</v>
      </c>
      <c r="B880">
        <v>1</v>
      </c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1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f>AW880</f>
        <v>721.69399999999996</v>
      </c>
      <c r="AE880">
        <v>0</v>
      </c>
      <c r="AF880">
        <v>0</v>
      </c>
      <c r="AG880">
        <v>1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-3.6467999999999989</v>
      </c>
      <c r="AV880">
        <v>12.879999999999999</v>
      </c>
      <c r="AW880">
        <v>721.69399999999996</v>
      </c>
      <c r="AX880">
        <v>96</v>
      </c>
      <c r="AY880">
        <v>1553</v>
      </c>
      <c r="BD880" t="s">
        <v>60</v>
      </c>
    </row>
    <row r="881" spans="1:56" x14ac:dyDescent="0.3">
      <c r="A881">
        <v>10880</v>
      </c>
      <c r="B881">
        <v>1</v>
      </c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1</v>
      </c>
      <c r="X881">
        <v>0</v>
      </c>
      <c r="Y881">
        <v>0</v>
      </c>
      <c r="Z881">
        <v>0</v>
      </c>
      <c r="AA881">
        <v>1</v>
      </c>
      <c r="AB881">
        <v>0</v>
      </c>
      <c r="AC881">
        <v>0</v>
      </c>
      <c r="AD881">
        <f>AW881</f>
        <v>714.18499999999995</v>
      </c>
      <c r="AE881">
        <v>0</v>
      </c>
      <c r="AF881">
        <v>0</v>
      </c>
      <c r="AG881">
        <v>1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-2.264800000000001</v>
      </c>
      <c r="AV881">
        <v>12.893333333333334</v>
      </c>
      <c r="AW881">
        <v>714.18499999999995</v>
      </c>
      <c r="AX881">
        <v>103</v>
      </c>
      <c r="AY881">
        <v>1399</v>
      </c>
      <c r="BD881" t="s">
        <v>60</v>
      </c>
    </row>
    <row r="882" spans="1:56" x14ac:dyDescent="0.3">
      <c r="A882">
        <v>10881</v>
      </c>
      <c r="B882">
        <v>1</v>
      </c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1</v>
      </c>
      <c r="X882">
        <v>0</v>
      </c>
      <c r="Y882">
        <v>0</v>
      </c>
      <c r="Z882">
        <v>0</v>
      </c>
      <c r="AA882">
        <v>1</v>
      </c>
      <c r="AB882">
        <v>0</v>
      </c>
      <c r="AC882">
        <v>0</v>
      </c>
      <c r="AD882">
        <f>AW882</f>
        <v>706.59100000000001</v>
      </c>
      <c r="AE882">
        <v>0</v>
      </c>
      <c r="AF882">
        <v>0</v>
      </c>
      <c r="AG882">
        <v>1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-0.85379999999999789</v>
      </c>
      <c r="AV882">
        <v>12.904999999999999</v>
      </c>
      <c r="AW882">
        <v>706.59100000000001</v>
      </c>
      <c r="AX882">
        <v>79</v>
      </c>
      <c r="AY882">
        <v>1068</v>
      </c>
      <c r="BD882" t="s">
        <v>60</v>
      </c>
    </row>
    <row r="883" spans="1:56" x14ac:dyDescent="0.3">
      <c r="A883">
        <v>10882</v>
      </c>
      <c r="B883">
        <v>1</v>
      </c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1</v>
      </c>
      <c r="W883">
        <v>0</v>
      </c>
      <c r="X883">
        <v>0</v>
      </c>
      <c r="Y883">
        <v>0</v>
      </c>
      <c r="Z883">
        <v>1</v>
      </c>
      <c r="AA883">
        <v>0</v>
      </c>
      <c r="AB883">
        <v>0</v>
      </c>
      <c r="AC883">
        <v>0</v>
      </c>
      <c r="AD883">
        <v>880</v>
      </c>
      <c r="AE883">
        <v>0.5</v>
      </c>
      <c r="AF883">
        <v>1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8.6440000000000001</v>
      </c>
      <c r="AV883">
        <v>3.01</v>
      </c>
      <c r="AW883">
        <v>793.27099999999996</v>
      </c>
      <c r="AY883">
        <v>687</v>
      </c>
      <c r="AZ883">
        <v>903</v>
      </c>
      <c r="BA883">
        <v>24</v>
      </c>
      <c r="BD883" t="s">
        <v>108</v>
      </c>
    </row>
    <row r="884" spans="1:56" x14ac:dyDescent="0.3">
      <c r="A884">
        <v>10883</v>
      </c>
      <c r="B884">
        <v>1</v>
      </c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1</v>
      </c>
      <c r="W884">
        <v>0</v>
      </c>
      <c r="X884">
        <v>0</v>
      </c>
      <c r="Y884">
        <v>0</v>
      </c>
      <c r="Z884">
        <v>1</v>
      </c>
      <c r="AA884">
        <v>0</v>
      </c>
      <c r="AB884">
        <v>0</v>
      </c>
      <c r="AC884">
        <v>0</v>
      </c>
      <c r="AD884">
        <v>820</v>
      </c>
      <c r="AE884">
        <v>0.5</v>
      </c>
      <c r="AF884">
        <v>1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8.6440000000000001</v>
      </c>
      <c r="AV884">
        <v>3.01</v>
      </c>
      <c r="AW884">
        <v>793.27099999999996</v>
      </c>
      <c r="AY884">
        <v>811</v>
      </c>
      <c r="AZ884">
        <v>965</v>
      </c>
      <c r="BA884">
        <v>10.9</v>
      </c>
      <c r="BD884" t="s">
        <v>108</v>
      </c>
    </row>
    <row r="885" spans="1:56" x14ac:dyDescent="0.3">
      <c r="A885">
        <v>10884</v>
      </c>
      <c r="B885">
        <v>1</v>
      </c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1</v>
      </c>
      <c r="W885">
        <v>0</v>
      </c>
      <c r="X885">
        <v>0</v>
      </c>
      <c r="Y885">
        <v>0</v>
      </c>
      <c r="Z885">
        <v>1</v>
      </c>
      <c r="AA885">
        <v>0</v>
      </c>
      <c r="AB885">
        <v>0</v>
      </c>
      <c r="AC885">
        <v>0</v>
      </c>
      <c r="AD885">
        <v>880</v>
      </c>
      <c r="AE885">
        <v>0.5</v>
      </c>
      <c r="AF885">
        <v>1</v>
      </c>
      <c r="AG885">
        <v>0</v>
      </c>
      <c r="AH885">
        <v>0</v>
      </c>
      <c r="AI885">
        <v>530</v>
      </c>
      <c r="AJ885">
        <v>6</v>
      </c>
      <c r="AK885">
        <v>0</v>
      </c>
      <c r="AL885">
        <v>1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8.6440000000000001</v>
      </c>
      <c r="AV885">
        <v>3.01</v>
      </c>
      <c r="AW885">
        <v>793.27099999999996</v>
      </c>
      <c r="AY885">
        <v>987</v>
      </c>
      <c r="AZ885">
        <v>1311</v>
      </c>
      <c r="BA885">
        <v>2.1</v>
      </c>
      <c r="BD885" t="s">
        <v>108</v>
      </c>
    </row>
    <row r="886" spans="1:56" x14ac:dyDescent="0.3">
      <c r="A886">
        <v>10885</v>
      </c>
      <c r="B886">
        <v>1</v>
      </c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1</v>
      </c>
      <c r="W886">
        <v>0</v>
      </c>
      <c r="X886">
        <v>0</v>
      </c>
      <c r="Y886">
        <v>0</v>
      </c>
      <c r="Z886">
        <v>1</v>
      </c>
      <c r="AA886">
        <v>0</v>
      </c>
      <c r="AB886">
        <v>0</v>
      </c>
      <c r="AC886">
        <v>0</v>
      </c>
      <c r="AD886">
        <v>820</v>
      </c>
      <c r="AE886">
        <v>0.5</v>
      </c>
      <c r="AF886">
        <v>1</v>
      </c>
      <c r="AG886">
        <v>0</v>
      </c>
      <c r="AH886">
        <v>0</v>
      </c>
      <c r="AI886">
        <v>530</v>
      </c>
      <c r="AJ886">
        <v>6</v>
      </c>
      <c r="AK886">
        <v>0</v>
      </c>
      <c r="AL886">
        <v>1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8.6440000000000001</v>
      </c>
      <c r="AV886">
        <v>3.01</v>
      </c>
      <c r="AW886">
        <v>793.27099999999996</v>
      </c>
      <c r="AY886">
        <v>963</v>
      </c>
      <c r="AZ886">
        <v>1296</v>
      </c>
      <c r="BA886">
        <v>4.7</v>
      </c>
      <c r="BD886" t="s">
        <v>108</v>
      </c>
    </row>
    <row r="887" spans="1:56" x14ac:dyDescent="0.3">
      <c r="A887">
        <v>10886</v>
      </c>
      <c r="B887">
        <v>1</v>
      </c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1</v>
      </c>
      <c r="W887">
        <v>0</v>
      </c>
      <c r="X887">
        <v>0</v>
      </c>
      <c r="Y887">
        <v>0</v>
      </c>
      <c r="Z887">
        <v>1</v>
      </c>
      <c r="AA887">
        <v>0</v>
      </c>
      <c r="AB887">
        <v>0</v>
      </c>
      <c r="AC887">
        <v>0</v>
      </c>
      <c r="AD887">
        <v>890</v>
      </c>
      <c r="AE887">
        <v>0.5</v>
      </c>
      <c r="AF887">
        <v>1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9.4407999999999994</v>
      </c>
      <c r="AV887">
        <v>4.22</v>
      </c>
      <c r="AW887">
        <v>780.78199999999993</v>
      </c>
      <c r="AY887">
        <v>726</v>
      </c>
      <c r="AZ887">
        <v>893</v>
      </c>
      <c r="BA887">
        <v>19.5</v>
      </c>
      <c r="BD887" t="s">
        <v>108</v>
      </c>
    </row>
    <row r="888" spans="1:56" x14ac:dyDescent="0.3">
      <c r="A888">
        <v>10887</v>
      </c>
      <c r="B888">
        <v>1</v>
      </c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1</v>
      </c>
      <c r="W888">
        <v>0</v>
      </c>
      <c r="X888">
        <v>0</v>
      </c>
      <c r="Y888">
        <v>0</v>
      </c>
      <c r="Z888">
        <v>1</v>
      </c>
      <c r="AA888">
        <v>0</v>
      </c>
      <c r="AB888">
        <v>0</v>
      </c>
      <c r="AC888">
        <v>0</v>
      </c>
      <c r="AD888">
        <v>830</v>
      </c>
      <c r="AE888">
        <v>0.5</v>
      </c>
      <c r="AF888">
        <v>1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9.4407999999999994</v>
      </c>
      <c r="AV888">
        <v>4.22</v>
      </c>
      <c r="AW888">
        <v>780.78199999999993</v>
      </c>
      <c r="AY888">
        <v>908</v>
      </c>
      <c r="AZ888">
        <v>942</v>
      </c>
      <c r="BA888">
        <v>9.1</v>
      </c>
      <c r="BD888" t="s">
        <v>108</v>
      </c>
    </row>
    <row r="889" spans="1:56" x14ac:dyDescent="0.3">
      <c r="A889">
        <v>10888</v>
      </c>
      <c r="B889">
        <v>1</v>
      </c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1</v>
      </c>
      <c r="W889">
        <v>0</v>
      </c>
      <c r="X889">
        <v>0</v>
      </c>
      <c r="Y889">
        <v>0</v>
      </c>
      <c r="Z889">
        <v>1</v>
      </c>
      <c r="AA889">
        <v>0</v>
      </c>
      <c r="AB889">
        <v>0</v>
      </c>
      <c r="AC889">
        <v>0</v>
      </c>
      <c r="AD889">
        <v>890</v>
      </c>
      <c r="AE889">
        <v>0.5</v>
      </c>
      <c r="AF889">
        <v>1</v>
      </c>
      <c r="AG889">
        <v>0</v>
      </c>
      <c r="AH889">
        <v>0</v>
      </c>
      <c r="AI889">
        <v>540</v>
      </c>
      <c r="AJ889">
        <v>6</v>
      </c>
      <c r="AK889">
        <v>0</v>
      </c>
      <c r="AL889">
        <v>1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9.4407999999999994</v>
      </c>
      <c r="AV889">
        <v>4.22</v>
      </c>
      <c r="AW889">
        <v>780.78199999999993</v>
      </c>
      <c r="AY889">
        <v>1058</v>
      </c>
      <c r="AZ889">
        <v>1378</v>
      </c>
      <c r="BA889">
        <v>1.5</v>
      </c>
      <c r="BD889" t="s">
        <v>108</v>
      </c>
    </row>
    <row r="890" spans="1:56" x14ac:dyDescent="0.3">
      <c r="A890">
        <v>10889</v>
      </c>
      <c r="B890">
        <v>1</v>
      </c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1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830</v>
      </c>
      <c r="AE890">
        <v>0.5</v>
      </c>
      <c r="AF890">
        <v>1</v>
      </c>
      <c r="AG890">
        <v>0</v>
      </c>
      <c r="AH890">
        <v>0</v>
      </c>
      <c r="AI890">
        <v>540</v>
      </c>
      <c r="AJ890">
        <v>6</v>
      </c>
      <c r="AK890">
        <v>0</v>
      </c>
      <c r="AL890">
        <v>1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9.4407999999999994</v>
      </c>
      <c r="AV890">
        <v>4.22</v>
      </c>
      <c r="AW890">
        <v>780.78199999999993</v>
      </c>
      <c r="AY890">
        <v>1094</v>
      </c>
      <c r="AZ890">
        <v>1308</v>
      </c>
      <c r="BA890">
        <v>5.2</v>
      </c>
      <c r="BD890" t="s">
        <v>108</v>
      </c>
    </row>
    <row r="891" spans="1:56" x14ac:dyDescent="0.3">
      <c r="A891">
        <v>10890</v>
      </c>
      <c r="B891">
        <v>1</v>
      </c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1</v>
      </c>
      <c r="X891">
        <v>0</v>
      </c>
      <c r="Y891">
        <v>0</v>
      </c>
      <c r="Z891">
        <v>0</v>
      </c>
      <c r="AA891">
        <v>1</v>
      </c>
      <c r="AB891">
        <v>0</v>
      </c>
      <c r="AC891">
        <v>0</v>
      </c>
      <c r="AD891">
        <v>700</v>
      </c>
      <c r="AE891">
        <v>1</v>
      </c>
      <c r="AF891">
        <v>0</v>
      </c>
      <c r="AG891">
        <v>1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-1.8838999999999997</v>
      </c>
      <c r="AV891">
        <v>5.6083333333333334</v>
      </c>
      <c r="AW891">
        <v>828.02</v>
      </c>
      <c r="AY891">
        <v>847.19100000000003</v>
      </c>
      <c r="AZ891">
        <v>878.65200000000004</v>
      </c>
      <c r="BA891">
        <v>17.7578</v>
      </c>
      <c r="BD891" t="s">
        <v>108</v>
      </c>
    </row>
    <row r="892" spans="1:56" x14ac:dyDescent="0.3">
      <c r="A892">
        <v>10891</v>
      </c>
      <c r="B892">
        <v>1</v>
      </c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1</v>
      </c>
      <c r="X892">
        <v>950</v>
      </c>
      <c r="Y892">
        <v>0</v>
      </c>
      <c r="Z892">
        <v>0</v>
      </c>
      <c r="AA892">
        <v>1</v>
      </c>
      <c r="AB892">
        <v>0</v>
      </c>
      <c r="AC892">
        <v>0</v>
      </c>
      <c r="AD892">
        <v>700</v>
      </c>
      <c r="AE892">
        <v>1</v>
      </c>
      <c r="AF892">
        <v>0</v>
      </c>
      <c r="AG892">
        <v>1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-1.8838999999999997</v>
      </c>
      <c r="AV892">
        <v>5.6083333333333334</v>
      </c>
      <c r="AW892">
        <v>828.02</v>
      </c>
      <c r="AY892">
        <v>942.07500000000005</v>
      </c>
      <c r="AZ892">
        <v>973.76400000000001</v>
      </c>
      <c r="BA892">
        <v>14.257300000000001</v>
      </c>
      <c r="BD892" t="s">
        <v>108</v>
      </c>
    </row>
    <row r="893" spans="1:56" x14ac:dyDescent="0.3">
      <c r="A893">
        <v>10892</v>
      </c>
      <c r="B893">
        <v>1</v>
      </c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1</v>
      </c>
      <c r="X893">
        <v>890</v>
      </c>
      <c r="Y893">
        <v>0</v>
      </c>
      <c r="Z893">
        <v>0</v>
      </c>
      <c r="AA893">
        <v>1</v>
      </c>
      <c r="AB893">
        <v>0</v>
      </c>
      <c r="AC893">
        <v>0</v>
      </c>
      <c r="AD893">
        <v>700</v>
      </c>
      <c r="AE893">
        <v>1</v>
      </c>
      <c r="AF893">
        <v>0</v>
      </c>
      <c r="AG893">
        <v>1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-1.8838999999999997</v>
      </c>
      <c r="AV893">
        <v>5.6083333333333334</v>
      </c>
      <c r="AW893">
        <v>828.02</v>
      </c>
      <c r="AY893">
        <v>893.92100000000005</v>
      </c>
      <c r="AZ893">
        <v>961.47699999999998</v>
      </c>
      <c r="BA893">
        <v>15.7849</v>
      </c>
      <c r="BD893" t="s">
        <v>108</v>
      </c>
    </row>
    <row r="894" spans="1:56" x14ac:dyDescent="0.3">
      <c r="A894">
        <v>10893</v>
      </c>
      <c r="B894">
        <v>1</v>
      </c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1</v>
      </c>
      <c r="X894">
        <v>840</v>
      </c>
      <c r="Y894">
        <v>0</v>
      </c>
      <c r="Z894">
        <v>0</v>
      </c>
      <c r="AA894">
        <v>1</v>
      </c>
      <c r="AB894">
        <v>0</v>
      </c>
      <c r="AC894">
        <v>0</v>
      </c>
      <c r="AD894">
        <v>700</v>
      </c>
      <c r="AE894">
        <v>1</v>
      </c>
      <c r="AF894">
        <v>0</v>
      </c>
      <c r="AG894">
        <v>1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-1.8838999999999997</v>
      </c>
      <c r="AV894">
        <v>5.6083333333333334</v>
      </c>
      <c r="AW894">
        <v>828.02</v>
      </c>
      <c r="AY894">
        <v>1007.72</v>
      </c>
      <c r="AZ894">
        <v>1023.63</v>
      </c>
      <c r="BA894">
        <v>13.2879</v>
      </c>
      <c r="BD894" t="s">
        <v>108</v>
      </c>
    </row>
    <row r="895" spans="1:56" x14ac:dyDescent="0.3">
      <c r="A895">
        <v>10894</v>
      </c>
      <c r="B895">
        <v>1</v>
      </c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1</v>
      </c>
      <c r="X895">
        <v>0</v>
      </c>
      <c r="Y895">
        <v>0</v>
      </c>
      <c r="Z895">
        <v>0</v>
      </c>
      <c r="AA895">
        <v>1</v>
      </c>
      <c r="AB895">
        <v>0</v>
      </c>
      <c r="AC895">
        <v>0</v>
      </c>
      <c r="AD895">
        <v>800</v>
      </c>
      <c r="AE895">
        <v>1</v>
      </c>
      <c r="AF895">
        <v>0</v>
      </c>
      <c r="AG895">
        <v>1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-1.8838999999999997</v>
      </c>
      <c r="AV895">
        <v>5.6083333333333334</v>
      </c>
      <c r="AW895">
        <v>828.02</v>
      </c>
      <c r="AY895">
        <v>820.22500000000002</v>
      </c>
      <c r="AZ895">
        <v>862.92100000000005</v>
      </c>
      <c r="BA895">
        <v>19.103100000000001</v>
      </c>
      <c r="BD895" t="s">
        <v>108</v>
      </c>
    </row>
    <row r="896" spans="1:56" x14ac:dyDescent="0.3">
      <c r="A896">
        <v>10895</v>
      </c>
      <c r="B896">
        <v>1</v>
      </c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950</v>
      </c>
      <c r="Y896">
        <v>0</v>
      </c>
      <c r="Z896">
        <v>0</v>
      </c>
      <c r="AA896">
        <v>1</v>
      </c>
      <c r="AB896">
        <v>0</v>
      </c>
      <c r="AC896">
        <v>0</v>
      </c>
      <c r="AD896">
        <v>800</v>
      </c>
      <c r="AE896">
        <v>1</v>
      </c>
      <c r="AF896">
        <v>0</v>
      </c>
      <c r="AG896">
        <v>1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-1.8838999999999997</v>
      </c>
      <c r="AV896">
        <v>5.6083333333333334</v>
      </c>
      <c r="AW896">
        <v>828.02</v>
      </c>
      <c r="AY896">
        <v>892.16399999999999</v>
      </c>
      <c r="AZ896">
        <v>945.31299999999999</v>
      </c>
      <c r="BA896">
        <v>17.601400000000002</v>
      </c>
      <c r="BD896" t="s">
        <v>108</v>
      </c>
    </row>
    <row r="897" spans="1:56" x14ac:dyDescent="0.3">
      <c r="A897">
        <v>10896</v>
      </c>
      <c r="B897">
        <v>1</v>
      </c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1</v>
      </c>
      <c r="X897">
        <v>890</v>
      </c>
      <c r="Y897">
        <v>0</v>
      </c>
      <c r="Z897">
        <v>0</v>
      </c>
      <c r="AA897">
        <v>1</v>
      </c>
      <c r="AB897">
        <v>0</v>
      </c>
      <c r="AC897">
        <v>0</v>
      </c>
      <c r="AD897">
        <v>800</v>
      </c>
      <c r="AE897">
        <v>1</v>
      </c>
      <c r="AF897">
        <v>0</v>
      </c>
      <c r="AG897">
        <v>1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-1.8838999999999997</v>
      </c>
      <c r="AV897">
        <v>5.6083333333333334</v>
      </c>
      <c r="AW897">
        <v>828.02</v>
      </c>
      <c r="AY897">
        <v>771.59400000000005</v>
      </c>
      <c r="AZ897">
        <v>880.61400000000003</v>
      </c>
      <c r="BA897">
        <v>18.973199999999999</v>
      </c>
      <c r="BD897" t="s">
        <v>108</v>
      </c>
    </row>
    <row r="898" spans="1:56" x14ac:dyDescent="0.3">
      <c r="A898">
        <v>10897</v>
      </c>
      <c r="B898">
        <v>1</v>
      </c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1</v>
      </c>
      <c r="X898">
        <v>840</v>
      </c>
      <c r="Y898">
        <v>0</v>
      </c>
      <c r="Z898">
        <v>0</v>
      </c>
      <c r="AA898">
        <v>1</v>
      </c>
      <c r="AB898">
        <v>0</v>
      </c>
      <c r="AC898">
        <v>0</v>
      </c>
      <c r="AD898">
        <v>800</v>
      </c>
      <c r="AE898">
        <v>1</v>
      </c>
      <c r="AF898">
        <v>0</v>
      </c>
      <c r="AG898">
        <v>1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-1.8838999999999997</v>
      </c>
      <c r="AV898">
        <v>5.6083333333333334</v>
      </c>
      <c r="AW898">
        <v>828.02</v>
      </c>
      <c r="AY898">
        <v>949.90099999999995</v>
      </c>
      <c r="AZ898">
        <v>964.53</v>
      </c>
      <c r="BA898">
        <v>14.9915</v>
      </c>
      <c r="BD898" t="s">
        <v>108</v>
      </c>
    </row>
    <row r="899" spans="1:56" x14ac:dyDescent="0.3">
      <c r="A899">
        <v>10898</v>
      </c>
      <c r="B899">
        <v>1</v>
      </c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1</v>
      </c>
      <c r="X899">
        <v>0</v>
      </c>
      <c r="Y899">
        <v>0</v>
      </c>
      <c r="Z899">
        <v>0</v>
      </c>
      <c r="AA899">
        <v>1</v>
      </c>
      <c r="AB899">
        <v>0</v>
      </c>
      <c r="AC899">
        <v>0</v>
      </c>
      <c r="AD899">
        <v>900</v>
      </c>
      <c r="AE899">
        <v>1</v>
      </c>
      <c r="AF899">
        <v>0</v>
      </c>
      <c r="AG899">
        <v>1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-1.8838999999999997</v>
      </c>
      <c r="AV899">
        <v>5.6083333333333334</v>
      </c>
      <c r="AW899">
        <v>828.02</v>
      </c>
      <c r="AY899">
        <v>786.51700000000005</v>
      </c>
      <c r="AZ899">
        <v>856.18</v>
      </c>
      <c r="BA899">
        <v>19.372199999999999</v>
      </c>
      <c r="BD899" t="s">
        <v>108</v>
      </c>
    </row>
    <row r="900" spans="1:56" x14ac:dyDescent="0.3">
      <c r="A900">
        <v>10899</v>
      </c>
      <c r="B900">
        <v>1</v>
      </c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1</v>
      </c>
      <c r="X900">
        <v>950</v>
      </c>
      <c r="Y900">
        <v>0</v>
      </c>
      <c r="Z900">
        <v>0</v>
      </c>
      <c r="AA900">
        <v>1</v>
      </c>
      <c r="AB900">
        <v>0</v>
      </c>
      <c r="AC900">
        <v>0</v>
      </c>
      <c r="AD900">
        <v>900</v>
      </c>
      <c r="AE900">
        <v>1</v>
      </c>
      <c r="AF900">
        <v>0</v>
      </c>
      <c r="AG900">
        <v>1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-1.8838999999999997</v>
      </c>
      <c r="AV900">
        <v>5.6083333333333334</v>
      </c>
      <c r="AW900">
        <v>828.02</v>
      </c>
      <c r="AY900">
        <v>864.73</v>
      </c>
      <c r="AZ900">
        <v>934.75099999999998</v>
      </c>
      <c r="BA900">
        <v>17.8843</v>
      </c>
      <c r="BD900" t="s">
        <v>108</v>
      </c>
    </row>
    <row r="901" spans="1:56" x14ac:dyDescent="0.3">
      <c r="A901">
        <v>10900</v>
      </c>
      <c r="B901">
        <v>1</v>
      </c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1</v>
      </c>
      <c r="X901">
        <v>890</v>
      </c>
      <c r="Y901">
        <v>0</v>
      </c>
      <c r="Z901">
        <v>0</v>
      </c>
      <c r="AA901">
        <v>1</v>
      </c>
      <c r="AB901">
        <v>0</v>
      </c>
      <c r="AC901">
        <v>0</v>
      </c>
      <c r="AD901">
        <v>900</v>
      </c>
      <c r="AE901">
        <v>1</v>
      </c>
      <c r="AF901">
        <v>0</v>
      </c>
      <c r="AG901">
        <v>1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-1.8838999999999997</v>
      </c>
      <c r="AV901">
        <v>5.6083333333333334</v>
      </c>
      <c r="AW901">
        <v>828.02</v>
      </c>
      <c r="AY901">
        <v>746.005</v>
      </c>
      <c r="AZ901">
        <v>870.37199999999996</v>
      </c>
      <c r="BA901">
        <v>17.207699999999999</v>
      </c>
      <c r="BD901" t="s">
        <v>108</v>
      </c>
    </row>
    <row r="902" spans="1:56" x14ac:dyDescent="0.3">
      <c r="A902">
        <v>10901</v>
      </c>
      <c r="B902">
        <v>1</v>
      </c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1</v>
      </c>
      <c r="X902">
        <v>840</v>
      </c>
      <c r="Y902">
        <v>0</v>
      </c>
      <c r="Z902">
        <v>0</v>
      </c>
      <c r="AA902">
        <v>1</v>
      </c>
      <c r="AB902">
        <v>0</v>
      </c>
      <c r="AC902">
        <v>0</v>
      </c>
      <c r="AD902">
        <v>900</v>
      </c>
      <c r="AE902">
        <v>1</v>
      </c>
      <c r="AF902">
        <v>0</v>
      </c>
      <c r="AG902">
        <v>1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-1.8838999999999997</v>
      </c>
      <c r="AV902">
        <v>5.6083333333333334</v>
      </c>
      <c r="AW902">
        <v>828.02</v>
      </c>
      <c r="AY902">
        <v>935.35400000000004</v>
      </c>
      <c r="AZ902">
        <v>969.71199999999999</v>
      </c>
      <c r="BA902">
        <v>15.3322</v>
      </c>
      <c r="BD902" t="s">
        <v>108</v>
      </c>
    </row>
    <row r="903" spans="1:56" x14ac:dyDescent="0.3">
      <c r="A903">
        <v>10902</v>
      </c>
      <c r="B903">
        <v>1</v>
      </c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1</v>
      </c>
      <c r="X903">
        <v>0</v>
      </c>
      <c r="Y903">
        <v>0</v>
      </c>
      <c r="Z903">
        <v>0</v>
      </c>
      <c r="AA903">
        <v>1</v>
      </c>
      <c r="AB903">
        <v>0</v>
      </c>
      <c r="AC903">
        <v>0</v>
      </c>
      <c r="AD903">
        <v>950</v>
      </c>
      <c r="AE903">
        <v>1</v>
      </c>
      <c r="AF903">
        <v>0</v>
      </c>
      <c r="AG903">
        <v>1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-1.8838999999999997</v>
      </c>
      <c r="AV903">
        <v>5.6083333333333334</v>
      </c>
      <c r="AW903">
        <v>828.02</v>
      </c>
      <c r="AY903">
        <v>730.33699999999999</v>
      </c>
      <c r="AZ903">
        <v>874.15700000000004</v>
      </c>
      <c r="BA903">
        <v>15.605399999999999</v>
      </c>
      <c r="BD903" t="s">
        <v>108</v>
      </c>
    </row>
    <row r="904" spans="1:56" x14ac:dyDescent="0.3">
      <c r="A904">
        <v>10903</v>
      </c>
      <c r="B904">
        <v>1</v>
      </c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1</v>
      </c>
      <c r="X904">
        <v>840</v>
      </c>
      <c r="Y904">
        <v>0</v>
      </c>
      <c r="Z904">
        <v>0</v>
      </c>
      <c r="AA904">
        <v>1</v>
      </c>
      <c r="AB904">
        <v>0</v>
      </c>
      <c r="AC904">
        <v>0</v>
      </c>
      <c r="AD904">
        <v>950</v>
      </c>
      <c r="AE904">
        <v>1</v>
      </c>
      <c r="AF904">
        <v>0</v>
      </c>
      <c r="AG904">
        <v>1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-1.8838999999999997</v>
      </c>
      <c r="AV904">
        <v>5.6083333333333334</v>
      </c>
      <c r="AW904">
        <v>828.02</v>
      </c>
      <c r="AY904">
        <v>833.26900000000001</v>
      </c>
      <c r="AZ904">
        <v>912.81700000000001</v>
      </c>
      <c r="BA904">
        <v>13.1175</v>
      </c>
      <c r="BD904" t="s">
        <v>108</v>
      </c>
    </row>
    <row r="905" spans="1:56" x14ac:dyDescent="0.3">
      <c r="A905">
        <v>10904</v>
      </c>
      <c r="B905">
        <v>1</v>
      </c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1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700</v>
      </c>
      <c r="AE905">
        <v>1</v>
      </c>
      <c r="AF905">
        <v>0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-0.45429999999999904</v>
      </c>
      <c r="AV905">
        <v>5.4416666666666664</v>
      </c>
      <c r="AW905">
        <v>817.81999999999994</v>
      </c>
      <c r="AY905">
        <v>865.71100000000001</v>
      </c>
      <c r="AZ905">
        <v>901.26700000000005</v>
      </c>
      <c r="BA905">
        <v>18.482099999999999</v>
      </c>
      <c r="BD905" t="s">
        <v>108</v>
      </c>
    </row>
    <row r="906" spans="1:56" x14ac:dyDescent="0.3">
      <c r="A906">
        <v>10905</v>
      </c>
      <c r="B906">
        <v>1</v>
      </c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1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800</v>
      </c>
      <c r="AE906">
        <v>1</v>
      </c>
      <c r="AF906">
        <v>0</v>
      </c>
      <c r="AG906">
        <v>1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-0.45429999999999904</v>
      </c>
      <c r="AV906">
        <v>5.4416666666666664</v>
      </c>
      <c r="AW906">
        <v>817.81999999999994</v>
      </c>
      <c r="AY906">
        <v>843.803</v>
      </c>
      <c r="AZ906">
        <v>903.82600000000002</v>
      </c>
      <c r="BA906">
        <v>19.017900000000001</v>
      </c>
      <c r="BD906" t="s">
        <v>108</v>
      </c>
    </row>
    <row r="907" spans="1:56" x14ac:dyDescent="0.3">
      <c r="A907">
        <v>10906</v>
      </c>
      <c r="B907">
        <v>1</v>
      </c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1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900</v>
      </c>
      <c r="AE907">
        <v>1</v>
      </c>
      <c r="AF907">
        <v>0</v>
      </c>
      <c r="AG907">
        <v>1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-0.45429999999999904</v>
      </c>
      <c r="AV907">
        <v>5.4416666666666664</v>
      </c>
      <c r="AW907">
        <v>817.81999999999994</v>
      </c>
      <c r="AY907">
        <v>806.33900000000006</v>
      </c>
      <c r="AZ907">
        <v>893.01800000000003</v>
      </c>
      <c r="BA907">
        <v>18.75</v>
      </c>
      <c r="BD907" t="s">
        <v>108</v>
      </c>
    </row>
    <row r="908" spans="1:56" x14ac:dyDescent="0.3">
      <c r="A908">
        <v>10907</v>
      </c>
      <c r="B908">
        <v>1</v>
      </c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1</v>
      </c>
      <c r="W908">
        <v>0</v>
      </c>
      <c r="X908">
        <v>0</v>
      </c>
      <c r="Y908">
        <v>0</v>
      </c>
      <c r="Z908">
        <v>1</v>
      </c>
      <c r="AA908">
        <v>0</v>
      </c>
      <c r="AB908">
        <v>0</v>
      </c>
      <c r="AC908">
        <v>0</v>
      </c>
      <c r="AD908">
        <v>950</v>
      </c>
      <c r="AE908">
        <v>1</v>
      </c>
      <c r="AF908">
        <v>0</v>
      </c>
      <c r="AG908">
        <v>1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-0.45429999999999904</v>
      </c>
      <c r="AV908">
        <v>5.4416666666666664</v>
      </c>
      <c r="AW908">
        <v>817.81999999999994</v>
      </c>
      <c r="AY908">
        <v>727.65</v>
      </c>
      <c r="AZ908">
        <v>883.16399999999999</v>
      </c>
      <c r="BA908">
        <v>18.214300000000001</v>
      </c>
      <c r="BD908" t="s">
        <v>108</v>
      </c>
    </row>
    <row r="909" spans="1:56" x14ac:dyDescent="0.3">
      <c r="A909">
        <v>10908</v>
      </c>
      <c r="B909">
        <v>1</v>
      </c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908</v>
      </c>
      <c r="Y909">
        <v>60</v>
      </c>
      <c r="Z909">
        <v>0</v>
      </c>
      <c r="AA909">
        <v>0</v>
      </c>
      <c r="AB909">
        <v>0</v>
      </c>
      <c r="AC909">
        <v>0</v>
      </c>
      <c r="AD909">
        <v>800</v>
      </c>
      <c r="AE909">
        <v>4</v>
      </c>
      <c r="AF909">
        <v>1</v>
      </c>
      <c r="AG909">
        <v>0</v>
      </c>
      <c r="AH909">
        <v>0</v>
      </c>
      <c r="AI909">
        <v>640</v>
      </c>
      <c r="AJ909">
        <v>8</v>
      </c>
      <c r="AK909">
        <v>0</v>
      </c>
      <c r="AL909">
        <v>1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5.3299999999999992</v>
      </c>
      <c r="AV909">
        <v>5.8966666666666665</v>
      </c>
      <c r="AW909">
        <v>814.01800000000014</v>
      </c>
      <c r="AY909">
        <v>1184.5</v>
      </c>
      <c r="AZ909">
        <v>1220</v>
      </c>
      <c r="BA909">
        <v>11.75</v>
      </c>
      <c r="BD909" t="s">
        <v>108</v>
      </c>
    </row>
    <row r="910" spans="1:56" x14ac:dyDescent="0.3">
      <c r="A910">
        <v>10909</v>
      </c>
      <c r="B910">
        <v>1</v>
      </c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918</v>
      </c>
      <c r="Y910">
        <v>60</v>
      </c>
      <c r="Z910">
        <v>0</v>
      </c>
      <c r="AA910">
        <v>0</v>
      </c>
      <c r="AB910">
        <v>0</v>
      </c>
      <c r="AC910">
        <v>0</v>
      </c>
      <c r="AD910">
        <v>800</v>
      </c>
      <c r="AE910">
        <v>4</v>
      </c>
      <c r="AF910">
        <v>1</v>
      </c>
      <c r="AG910">
        <v>0</v>
      </c>
      <c r="AH910">
        <v>0</v>
      </c>
      <c r="AI910">
        <v>640</v>
      </c>
      <c r="AJ910">
        <v>8</v>
      </c>
      <c r="AK910">
        <v>0</v>
      </c>
      <c r="AL910">
        <v>1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5.3299999999999992</v>
      </c>
      <c r="AV910">
        <v>5.8966666666666665</v>
      </c>
      <c r="AW910">
        <v>814.01800000000014</v>
      </c>
      <c r="AY910">
        <v>1176</v>
      </c>
      <c r="AZ910">
        <v>1208</v>
      </c>
      <c r="BA910">
        <v>12.25</v>
      </c>
      <c r="BD910" t="s">
        <v>108</v>
      </c>
    </row>
    <row r="911" spans="1:56" x14ac:dyDescent="0.3">
      <c r="A911">
        <v>10910</v>
      </c>
      <c r="B911">
        <v>1</v>
      </c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928</v>
      </c>
      <c r="Y911">
        <v>60</v>
      </c>
      <c r="Z911">
        <v>0</v>
      </c>
      <c r="AA911">
        <v>0</v>
      </c>
      <c r="AB911">
        <v>0</v>
      </c>
      <c r="AC911">
        <v>0</v>
      </c>
      <c r="AD911">
        <v>800</v>
      </c>
      <c r="AE911">
        <v>4</v>
      </c>
      <c r="AF911">
        <v>1</v>
      </c>
      <c r="AG911">
        <v>0</v>
      </c>
      <c r="AH911">
        <v>0</v>
      </c>
      <c r="AI911">
        <v>640</v>
      </c>
      <c r="AJ911">
        <v>8</v>
      </c>
      <c r="AK911">
        <v>0</v>
      </c>
      <c r="AL911">
        <v>1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5.3299999999999992</v>
      </c>
      <c r="AV911">
        <v>5.8966666666666665</v>
      </c>
      <c r="AW911">
        <v>814.01800000000014</v>
      </c>
      <c r="AY911">
        <v>1224.5</v>
      </c>
      <c r="AZ911">
        <v>1256.5</v>
      </c>
      <c r="BA911">
        <v>9.75</v>
      </c>
      <c r="BD911" t="s">
        <v>108</v>
      </c>
    </row>
    <row r="912" spans="1:56" x14ac:dyDescent="0.3">
      <c r="A912">
        <v>10911</v>
      </c>
      <c r="B912">
        <v>1</v>
      </c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1</v>
      </c>
      <c r="X912">
        <v>918</v>
      </c>
      <c r="Y912">
        <v>30</v>
      </c>
      <c r="Z912">
        <v>0</v>
      </c>
      <c r="AA912">
        <v>0</v>
      </c>
      <c r="AB912">
        <v>0</v>
      </c>
      <c r="AC912">
        <v>0</v>
      </c>
      <c r="AD912">
        <v>800</v>
      </c>
      <c r="AE912">
        <v>4</v>
      </c>
      <c r="AF912">
        <v>1</v>
      </c>
      <c r="AG912">
        <v>0</v>
      </c>
      <c r="AH912">
        <v>0</v>
      </c>
      <c r="AI912">
        <v>640</v>
      </c>
      <c r="AJ912">
        <v>8</v>
      </c>
      <c r="AK912">
        <v>0</v>
      </c>
      <c r="AL912">
        <v>1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5.3299999999999992</v>
      </c>
      <c r="AV912">
        <v>5.8966666666666665</v>
      </c>
      <c r="AW912">
        <v>814.01800000000014</v>
      </c>
      <c r="AY912">
        <v>1178</v>
      </c>
      <c r="AZ912">
        <v>1212.5</v>
      </c>
      <c r="BA912">
        <v>12.75</v>
      </c>
      <c r="BD912" t="s">
        <v>108</v>
      </c>
    </row>
    <row r="913" spans="1:56" x14ac:dyDescent="0.3">
      <c r="A913">
        <v>10912</v>
      </c>
      <c r="B913">
        <v>1</v>
      </c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</v>
      </c>
      <c r="X913">
        <v>918</v>
      </c>
      <c r="Y913">
        <v>45</v>
      </c>
      <c r="Z913">
        <v>0</v>
      </c>
      <c r="AA913">
        <v>0</v>
      </c>
      <c r="AB913">
        <v>0</v>
      </c>
      <c r="AC913">
        <v>0</v>
      </c>
      <c r="AD913">
        <v>800</v>
      </c>
      <c r="AE913">
        <v>4</v>
      </c>
      <c r="AF913">
        <v>1</v>
      </c>
      <c r="AG913">
        <v>0</v>
      </c>
      <c r="AH913">
        <v>0</v>
      </c>
      <c r="AI913">
        <v>640</v>
      </c>
      <c r="AJ913">
        <v>8</v>
      </c>
      <c r="AK913">
        <v>0</v>
      </c>
      <c r="AL913">
        <v>1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5.3299999999999992</v>
      </c>
      <c r="AV913">
        <v>5.8966666666666665</v>
      </c>
      <c r="AW913">
        <v>814.01800000000014</v>
      </c>
      <c r="AY913">
        <v>1226.5</v>
      </c>
      <c r="AZ913">
        <v>1258</v>
      </c>
      <c r="BA913">
        <v>12</v>
      </c>
      <c r="BD913" t="s">
        <v>108</v>
      </c>
    </row>
    <row r="914" spans="1:56" x14ac:dyDescent="0.3">
      <c r="A914">
        <v>10913</v>
      </c>
      <c r="B914">
        <v>1</v>
      </c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1</v>
      </c>
      <c r="X914">
        <v>918</v>
      </c>
      <c r="Y914">
        <v>60</v>
      </c>
      <c r="Z914">
        <v>0</v>
      </c>
      <c r="AA914">
        <v>0</v>
      </c>
      <c r="AB914">
        <v>0</v>
      </c>
      <c r="AC914">
        <v>0</v>
      </c>
      <c r="AD914">
        <v>800</v>
      </c>
      <c r="AE914">
        <v>4</v>
      </c>
      <c r="AF914">
        <v>1</v>
      </c>
      <c r="AG914">
        <v>0</v>
      </c>
      <c r="AH914">
        <v>0</v>
      </c>
      <c r="AI914">
        <v>620</v>
      </c>
      <c r="AJ914">
        <v>8</v>
      </c>
      <c r="AK914">
        <v>0</v>
      </c>
      <c r="AL914">
        <v>1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5.3299999999999992</v>
      </c>
      <c r="AV914">
        <v>5.8966666666666665</v>
      </c>
      <c r="AW914">
        <v>814.01800000000014</v>
      </c>
      <c r="AY914">
        <v>1259.5</v>
      </c>
      <c r="AZ914">
        <v>1296.5</v>
      </c>
      <c r="BA914">
        <v>10.5</v>
      </c>
      <c r="BD914" t="s">
        <v>108</v>
      </c>
    </row>
    <row r="915" spans="1:56" x14ac:dyDescent="0.3">
      <c r="A915">
        <v>10914</v>
      </c>
      <c r="B915">
        <v>1</v>
      </c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1</v>
      </c>
      <c r="X915">
        <v>918</v>
      </c>
      <c r="Y915">
        <v>60</v>
      </c>
      <c r="Z915">
        <v>0</v>
      </c>
      <c r="AA915">
        <v>0</v>
      </c>
      <c r="AB915">
        <v>0</v>
      </c>
      <c r="AC915">
        <v>0</v>
      </c>
      <c r="AD915">
        <v>800</v>
      </c>
      <c r="AE915">
        <v>4</v>
      </c>
      <c r="AF915">
        <v>1</v>
      </c>
      <c r="AG915">
        <v>0</v>
      </c>
      <c r="AH915">
        <v>0</v>
      </c>
      <c r="AI915">
        <v>680</v>
      </c>
      <c r="AJ915">
        <v>8</v>
      </c>
      <c r="AK915">
        <v>0</v>
      </c>
      <c r="AL915">
        <v>1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5.3299999999999992</v>
      </c>
      <c r="AV915">
        <v>5.8966666666666665</v>
      </c>
      <c r="AW915">
        <v>814.01800000000014</v>
      </c>
      <c r="AY915">
        <v>1151.5</v>
      </c>
      <c r="AZ915">
        <v>1176</v>
      </c>
      <c r="BA915">
        <v>15</v>
      </c>
      <c r="BD915" t="s">
        <v>108</v>
      </c>
    </row>
    <row r="916" spans="1:56" x14ac:dyDescent="0.3">
      <c r="A916">
        <v>10915</v>
      </c>
      <c r="B916">
        <v>1</v>
      </c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X916">
        <v>0</v>
      </c>
      <c r="Y916">
        <v>0</v>
      </c>
      <c r="Z916">
        <v>1</v>
      </c>
      <c r="AA916">
        <v>0</v>
      </c>
      <c r="AB916">
        <v>0</v>
      </c>
      <c r="AC916">
        <v>0</v>
      </c>
      <c r="AD916">
        <v>750</v>
      </c>
      <c r="AE916">
        <v>3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1.7400000000000002</v>
      </c>
      <c r="AV916">
        <v>4</v>
      </c>
      <c r="AW916">
        <v>837.15</v>
      </c>
      <c r="AY916">
        <v>864</v>
      </c>
      <c r="AZ916">
        <v>927</v>
      </c>
      <c r="BA916">
        <v>20</v>
      </c>
      <c r="BD916" t="s">
        <v>108</v>
      </c>
    </row>
    <row r="917" spans="1:56" x14ac:dyDescent="0.3">
      <c r="A917">
        <v>10916</v>
      </c>
      <c r="B917">
        <v>1</v>
      </c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1</v>
      </c>
      <c r="W917">
        <v>0</v>
      </c>
      <c r="X917">
        <v>0</v>
      </c>
      <c r="Y917">
        <v>0</v>
      </c>
      <c r="Z917">
        <v>1</v>
      </c>
      <c r="AA917">
        <v>0</v>
      </c>
      <c r="AB917">
        <v>0</v>
      </c>
      <c r="AC917">
        <v>0</v>
      </c>
      <c r="AD917">
        <v>800</v>
      </c>
      <c r="AE917">
        <v>3</v>
      </c>
      <c r="AF917">
        <v>0</v>
      </c>
      <c r="AG917">
        <v>1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1.7400000000000002</v>
      </c>
      <c r="AV917">
        <v>4</v>
      </c>
      <c r="AW917">
        <v>837.15</v>
      </c>
      <c r="AY917">
        <v>896</v>
      </c>
      <c r="AZ917">
        <v>971</v>
      </c>
      <c r="BA917">
        <v>19</v>
      </c>
      <c r="BD917" t="s">
        <v>108</v>
      </c>
    </row>
    <row r="918" spans="1:56" x14ac:dyDescent="0.3">
      <c r="A918">
        <v>10917</v>
      </c>
      <c r="B918">
        <v>1</v>
      </c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1</v>
      </c>
      <c r="W918">
        <v>0</v>
      </c>
      <c r="X918">
        <v>0</v>
      </c>
      <c r="Y918">
        <v>0</v>
      </c>
      <c r="Z918">
        <v>1</v>
      </c>
      <c r="AA918">
        <v>0</v>
      </c>
      <c r="AB918">
        <v>0</v>
      </c>
      <c r="AC918">
        <v>0</v>
      </c>
      <c r="AD918">
        <v>850</v>
      </c>
      <c r="AE918">
        <v>3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1.7400000000000002</v>
      </c>
      <c r="AV918">
        <v>4</v>
      </c>
      <c r="AW918">
        <v>837.15</v>
      </c>
      <c r="AY918">
        <v>902</v>
      </c>
      <c r="AZ918">
        <v>991</v>
      </c>
      <c r="BA918">
        <v>19.399999999999999</v>
      </c>
      <c r="BD918" t="s">
        <v>108</v>
      </c>
    </row>
    <row r="919" spans="1:56" x14ac:dyDescent="0.3">
      <c r="A919">
        <v>10918</v>
      </c>
      <c r="B919">
        <v>1</v>
      </c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X919">
        <v>0</v>
      </c>
      <c r="Y919">
        <v>0</v>
      </c>
      <c r="Z919">
        <v>1</v>
      </c>
      <c r="AA919">
        <v>0</v>
      </c>
      <c r="AB919">
        <v>0</v>
      </c>
      <c r="AC919">
        <v>0</v>
      </c>
      <c r="AD919">
        <v>870</v>
      </c>
      <c r="AE919">
        <v>3</v>
      </c>
      <c r="AF919">
        <v>0</v>
      </c>
      <c r="AG919">
        <v>1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1.7400000000000002</v>
      </c>
      <c r="AV919">
        <v>4</v>
      </c>
      <c r="AW919">
        <v>837.15</v>
      </c>
      <c r="AY919">
        <v>896</v>
      </c>
      <c r="AZ919">
        <v>977</v>
      </c>
      <c r="BA919">
        <v>21</v>
      </c>
      <c r="BD919" t="s">
        <v>108</v>
      </c>
    </row>
    <row r="920" spans="1:56" x14ac:dyDescent="0.3">
      <c r="A920">
        <v>10919</v>
      </c>
      <c r="B920">
        <v>1</v>
      </c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1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900</v>
      </c>
      <c r="AE920">
        <v>3</v>
      </c>
      <c r="AF920">
        <v>0</v>
      </c>
      <c r="AG920">
        <v>1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1.7400000000000002</v>
      </c>
      <c r="AV920">
        <v>4</v>
      </c>
      <c r="AW920">
        <v>837.15</v>
      </c>
      <c r="AY920">
        <v>897</v>
      </c>
      <c r="AZ920">
        <v>998</v>
      </c>
      <c r="BA920">
        <v>11.1</v>
      </c>
      <c r="BD920" t="s">
        <v>108</v>
      </c>
    </row>
    <row r="921" spans="1:56" x14ac:dyDescent="0.3">
      <c r="A921">
        <v>10920</v>
      </c>
      <c r="B921">
        <v>1</v>
      </c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850</v>
      </c>
      <c r="AE921">
        <v>3</v>
      </c>
      <c r="AF921">
        <v>0</v>
      </c>
      <c r="AG921">
        <v>0</v>
      </c>
      <c r="AH921">
        <v>1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1.7400000000000002</v>
      </c>
      <c r="AV921">
        <v>4</v>
      </c>
      <c r="AW921">
        <v>837.15</v>
      </c>
      <c r="AY921">
        <v>855</v>
      </c>
      <c r="AZ921">
        <v>909</v>
      </c>
      <c r="BA921">
        <v>23</v>
      </c>
      <c r="BD921" t="s">
        <v>108</v>
      </c>
    </row>
    <row r="922" spans="1:56" x14ac:dyDescent="0.3">
      <c r="A922">
        <v>10921</v>
      </c>
      <c r="B922">
        <v>1</v>
      </c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1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870</v>
      </c>
      <c r="AE922">
        <v>3</v>
      </c>
      <c r="AF922">
        <v>0</v>
      </c>
      <c r="AG922">
        <v>0</v>
      </c>
      <c r="AH922">
        <v>1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1.7400000000000002</v>
      </c>
      <c r="AV922">
        <v>4</v>
      </c>
      <c r="AW922">
        <v>837.15</v>
      </c>
      <c r="AY922">
        <v>849</v>
      </c>
      <c r="AZ922">
        <v>911</v>
      </c>
      <c r="BA922">
        <v>23</v>
      </c>
      <c r="BD922" t="s">
        <v>108</v>
      </c>
    </row>
    <row r="923" spans="1:56" x14ac:dyDescent="0.3">
      <c r="A923">
        <v>10922</v>
      </c>
      <c r="B923">
        <v>1</v>
      </c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1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980</v>
      </c>
      <c r="AE923">
        <v>3</v>
      </c>
      <c r="AF923">
        <v>0</v>
      </c>
      <c r="AG923">
        <v>0</v>
      </c>
      <c r="AH923">
        <v>1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1.7400000000000002</v>
      </c>
      <c r="AV923">
        <v>4</v>
      </c>
      <c r="AW923">
        <v>837.15</v>
      </c>
      <c r="AY923">
        <v>819</v>
      </c>
      <c r="AZ923">
        <v>906</v>
      </c>
      <c r="BA923">
        <v>10.5</v>
      </c>
      <c r="BD923" t="s">
        <v>108</v>
      </c>
    </row>
    <row r="924" spans="1:56" x14ac:dyDescent="0.3">
      <c r="A924">
        <v>10923</v>
      </c>
      <c r="B924">
        <v>1</v>
      </c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750</v>
      </c>
      <c r="AE924">
        <v>3</v>
      </c>
      <c r="AF924">
        <v>0</v>
      </c>
      <c r="AG924">
        <v>1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0.74000000000000021</v>
      </c>
      <c r="AV924">
        <v>4</v>
      </c>
      <c r="AW924">
        <v>846.65</v>
      </c>
      <c r="AY924">
        <v>863.15599999999995</v>
      </c>
      <c r="BA924">
        <v>18.286000000000001</v>
      </c>
      <c r="BD924" t="s">
        <v>108</v>
      </c>
    </row>
    <row r="925" spans="1:56" x14ac:dyDescent="0.3">
      <c r="A925">
        <v>10924</v>
      </c>
      <c r="B925">
        <v>1</v>
      </c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1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800</v>
      </c>
      <c r="AE925">
        <v>3</v>
      </c>
      <c r="AF925">
        <v>0</v>
      </c>
      <c r="AG925">
        <v>1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0.74000000000000021</v>
      </c>
      <c r="AV925">
        <v>4</v>
      </c>
      <c r="AW925">
        <v>846.65</v>
      </c>
      <c r="AY925">
        <v>858.43299999999999</v>
      </c>
      <c r="BD925" t="s">
        <v>108</v>
      </c>
    </row>
    <row r="926" spans="1:56" x14ac:dyDescent="0.3">
      <c r="A926">
        <v>10925</v>
      </c>
      <c r="B926">
        <v>1</v>
      </c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1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850</v>
      </c>
      <c r="AE926">
        <v>3</v>
      </c>
      <c r="AF926">
        <v>0</v>
      </c>
      <c r="AG926">
        <v>1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0.74000000000000021</v>
      </c>
      <c r="AV926">
        <v>4</v>
      </c>
      <c r="AW926">
        <v>846.65</v>
      </c>
      <c r="AY926">
        <v>845.18600000000004</v>
      </c>
      <c r="BD926" t="s">
        <v>108</v>
      </c>
    </row>
    <row r="927" spans="1:56" x14ac:dyDescent="0.3">
      <c r="A927">
        <v>10926</v>
      </c>
      <c r="B927">
        <v>1</v>
      </c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1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750</v>
      </c>
      <c r="AE927">
        <v>3</v>
      </c>
      <c r="AF927">
        <v>0</v>
      </c>
      <c r="AG927">
        <v>1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1.2400000000000002</v>
      </c>
      <c r="AV927">
        <v>4</v>
      </c>
      <c r="AW927">
        <v>841.9</v>
      </c>
      <c r="AY927">
        <v>863.524</v>
      </c>
      <c r="BA927">
        <v>20.226099999999999</v>
      </c>
      <c r="BD927" t="s">
        <v>108</v>
      </c>
    </row>
    <row r="928" spans="1:56" x14ac:dyDescent="0.3">
      <c r="A928">
        <v>10927</v>
      </c>
      <c r="B928">
        <v>1</v>
      </c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1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800</v>
      </c>
      <c r="AE928">
        <v>3</v>
      </c>
      <c r="AF928">
        <v>0</v>
      </c>
      <c r="AG928">
        <v>1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1.2400000000000002</v>
      </c>
      <c r="AV928">
        <v>4</v>
      </c>
      <c r="AW928">
        <v>841.9</v>
      </c>
      <c r="AY928">
        <v>872.68399999999997</v>
      </c>
      <c r="BD928" t="s">
        <v>108</v>
      </c>
    </row>
    <row r="929" spans="1:56" x14ac:dyDescent="0.3">
      <c r="A929">
        <v>10928</v>
      </c>
      <c r="B929">
        <v>1</v>
      </c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1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850</v>
      </c>
      <c r="AE929">
        <v>3</v>
      </c>
      <c r="AF929">
        <v>0</v>
      </c>
      <c r="AG929">
        <v>1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1.2400000000000002</v>
      </c>
      <c r="AV929">
        <v>4</v>
      </c>
      <c r="AW929">
        <v>841.9</v>
      </c>
      <c r="AY929">
        <v>862.91300000000001</v>
      </c>
      <c r="BD929" t="s">
        <v>108</v>
      </c>
    </row>
    <row r="930" spans="1:56" x14ac:dyDescent="0.3">
      <c r="A930">
        <v>10929</v>
      </c>
      <c r="B930">
        <v>1</v>
      </c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5.3500000000000005</v>
      </c>
      <c r="AV930">
        <v>0.33333333333333331</v>
      </c>
      <c r="AW930">
        <v>867.2</v>
      </c>
      <c r="AX930">
        <v>76</v>
      </c>
    </row>
    <row r="931" spans="1:56" x14ac:dyDescent="0.3">
      <c r="A931">
        <v>10930</v>
      </c>
      <c r="B931">
        <v>1</v>
      </c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1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6.6000000000000005</v>
      </c>
      <c r="AV931">
        <v>0.33333333333333331</v>
      </c>
      <c r="AW931">
        <v>857.7</v>
      </c>
      <c r="AX931">
        <v>73</v>
      </c>
    </row>
    <row r="932" spans="1:56" x14ac:dyDescent="0.3">
      <c r="A932">
        <v>10931</v>
      </c>
      <c r="B932">
        <v>1</v>
      </c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1</v>
      </c>
      <c r="W932">
        <v>0</v>
      </c>
      <c r="X932">
        <v>0</v>
      </c>
      <c r="Y932">
        <v>0</v>
      </c>
      <c r="Z932">
        <v>1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4.4800000000000004</v>
      </c>
      <c r="AV932">
        <v>1.4</v>
      </c>
      <c r="AW932">
        <v>874.43999999999994</v>
      </c>
      <c r="AX932">
        <v>47</v>
      </c>
    </row>
    <row r="933" spans="1:56" x14ac:dyDescent="0.3">
      <c r="A933">
        <v>10932</v>
      </c>
      <c r="B933">
        <v>1</v>
      </c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X933">
        <v>0</v>
      </c>
      <c r="Y933">
        <v>0</v>
      </c>
      <c r="Z933">
        <v>1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4.0980000000000008</v>
      </c>
      <c r="AV933">
        <v>1.5166666666666666</v>
      </c>
      <c r="AW933">
        <v>889.41</v>
      </c>
      <c r="AX933">
        <v>48.1</v>
      </c>
    </row>
    <row r="934" spans="1:56" x14ac:dyDescent="0.3">
      <c r="A934">
        <v>10933</v>
      </c>
      <c r="B934">
        <v>1</v>
      </c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1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4.508</v>
      </c>
      <c r="AV934">
        <v>1.4</v>
      </c>
      <c r="AW934">
        <v>874.43999999999994</v>
      </c>
      <c r="AX934">
        <v>47</v>
      </c>
    </row>
    <row r="935" spans="1:56" x14ac:dyDescent="0.3">
      <c r="A935">
        <v>10934</v>
      </c>
      <c r="B935">
        <v>1</v>
      </c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1</v>
      </c>
      <c r="W935">
        <v>0</v>
      </c>
      <c r="X935">
        <v>0</v>
      </c>
      <c r="Y935">
        <v>0</v>
      </c>
      <c r="Z935">
        <v>1</v>
      </c>
      <c r="AA935">
        <v>0</v>
      </c>
      <c r="AB935">
        <v>0</v>
      </c>
      <c r="AC935">
        <v>0</v>
      </c>
      <c r="AD935">
        <v>950</v>
      </c>
      <c r="AE935">
        <v>1</v>
      </c>
      <c r="AF935">
        <v>1</v>
      </c>
      <c r="AG935">
        <v>0</v>
      </c>
      <c r="AH935">
        <v>0</v>
      </c>
      <c r="AI935">
        <v>650</v>
      </c>
      <c r="AJ935">
        <v>6</v>
      </c>
      <c r="AK935">
        <v>0</v>
      </c>
      <c r="AL935">
        <v>1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-5.8415999999999997</v>
      </c>
      <c r="AV935">
        <v>7.5333333333333332</v>
      </c>
      <c r="AW935">
        <v>881.52</v>
      </c>
      <c r="AY935">
        <v>899</v>
      </c>
      <c r="AZ935">
        <v>990</v>
      </c>
      <c r="BA935">
        <v>3.9</v>
      </c>
      <c r="BD935" t="s">
        <v>108</v>
      </c>
    </row>
    <row r="936" spans="1:56" x14ac:dyDescent="0.3">
      <c r="A936">
        <v>10935</v>
      </c>
      <c r="B936">
        <v>1</v>
      </c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1</v>
      </c>
      <c r="W936">
        <v>0</v>
      </c>
      <c r="X936">
        <v>0</v>
      </c>
      <c r="Y936">
        <v>0</v>
      </c>
      <c r="Z936">
        <v>1</v>
      </c>
      <c r="AA936">
        <v>0</v>
      </c>
      <c r="AB936">
        <v>0</v>
      </c>
      <c r="AC936">
        <v>0</v>
      </c>
      <c r="AD936">
        <v>950</v>
      </c>
      <c r="AE936">
        <v>1</v>
      </c>
      <c r="AF936">
        <v>1</v>
      </c>
      <c r="AG936">
        <v>0</v>
      </c>
      <c r="AH936">
        <v>0</v>
      </c>
      <c r="AI936">
        <v>650</v>
      </c>
      <c r="AJ936">
        <v>6</v>
      </c>
      <c r="AK936">
        <v>0</v>
      </c>
      <c r="AL936">
        <v>1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-5.8963999999999999</v>
      </c>
      <c r="AV936">
        <v>7.5333333333333332</v>
      </c>
      <c r="AW936">
        <v>881.52</v>
      </c>
      <c r="AY936">
        <v>898</v>
      </c>
      <c r="AZ936">
        <v>990</v>
      </c>
      <c r="BA936">
        <v>4.0999999999999996</v>
      </c>
      <c r="BD936" t="s">
        <v>108</v>
      </c>
    </row>
    <row r="937" spans="1:56" x14ac:dyDescent="0.3">
      <c r="A937">
        <v>10936</v>
      </c>
      <c r="B937">
        <v>1</v>
      </c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1</v>
      </c>
      <c r="X937">
        <v>0</v>
      </c>
      <c r="Y937">
        <v>0</v>
      </c>
      <c r="Z937">
        <v>0</v>
      </c>
      <c r="AA937">
        <v>1</v>
      </c>
      <c r="AB937">
        <v>0</v>
      </c>
      <c r="AC937">
        <v>0</v>
      </c>
      <c r="AD937">
        <f>AW937</f>
        <v>813.73099999999999</v>
      </c>
      <c r="AE937">
        <v>0</v>
      </c>
      <c r="AF937">
        <v>1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13.6058</v>
      </c>
      <c r="AV937">
        <v>0.80833333333333346</v>
      </c>
      <c r="AW937">
        <v>813.73099999999999</v>
      </c>
      <c r="AX937">
        <v>81</v>
      </c>
      <c r="AY937">
        <v>588</v>
      </c>
      <c r="BD937" t="s">
        <v>60</v>
      </c>
    </row>
    <row r="938" spans="1:56" x14ac:dyDescent="0.3">
      <c r="A938">
        <v>10937</v>
      </c>
      <c r="B938">
        <v>1</v>
      </c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29.94</v>
      </c>
      <c r="AV938">
        <v>3.5</v>
      </c>
      <c r="AW938">
        <v>547.1</v>
      </c>
      <c r="AX938">
        <v>153</v>
      </c>
      <c r="AY938">
        <v>1390</v>
      </c>
      <c r="BD938" t="s">
        <v>60</v>
      </c>
    </row>
    <row r="939" spans="1:56" x14ac:dyDescent="0.3">
      <c r="A939">
        <v>10938</v>
      </c>
      <c r="B939">
        <v>1</v>
      </c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1</v>
      </c>
      <c r="X939">
        <v>0</v>
      </c>
      <c r="Y939">
        <v>0</v>
      </c>
      <c r="Z939">
        <v>0</v>
      </c>
      <c r="AA939">
        <v>1</v>
      </c>
      <c r="AB939">
        <v>0</v>
      </c>
      <c r="AC939">
        <v>0</v>
      </c>
      <c r="AD939">
        <f>AW939</f>
        <v>805.2</v>
      </c>
      <c r="AE939">
        <v>0</v>
      </c>
      <c r="AF939">
        <v>1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7.1700000000000017</v>
      </c>
      <c r="AV939">
        <v>1</v>
      </c>
      <c r="AW939">
        <v>805.2</v>
      </c>
      <c r="AX939">
        <v>71.2</v>
      </c>
      <c r="AY939">
        <v>849</v>
      </c>
      <c r="BD939" t="s">
        <v>60</v>
      </c>
    </row>
    <row r="940" spans="1:56" x14ac:dyDescent="0.3">
      <c r="A940">
        <v>10939</v>
      </c>
      <c r="B940">
        <v>1</v>
      </c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1</v>
      </c>
      <c r="X940">
        <v>0</v>
      </c>
      <c r="Y940">
        <v>0</v>
      </c>
      <c r="Z940">
        <v>0</v>
      </c>
      <c r="AA940">
        <v>1</v>
      </c>
      <c r="AB940">
        <v>0</v>
      </c>
      <c r="AC940">
        <v>0</v>
      </c>
      <c r="AD940">
        <f>AW940</f>
        <v>798.98299999999995</v>
      </c>
      <c r="AE940">
        <v>0</v>
      </c>
      <c r="AF940">
        <v>1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-0.8725000000000005</v>
      </c>
      <c r="AV940">
        <v>10.14</v>
      </c>
      <c r="AW940">
        <v>798.98299999999995</v>
      </c>
      <c r="AX940">
        <v>115</v>
      </c>
      <c r="AY940">
        <v>636</v>
      </c>
      <c r="BC940" t="s">
        <v>353</v>
      </c>
      <c r="BD940" t="s">
        <v>60</v>
      </c>
    </row>
    <row r="941" spans="1:56" x14ac:dyDescent="0.3">
      <c r="A941">
        <v>10940</v>
      </c>
      <c r="B941">
        <v>1</v>
      </c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1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600</v>
      </c>
      <c r="AJ941">
        <v>6</v>
      </c>
      <c r="AK941">
        <v>0</v>
      </c>
      <c r="AL941">
        <v>1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8.64</v>
      </c>
      <c r="AV941">
        <v>5.333333333333333</v>
      </c>
      <c r="AW941">
        <v>774.15000000000009</v>
      </c>
      <c r="AZ941">
        <v>1224.3</v>
      </c>
      <c r="BA941">
        <v>5.2</v>
      </c>
      <c r="BC941" t="s">
        <v>353</v>
      </c>
      <c r="BD941" t="s">
        <v>195</v>
      </c>
    </row>
    <row r="942" spans="1:56" x14ac:dyDescent="0.3">
      <c r="A942">
        <v>10941</v>
      </c>
      <c r="B942">
        <v>1</v>
      </c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1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800</v>
      </c>
      <c r="AE942">
        <v>0.5</v>
      </c>
      <c r="AF942">
        <v>0</v>
      </c>
      <c r="AG942">
        <v>0</v>
      </c>
      <c r="AH942">
        <v>1</v>
      </c>
      <c r="AI942">
        <v>600</v>
      </c>
      <c r="AJ942">
        <v>6</v>
      </c>
      <c r="AK942">
        <v>0</v>
      </c>
      <c r="AL942">
        <v>1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8.64</v>
      </c>
      <c r="AV942">
        <v>5.333333333333333</v>
      </c>
      <c r="AW942">
        <v>774.15000000000009</v>
      </c>
      <c r="AZ942">
        <v>1125.4000000000001</v>
      </c>
      <c r="BA942">
        <v>18.3</v>
      </c>
      <c r="BC942" t="s">
        <v>353</v>
      </c>
      <c r="BD942" t="s">
        <v>195</v>
      </c>
    </row>
    <row r="943" spans="1:56" x14ac:dyDescent="0.3">
      <c r="A943">
        <v>10942</v>
      </c>
      <c r="B943">
        <v>1</v>
      </c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1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800</v>
      </c>
      <c r="AE943">
        <v>0.5</v>
      </c>
      <c r="AF943">
        <v>1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8.64</v>
      </c>
      <c r="AV943">
        <v>5.333333333333333</v>
      </c>
      <c r="AW943">
        <v>774.15000000000009</v>
      </c>
      <c r="AZ943">
        <v>886.9</v>
      </c>
      <c r="BA943">
        <v>19.2</v>
      </c>
      <c r="BC943" t="s">
        <v>353</v>
      </c>
      <c r="BD943" t="s">
        <v>195</v>
      </c>
    </row>
    <row r="944" spans="1:56" x14ac:dyDescent="0.3">
      <c r="A944">
        <v>10943</v>
      </c>
      <c r="B944">
        <v>1</v>
      </c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20</v>
      </c>
      <c r="Y944">
        <v>80</v>
      </c>
      <c r="Z944">
        <v>0</v>
      </c>
      <c r="AA944">
        <v>1</v>
      </c>
      <c r="AB944">
        <v>0</v>
      </c>
      <c r="AC944">
        <v>0</v>
      </c>
      <c r="AD944">
        <v>765</v>
      </c>
      <c r="AE944">
        <v>0.33</v>
      </c>
      <c r="AF944">
        <v>0</v>
      </c>
      <c r="AG944">
        <v>1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12.0062</v>
      </c>
      <c r="AV944">
        <v>3.1666666666666665</v>
      </c>
      <c r="AW944">
        <v>707.99899999999991</v>
      </c>
      <c r="AZ944">
        <v>807</v>
      </c>
      <c r="BA944">
        <v>18.399999999999999</v>
      </c>
      <c r="BC944" t="s">
        <v>353</v>
      </c>
      <c r="BD944" t="s">
        <v>197</v>
      </c>
    </row>
    <row r="945" spans="1:56" x14ac:dyDescent="0.3">
      <c r="A945">
        <v>10944</v>
      </c>
      <c r="B945">
        <v>1</v>
      </c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20</v>
      </c>
      <c r="Y945">
        <v>80</v>
      </c>
      <c r="Z945">
        <v>0</v>
      </c>
      <c r="AA945">
        <v>1</v>
      </c>
      <c r="AB945">
        <v>0</v>
      </c>
      <c r="AC945">
        <v>0</v>
      </c>
      <c r="AD945">
        <v>765</v>
      </c>
      <c r="AE945">
        <v>0.33</v>
      </c>
      <c r="AF945">
        <v>0</v>
      </c>
      <c r="AG945">
        <v>1</v>
      </c>
      <c r="AH945">
        <v>0</v>
      </c>
      <c r="AI945">
        <v>500</v>
      </c>
      <c r="AJ945">
        <v>6</v>
      </c>
      <c r="AK945">
        <v>0</v>
      </c>
      <c r="AL945">
        <v>1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12.0062</v>
      </c>
      <c r="AV945">
        <v>3.1666666666666665</v>
      </c>
      <c r="AW945">
        <v>707.99899999999991</v>
      </c>
      <c r="AZ945">
        <v>1390.3</v>
      </c>
      <c r="BA945">
        <v>6.1</v>
      </c>
      <c r="BC945" t="s">
        <v>353</v>
      </c>
      <c r="BD945" t="s">
        <v>197</v>
      </c>
    </row>
    <row r="946" spans="1:56" x14ac:dyDescent="0.3">
      <c r="A946">
        <v>10945</v>
      </c>
      <c r="B946">
        <v>1</v>
      </c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20</v>
      </c>
      <c r="Y946">
        <v>80</v>
      </c>
      <c r="Z946">
        <v>0</v>
      </c>
      <c r="AA946">
        <v>1</v>
      </c>
      <c r="AB946">
        <v>0</v>
      </c>
      <c r="AC946">
        <v>0</v>
      </c>
      <c r="AD946">
        <v>765</v>
      </c>
      <c r="AE946">
        <v>0.33</v>
      </c>
      <c r="AF946">
        <v>0</v>
      </c>
      <c r="AG946">
        <v>1</v>
      </c>
      <c r="AH946">
        <v>0</v>
      </c>
      <c r="AI946">
        <v>500</v>
      </c>
      <c r="AJ946">
        <v>8</v>
      </c>
      <c r="AK946">
        <v>0</v>
      </c>
      <c r="AL946">
        <v>1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12.0062</v>
      </c>
      <c r="AV946">
        <v>3.1666666666666665</v>
      </c>
      <c r="AW946">
        <v>707.99899999999991</v>
      </c>
      <c r="AZ946">
        <v>1420.1</v>
      </c>
      <c r="BA946">
        <v>6.3</v>
      </c>
      <c r="BC946" t="s">
        <v>353</v>
      </c>
      <c r="BD946" t="s">
        <v>197</v>
      </c>
    </row>
    <row r="947" spans="1:56" x14ac:dyDescent="0.3">
      <c r="A947">
        <v>10946</v>
      </c>
      <c r="B947">
        <v>1</v>
      </c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20</v>
      </c>
      <c r="Y947">
        <v>80</v>
      </c>
      <c r="Z947">
        <v>0</v>
      </c>
      <c r="AA947">
        <v>1</v>
      </c>
      <c r="AB947">
        <v>0</v>
      </c>
      <c r="AC947">
        <v>0</v>
      </c>
      <c r="AD947">
        <v>765</v>
      </c>
      <c r="AE947">
        <v>0.33</v>
      </c>
      <c r="AF947">
        <v>0</v>
      </c>
      <c r="AG947">
        <v>1</v>
      </c>
      <c r="AH947">
        <v>0</v>
      </c>
      <c r="AI947">
        <v>500</v>
      </c>
      <c r="AJ947">
        <v>10</v>
      </c>
      <c r="AK947">
        <v>0</v>
      </c>
      <c r="AL947">
        <v>1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12.0062</v>
      </c>
      <c r="AV947">
        <v>3.1666666666666665</v>
      </c>
      <c r="AW947">
        <v>707.99899999999991</v>
      </c>
      <c r="AZ947">
        <v>1369.8</v>
      </c>
      <c r="BA947">
        <v>5.7</v>
      </c>
      <c r="BC947" t="s">
        <v>353</v>
      </c>
      <c r="BD947" t="s">
        <v>197</v>
      </c>
    </row>
    <row r="948" spans="1:56" x14ac:dyDescent="0.3">
      <c r="A948">
        <v>10947</v>
      </c>
      <c r="B948">
        <v>1</v>
      </c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20</v>
      </c>
      <c r="Y948">
        <v>80</v>
      </c>
      <c r="Z948">
        <v>0</v>
      </c>
      <c r="AA948">
        <v>1</v>
      </c>
      <c r="AB948">
        <v>0</v>
      </c>
      <c r="AC948">
        <v>0</v>
      </c>
      <c r="AD948">
        <v>765</v>
      </c>
      <c r="AE948">
        <v>0.33</v>
      </c>
      <c r="AF948">
        <v>0</v>
      </c>
      <c r="AG948">
        <v>1</v>
      </c>
      <c r="AH948">
        <v>0</v>
      </c>
      <c r="AI948">
        <v>500</v>
      </c>
      <c r="AJ948">
        <v>12</v>
      </c>
      <c r="AK948">
        <v>0</v>
      </c>
      <c r="AL948">
        <v>1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12.0062</v>
      </c>
      <c r="AV948">
        <v>3.1666666666666665</v>
      </c>
      <c r="AW948">
        <v>707.99899999999991</v>
      </c>
      <c r="AZ948">
        <v>1344.6</v>
      </c>
      <c r="BA948">
        <v>5</v>
      </c>
      <c r="BC948" t="s">
        <v>353</v>
      </c>
      <c r="BD948" t="s">
        <v>197</v>
      </c>
    </row>
    <row r="949" spans="1:56" x14ac:dyDescent="0.3">
      <c r="A949">
        <v>10948</v>
      </c>
      <c r="B949">
        <v>1</v>
      </c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20</v>
      </c>
      <c r="Y949">
        <v>80</v>
      </c>
      <c r="Z949">
        <v>0</v>
      </c>
      <c r="AA949">
        <v>1</v>
      </c>
      <c r="AB949">
        <v>0</v>
      </c>
      <c r="AC949">
        <v>0</v>
      </c>
      <c r="AD949">
        <v>800</v>
      </c>
      <c r="AE949">
        <v>0.33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12.0062</v>
      </c>
      <c r="AV949">
        <v>3.1666666666666665</v>
      </c>
      <c r="AW949">
        <v>707.99899999999991</v>
      </c>
      <c r="AZ949">
        <v>773</v>
      </c>
      <c r="BA949">
        <v>17.3</v>
      </c>
      <c r="BC949" t="s">
        <v>353</v>
      </c>
      <c r="BD949" t="s">
        <v>197</v>
      </c>
    </row>
    <row r="950" spans="1:56" x14ac:dyDescent="0.3">
      <c r="A950">
        <v>10949</v>
      </c>
      <c r="B950">
        <v>0</v>
      </c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1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7.8579000000000008</v>
      </c>
      <c r="AV950">
        <v>5.2816666666666663</v>
      </c>
      <c r="AW950">
        <v>744.16000000000008</v>
      </c>
      <c r="BC950" t="s">
        <v>353</v>
      </c>
      <c r="BD950" t="s">
        <v>198</v>
      </c>
    </row>
    <row r="951" spans="1:56" x14ac:dyDescent="0.3">
      <c r="A951">
        <v>10950</v>
      </c>
      <c r="B951">
        <v>0</v>
      </c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1</v>
      </c>
      <c r="AA951">
        <v>0</v>
      </c>
      <c r="AB951">
        <v>0</v>
      </c>
      <c r="AC951">
        <v>0</v>
      </c>
      <c r="AD951">
        <v>880</v>
      </c>
      <c r="AE951">
        <v>1.5</v>
      </c>
      <c r="AF951">
        <v>0</v>
      </c>
      <c r="AG951">
        <v>0</v>
      </c>
      <c r="AH951">
        <v>0</v>
      </c>
      <c r="AI951">
        <v>600</v>
      </c>
      <c r="AJ951">
        <v>8</v>
      </c>
      <c r="AK951">
        <v>0</v>
      </c>
      <c r="AL951">
        <v>1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7.8579000000000008</v>
      </c>
      <c r="AV951">
        <v>5.2816666666666663</v>
      </c>
      <c r="AW951">
        <v>744.16000000000008</v>
      </c>
      <c r="BC951" t="s">
        <v>353</v>
      </c>
      <c r="BD951" t="s">
        <v>198</v>
      </c>
    </row>
    <row r="952" spans="1:56" x14ac:dyDescent="0.3">
      <c r="A952">
        <v>10951</v>
      </c>
      <c r="B952">
        <v>0</v>
      </c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1</v>
      </c>
      <c r="AA952">
        <v>0</v>
      </c>
      <c r="AB952">
        <v>0</v>
      </c>
      <c r="AC952">
        <v>0</v>
      </c>
      <c r="AD952">
        <v>790</v>
      </c>
      <c r="AE952">
        <v>1.5</v>
      </c>
      <c r="AF952">
        <v>0</v>
      </c>
      <c r="AG952">
        <v>1</v>
      </c>
      <c r="AH952">
        <v>0</v>
      </c>
      <c r="AI952">
        <v>600</v>
      </c>
      <c r="AJ952">
        <v>8</v>
      </c>
      <c r="AK952">
        <v>0</v>
      </c>
      <c r="AL952">
        <v>1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7.8579000000000008</v>
      </c>
      <c r="AV952">
        <v>5.2816666666666663</v>
      </c>
      <c r="AW952">
        <v>744.16000000000008</v>
      </c>
      <c r="BC952" t="s">
        <v>353</v>
      </c>
      <c r="BD952" t="s">
        <v>198</v>
      </c>
    </row>
    <row r="953" spans="1:56" x14ac:dyDescent="0.3">
      <c r="A953">
        <v>10952</v>
      </c>
      <c r="B953">
        <v>0</v>
      </c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1</v>
      </c>
      <c r="AA953">
        <v>0</v>
      </c>
      <c r="AB953">
        <v>0</v>
      </c>
      <c r="AC953">
        <v>0</v>
      </c>
      <c r="AD953">
        <v>810</v>
      </c>
      <c r="AE953">
        <v>2</v>
      </c>
      <c r="AF953">
        <v>0</v>
      </c>
      <c r="AG953">
        <v>0</v>
      </c>
      <c r="AH953">
        <v>1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7.8579000000000008</v>
      </c>
      <c r="AV953">
        <v>5.2816666666666663</v>
      </c>
      <c r="AW953">
        <v>744.16000000000008</v>
      </c>
      <c r="BC953" t="s">
        <v>353</v>
      </c>
      <c r="BD953" t="s">
        <v>198</v>
      </c>
    </row>
    <row r="954" spans="1:56" x14ac:dyDescent="0.3">
      <c r="A954">
        <v>10953</v>
      </c>
      <c r="B954">
        <v>0</v>
      </c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1</v>
      </c>
      <c r="W954">
        <v>0</v>
      </c>
      <c r="X954">
        <v>0</v>
      </c>
      <c r="Y954">
        <v>0</v>
      </c>
      <c r="Z954">
        <v>1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7.8579000000000008</v>
      </c>
      <c r="AV954">
        <v>5.2816666666666663</v>
      </c>
      <c r="AW954">
        <v>744.16000000000008</v>
      </c>
      <c r="BC954" t="s">
        <v>353</v>
      </c>
      <c r="BD954" t="s">
        <v>198</v>
      </c>
    </row>
    <row r="955" spans="1:56" x14ac:dyDescent="0.3">
      <c r="A955">
        <v>10954</v>
      </c>
      <c r="B955">
        <v>0</v>
      </c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1</v>
      </c>
      <c r="W955">
        <v>0</v>
      </c>
      <c r="X955">
        <v>0</v>
      </c>
      <c r="Y955">
        <v>0</v>
      </c>
      <c r="Z955">
        <v>1</v>
      </c>
      <c r="AA955">
        <v>0</v>
      </c>
      <c r="AB955">
        <v>0</v>
      </c>
      <c r="AC955">
        <v>0</v>
      </c>
      <c r="AD955">
        <v>810</v>
      </c>
      <c r="AE955">
        <v>2</v>
      </c>
      <c r="AF955">
        <v>0</v>
      </c>
      <c r="AG955">
        <v>0</v>
      </c>
      <c r="AH955">
        <v>1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7.8579000000000008</v>
      </c>
      <c r="AV955">
        <v>5.2816666666666663</v>
      </c>
      <c r="AW955">
        <v>744.16000000000008</v>
      </c>
      <c r="BC955" t="s">
        <v>353</v>
      </c>
      <c r="BD955" t="s">
        <v>198</v>
      </c>
    </row>
    <row r="956" spans="1:56" x14ac:dyDescent="0.3">
      <c r="A956">
        <v>10955</v>
      </c>
      <c r="B956">
        <v>1</v>
      </c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1</v>
      </c>
      <c r="W956">
        <v>0</v>
      </c>
      <c r="X956">
        <v>0</v>
      </c>
      <c r="Y956">
        <v>0</v>
      </c>
      <c r="Z956">
        <v>1</v>
      </c>
      <c r="AA956">
        <v>0</v>
      </c>
      <c r="AB956">
        <v>0</v>
      </c>
      <c r="AC956">
        <v>0</v>
      </c>
      <c r="AD956">
        <v>800</v>
      </c>
      <c r="AE956">
        <v>2</v>
      </c>
      <c r="AF956">
        <v>0</v>
      </c>
      <c r="AG956">
        <v>1</v>
      </c>
      <c r="AH956">
        <v>0</v>
      </c>
      <c r="AI956">
        <v>600</v>
      </c>
      <c r="AJ956">
        <v>6</v>
      </c>
      <c r="AK956">
        <v>0</v>
      </c>
      <c r="AL956">
        <v>1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8.9664999999999999</v>
      </c>
      <c r="AV956">
        <v>5.5716666666666663</v>
      </c>
      <c r="AW956">
        <v>734.59799999999996</v>
      </c>
      <c r="AY956">
        <v>1230.75</v>
      </c>
      <c r="AZ956">
        <v>1241.75</v>
      </c>
      <c r="BA956">
        <v>3.7719999999999998</v>
      </c>
      <c r="BC956" t="s">
        <v>353</v>
      </c>
      <c r="BD956" t="s">
        <v>108</v>
      </c>
    </row>
    <row r="957" spans="1:56" x14ac:dyDescent="0.3">
      <c r="A957">
        <v>10956</v>
      </c>
      <c r="B957">
        <v>1</v>
      </c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1</v>
      </c>
      <c r="W957">
        <v>0</v>
      </c>
      <c r="X957">
        <v>0</v>
      </c>
      <c r="Y957">
        <v>0</v>
      </c>
      <c r="Z957">
        <v>1</v>
      </c>
      <c r="AA957">
        <v>0</v>
      </c>
      <c r="AB957">
        <v>0</v>
      </c>
      <c r="AC957">
        <v>0</v>
      </c>
      <c r="AD957">
        <v>800</v>
      </c>
      <c r="AE957">
        <v>2</v>
      </c>
      <c r="AF957">
        <v>0</v>
      </c>
      <c r="AG957">
        <v>1</v>
      </c>
      <c r="AH957">
        <v>0</v>
      </c>
      <c r="AI957">
        <v>600</v>
      </c>
      <c r="AJ957">
        <v>7</v>
      </c>
      <c r="AK957">
        <v>0</v>
      </c>
      <c r="AL957">
        <v>1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8.9664999999999999</v>
      </c>
      <c r="AV957">
        <v>5.5716666666666663</v>
      </c>
      <c r="AW957">
        <v>734.59799999999996</v>
      </c>
      <c r="AY957">
        <v>1234.29</v>
      </c>
      <c r="AZ957">
        <v>1265.29</v>
      </c>
      <c r="BA957">
        <v>3.4079999999999999</v>
      </c>
      <c r="BD957" t="s">
        <v>108</v>
      </c>
    </row>
    <row r="958" spans="1:56" x14ac:dyDescent="0.3">
      <c r="A958">
        <v>10957</v>
      </c>
      <c r="B958">
        <v>1</v>
      </c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1</v>
      </c>
      <c r="W958">
        <v>0</v>
      </c>
      <c r="X958">
        <v>0</v>
      </c>
      <c r="Y958">
        <v>0</v>
      </c>
      <c r="Z958">
        <v>1</v>
      </c>
      <c r="AA958">
        <v>0</v>
      </c>
      <c r="AB958">
        <v>0</v>
      </c>
      <c r="AC958">
        <v>0</v>
      </c>
      <c r="AD958">
        <v>800</v>
      </c>
      <c r="AE958">
        <v>2</v>
      </c>
      <c r="AF958">
        <v>0</v>
      </c>
      <c r="AG958">
        <v>1</v>
      </c>
      <c r="AH958">
        <v>0</v>
      </c>
      <c r="AI958">
        <v>600</v>
      </c>
      <c r="AJ958">
        <v>8</v>
      </c>
      <c r="AK958">
        <v>0</v>
      </c>
      <c r="AL958">
        <v>1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8.9664999999999999</v>
      </c>
      <c r="AV958">
        <v>5.5716666666666663</v>
      </c>
      <c r="AW958">
        <v>734.59799999999996</v>
      </c>
      <c r="AY958">
        <v>1255.3399999999999</v>
      </c>
      <c r="AZ958">
        <v>1277.3399999999999</v>
      </c>
      <c r="BA958">
        <v>4.9790000000000001</v>
      </c>
      <c r="BC958" t="s">
        <v>354</v>
      </c>
      <c r="BD958" t="s">
        <v>108</v>
      </c>
    </row>
    <row r="959" spans="1:56" x14ac:dyDescent="0.3">
      <c r="A959">
        <v>10958</v>
      </c>
      <c r="B959">
        <v>1</v>
      </c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1</v>
      </c>
      <c r="W959">
        <v>0</v>
      </c>
      <c r="X959">
        <v>0</v>
      </c>
      <c r="Y959">
        <v>0</v>
      </c>
      <c r="Z959">
        <v>1</v>
      </c>
      <c r="AA959">
        <v>0</v>
      </c>
      <c r="AB959">
        <v>0</v>
      </c>
      <c r="AC959">
        <v>0</v>
      </c>
      <c r="AD959">
        <v>800</v>
      </c>
      <c r="AE959">
        <v>2</v>
      </c>
      <c r="AF959">
        <v>0</v>
      </c>
      <c r="AG959">
        <v>1</v>
      </c>
      <c r="AH959">
        <v>0</v>
      </c>
      <c r="AI959">
        <v>600</v>
      </c>
      <c r="AJ959">
        <v>9</v>
      </c>
      <c r="AK959">
        <v>0</v>
      </c>
      <c r="AL959">
        <v>1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8.9664999999999999</v>
      </c>
      <c r="AV959">
        <v>5.5716666666666663</v>
      </c>
      <c r="AW959">
        <v>734.59799999999996</v>
      </c>
      <c r="AY959">
        <v>1238</v>
      </c>
      <c r="AZ959">
        <v>1268</v>
      </c>
      <c r="BA959">
        <v>4.3109999999999999</v>
      </c>
      <c r="BC959" t="s">
        <v>354</v>
      </c>
      <c r="BD959" t="s">
        <v>108</v>
      </c>
    </row>
    <row r="960" spans="1:56" x14ac:dyDescent="0.3">
      <c r="A960">
        <v>10959</v>
      </c>
      <c r="B960">
        <v>1</v>
      </c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1</v>
      </c>
      <c r="W960">
        <v>0</v>
      </c>
      <c r="X960">
        <v>0</v>
      </c>
      <c r="Y960">
        <v>0</v>
      </c>
      <c r="Z960">
        <v>1</v>
      </c>
      <c r="AA960">
        <v>0</v>
      </c>
      <c r="AB960">
        <v>0</v>
      </c>
      <c r="AC960">
        <v>0</v>
      </c>
      <c r="AD960">
        <v>800</v>
      </c>
      <c r="AE960">
        <v>2</v>
      </c>
      <c r="AF960">
        <v>0</v>
      </c>
      <c r="AG960">
        <v>1</v>
      </c>
      <c r="AH960">
        <v>0</v>
      </c>
      <c r="AI960">
        <v>600</v>
      </c>
      <c r="AJ960">
        <v>10</v>
      </c>
      <c r="AK960">
        <v>0</v>
      </c>
      <c r="AL960">
        <v>1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8.9664999999999999</v>
      </c>
      <c r="AV960">
        <v>5.5716666666666663</v>
      </c>
      <c r="AW960">
        <v>734.59799999999996</v>
      </c>
      <c r="AY960">
        <v>1219.6600000000001</v>
      </c>
      <c r="AZ960">
        <v>1255.6600000000001</v>
      </c>
      <c r="BA960">
        <v>5.6360000000000001</v>
      </c>
      <c r="BC960" t="s">
        <v>354</v>
      </c>
      <c r="BD960" t="s">
        <v>108</v>
      </c>
    </row>
    <row r="961" spans="1:56" x14ac:dyDescent="0.3">
      <c r="A961">
        <v>10960</v>
      </c>
      <c r="B961">
        <v>1</v>
      </c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1</v>
      </c>
      <c r="W961">
        <v>0</v>
      </c>
      <c r="X961">
        <v>0</v>
      </c>
      <c r="Y961">
        <v>0</v>
      </c>
      <c r="Z961">
        <v>1</v>
      </c>
      <c r="AA961">
        <v>0</v>
      </c>
      <c r="AB961">
        <v>0</v>
      </c>
      <c r="AC961">
        <v>0</v>
      </c>
      <c r="AD961">
        <v>800</v>
      </c>
      <c r="AE961">
        <v>2</v>
      </c>
      <c r="AF961">
        <v>0</v>
      </c>
      <c r="AG961">
        <v>1</v>
      </c>
      <c r="AH961">
        <v>0</v>
      </c>
      <c r="AI961">
        <v>620</v>
      </c>
      <c r="AJ961">
        <v>6</v>
      </c>
      <c r="AK961">
        <v>0</v>
      </c>
      <c r="AL961">
        <v>1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8.9664999999999999</v>
      </c>
      <c r="AV961">
        <v>5.5716666666666663</v>
      </c>
      <c r="AW961">
        <v>734.59799999999996</v>
      </c>
      <c r="AY961">
        <v>1144.8900000000001</v>
      </c>
      <c r="AZ961">
        <v>1176.8900000000001</v>
      </c>
      <c r="BA961">
        <v>3.431</v>
      </c>
      <c r="BD961" t="s">
        <v>108</v>
      </c>
    </row>
    <row r="962" spans="1:56" x14ac:dyDescent="0.3">
      <c r="A962">
        <v>10961</v>
      </c>
      <c r="B962">
        <v>1</v>
      </c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1</v>
      </c>
      <c r="W962">
        <v>0</v>
      </c>
      <c r="X962">
        <v>0</v>
      </c>
      <c r="Y962">
        <v>0</v>
      </c>
      <c r="Z962">
        <v>1</v>
      </c>
      <c r="AA962">
        <v>0</v>
      </c>
      <c r="AB962">
        <v>0</v>
      </c>
      <c r="AC962">
        <v>0</v>
      </c>
      <c r="AD962">
        <v>800</v>
      </c>
      <c r="AE962">
        <v>2</v>
      </c>
      <c r="AF962">
        <v>0</v>
      </c>
      <c r="AG962">
        <v>1</v>
      </c>
      <c r="AH962">
        <v>0</v>
      </c>
      <c r="AI962">
        <v>620</v>
      </c>
      <c r="AJ962">
        <v>7</v>
      </c>
      <c r="AK962">
        <v>0</v>
      </c>
      <c r="AL962">
        <v>1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8.9664999999999999</v>
      </c>
      <c r="AV962">
        <v>5.5716666666666663</v>
      </c>
      <c r="AW962">
        <v>734.59799999999996</v>
      </c>
      <c r="AY962">
        <v>1170.47</v>
      </c>
      <c r="AZ962">
        <v>1196.47</v>
      </c>
      <c r="BA962">
        <v>4.1500000000000004</v>
      </c>
      <c r="BD962" t="s">
        <v>108</v>
      </c>
    </row>
    <row r="963" spans="1:56" x14ac:dyDescent="0.3">
      <c r="A963">
        <v>10962</v>
      </c>
      <c r="B963">
        <v>1</v>
      </c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1</v>
      </c>
      <c r="W963">
        <v>0</v>
      </c>
      <c r="X963">
        <v>0</v>
      </c>
      <c r="Y963">
        <v>0</v>
      </c>
      <c r="Z963">
        <v>1</v>
      </c>
      <c r="AA963">
        <v>0</v>
      </c>
      <c r="AB963">
        <v>0</v>
      </c>
      <c r="AC963">
        <v>0</v>
      </c>
      <c r="AD963">
        <v>800</v>
      </c>
      <c r="AE963">
        <v>2</v>
      </c>
      <c r="AF963">
        <v>0</v>
      </c>
      <c r="AG963">
        <v>1</v>
      </c>
      <c r="AH963">
        <v>0</v>
      </c>
      <c r="AI963">
        <v>620</v>
      </c>
      <c r="AJ963">
        <v>8</v>
      </c>
      <c r="AK963">
        <v>0</v>
      </c>
      <c r="AL963">
        <v>1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8.9664999999999999</v>
      </c>
      <c r="AV963">
        <v>5.5716666666666663</v>
      </c>
      <c r="AW963">
        <v>734.59799999999996</v>
      </c>
      <c r="AY963">
        <v>1178.9000000000001</v>
      </c>
      <c r="AZ963">
        <v>1216.9000000000001</v>
      </c>
      <c r="BA963">
        <v>7.7450000000000001</v>
      </c>
      <c r="BD963" t="s">
        <v>108</v>
      </c>
    </row>
    <row r="964" spans="1:56" x14ac:dyDescent="0.3">
      <c r="A964">
        <v>10963</v>
      </c>
      <c r="B964">
        <v>1</v>
      </c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1</v>
      </c>
      <c r="W964">
        <v>0</v>
      </c>
      <c r="X964">
        <v>0</v>
      </c>
      <c r="Y964">
        <v>0</v>
      </c>
      <c r="Z964">
        <v>1</v>
      </c>
      <c r="AA964">
        <v>0</v>
      </c>
      <c r="AB964">
        <v>0</v>
      </c>
      <c r="AC964">
        <v>0</v>
      </c>
      <c r="AD964">
        <v>800</v>
      </c>
      <c r="AE964">
        <v>2</v>
      </c>
      <c r="AF964">
        <v>0</v>
      </c>
      <c r="AG964">
        <v>1</v>
      </c>
      <c r="AH964">
        <v>0</v>
      </c>
      <c r="AI964">
        <v>620</v>
      </c>
      <c r="AJ964">
        <v>9</v>
      </c>
      <c r="AK964">
        <v>0</v>
      </c>
      <c r="AL964">
        <v>1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8.9664999999999999</v>
      </c>
      <c r="AV964">
        <v>5.5716666666666663</v>
      </c>
      <c r="AW964">
        <v>734.59799999999996</v>
      </c>
      <c r="AY964">
        <v>1163.05</v>
      </c>
      <c r="AZ964">
        <v>1193.05</v>
      </c>
      <c r="BA964">
        <v>8.8780000000000001</v>
      </c>
      <c r="BD964" t="s">
        <v>108</v>
      </c>
    </row>
    <row r="965" spans="1:56" x14ac:dyDescent="0.3">
      <c r="A965">
        <v>10964</v>
      </c>
      <c r="B965">
        <v>1</v>
      </c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1</v>
      </c>
      <c r="W965">
        <v>0</v>
      </c>
      <c r="X965">
        <v>0</v>
      </c>
      <c r="Y965">
        <v>0</v>
      </c>
      <c r="Z965">
        <v>1</v>
      </c>
      <c r="AA965">
        <v>0</v>
      </c>
      <c r="AB965">
        <v>0</v>
      </c>
      <c r="AC965">
        <v>0</v>
      </c>
      <c r="AD965">
        <v>800</v>
      </c>
      <c r="AE965">
        <v>2</v>
      </c>
      <c r="AF965">
        <v>0</v>
      </c>
      <c r="AG965">
        <v>1</v>
      </c>
      <c r="AH965">
        <v>0</v>
      </c>
      <c r="AI965">
        <v>620</v>
      </c>
      <c r="AJ965">
        <v>10</v>
      </c>
      <c r="AK965">
        <v>0</v>
      </c>
      <c r="AL965">
        <v>1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8.9664999999999999</v>
      </c>
      <c r="AV965">
        <v>5.5716666666666663</v>
      </c>
      <c r="AW965">
        <v>734.59799999999996</v>
      </c>
      <c r="AY965">
        <v>1140.98</v>
      </c>
      <c r="AZ965">
        <v>1176.98</v>
      </c>
      <c r="BA965">
        <v>7.2370000000000001</v>
      </c>
      <c r="BC965" t="s">
        <v>355</v>
      </c>
      <c r="BD965" t="s">
        <v>108</v>
      </c>
    </row>
    <row r="966" spans="1:56" x14ac:dyDescent="0.3">
      <c r="A966">
        <v>10965</v>
      </c>
      <c r="B966">
        <v>1</v>
      </c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1</v>
      </c>
      <c r="W966">
        <v>0</v>
      </c>
      <c r="X966">
        <v>0</v>
      </c>
      <c r="Y966">
        <v>0</v>
      </c>
      <c r="Z966">
        <v>1</v>
      </c>
      <c r="AA966">
        <v>0</v>
      </c>
      <c r="AB966">
        <v>0</v>
      </c>
      <c r="AC966">
        <v>0</v>
      </c>
      <c r="AD966">
        <v>800</v>
      </c>
      <c r="AE966">
        <v>2</v>
      </c>
      <c r="AF966">
        <v>0</v>
      </c>
      <c r="AG966">
        <v>1</v>
      </c>
      <c r="AH966">
        <v>0</v>
      </c>
      <c r="AI966">
        <v>640</v>
      </c>
      <c r="AJ966">
        <v>6</v>
      </c>
      <c r="AK966">
        <v>0</v>
      </c>
      <c r="AL966">
        <v>1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8.9664999999999999</v>
      </c>
      <c r="AV966">
        <v>5.5716666666666663</v>
      </c>
      <c r="AW966">
        <v>734.59799999999996</v>
      </c>
      <c r="AY966">
        <v>1120.8900000000001</v>
      </c>
      <c r="AZ966">
        <v>1169.8900000000001</v>
      </c>
      <c r="BA966">
        <v>4.2640000000000002</v>
      </c>
      <c r="BC966" t="s">
        <v>355</v>
      </c>
      <c r="BD966" t="s">
        <v>108</v>
      </c>
    </row>
    <row r="967" spans="1:56" x14ac:dyDescent="0.3">
      <c r="A967">
        <v>10966</v>
      </c>
      <c r="B967">
        <v>1</v>
      </c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1</v>
      </c>
      <c r="W967">
        <v>0</v>
      </c>
      <c r="X967">
        <v>0</v>
      </c>
      <c r="Y967">
        <v>0</v>
      </c>
      <c r="Z967">
        <v>1</v>
      </c>
      <c r="AA967">
        <v>0</v>
      </c>
      <c r="AB967">
        <v>0</v>
      </c>
      <c r="AC967">
        <v>0</v>
      </c>
      <c r="AD967">
        <v>800</v>
      </c>
      <c r="AE967">
        <v>2</v>
      </c>
      <c r="AF967">
        <v>0</v>
      </c>
      <c r="AG967">
        <v>1</v>
      </c>
      <c r="AH967">
        <v>0</v>
      </c>
      <c r="AI967">
        <v>640</v>
      </c>
      <c r="AJ967">
        <v>7</v>
      </c>
      <c r="AK967">
        <v>0</v>
      </c>
      <c r="AL967">
        <v>1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8.9664999999999999</v>
      </c>
      <c r="AV967">
        <v>5.5716666666666663</v>
      </c>
      <c r="AW967">
        <v>734.59799999999996</v>
      </c>
      <c r="AY967">
        <v>1138</v>
      </c>
      <c r="AZ967">
        <v>1168</v>
      </c>
      <c r="BA967">
        <v>7.4560000000000004</v>
      </c>
      <c r="BC967" t="s">
        <v>355</v>
      </c>
      <c r="BD967" t="s">
        <v>108</v>
      </c>
    </row>
    <row r="968" spans="1:56" x14ac:dyDescent="0.3">
      <c r="A968">
        <v>10967</v>
      </c>
      <c r="B968">
        <v>1</v>
      </c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1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>
        <v>0</v>
      </c>
      <c r="AD968">
        <v>800</v>
      </c>
      <c r="AE968">
        <v>2</v>
      </c>
      <c r="AF968">
        <v>0</v>
      </c>
      <c r="AG968">
        <v>1</v>
      </c>
      <c r="AH968">
        <v>0</v>
      </c>
      <c r="AI968">
        <v>640</v>
      </c>
      <c r="AJ968">
        <v>8</v>
      </c>
      <c r="AK968">
        <v>0</v>
      </c>
      <c r="AL968">
        <v>1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8.9664999999999999</v>
      </c>
      <c r="AV968">
        <v>5.5716666666666663</v>
      </c>
      <c r="AW968">
        <v>734.59799999999996</v>
      </c>
      <c r="AY968">
        <v>1150.1500000000001</v>
      </c>
      <c r="AZ968">
        <v>1185.1500000000001</v>
      </c>
      <c r="BA968">
        <v>6.5209999999999999</v>
      </c>
      <c r="BC968" t="s">
        <v>355</v>
      </c>
      <c r="BD968" t="s">
        <v>108</v>
      </c>
    </row>
    <row r="969" spans="1:56" x14ac:dyDescent="0.3">
      <c r="A969">
        <v>10968</v>
      </c>
      <c r="B969">
        <v>1</v>
      </c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1</v>
      </c>
      <c r="W969">
        <v>0</v>
      </c>
      <c r="X969">
        <v>0</v>
      </c>
      <c r="Y969">
        <v>0</v>
      </c>
      <c r="Z969">
        <v>1</v>
      </c>
      <c r="AA969">
        <v>0</v>
      </c>
      <c r="AB969">
        <v>0</v>
      </c>
      <c r="AC969">
        <v>0</v>
      </c>
      <c r="AD969">
        <v>800</v>
      </c>
      <c r="AE969">
        <v>2</v>
      </c>
      <c r="AF969">
        <v>0</v>
      </c>
      <c r="AG969">
        <v>1</v>
      </c>
      <c r="AH969">
        <v>0</v>
      </c>
      <c r="AI969">
        <v>640</v>
      </c>
      <c r="AJ969">
        <v>9</v>
      </c>
      <c r="AK969">
        <v>0</v>
      </c>
      <c r="AL969">
        <v>1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8.9664999999999999</v>
      </c>
      <c r="AV969">
        <v>5.5716666666666663</v>
      </c>
      <c r="AW969">
        <v>734.59799999999996</v>
      </c>
      <c r="AY969">
        <v>1142.9100000000001</v>
      </c>
      <c r="AZ969">
        <v>1173.9100000000001</v>
      </c>
      <c r="BA969">
        <v>6.9349999999999996</v>
      </c>
      <c r="BC969" t="s">
        <v>355</v>
      </c>
      <c r="BD969" t="s">
        <v>108</v>
      </c>
    </row>
    <row r="970" spans="1:56" x14ac:dyDescent="0.3">
      <c r="A970">
        <v>10969</v>
      </c>
      <c r="B970">
        <v>1</v>
      </c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1</v>
      </c>
      <c r="W970">
        <v>0</v>
      </c>
      <c r="X970">
        <v>0</v>
      </c>
      <c r="Y970">
        <v>0</v>
      </c>
      <c r="Z970">
        <v>1</v>
      </c>
      <c r="AA970">
        <v>0</v>
      </c>
      <c r="AB970">
        <v>0</v>
      </c>
      <c r="AC970">
        <v>0</v>
      </c>
      <c r="AD970">
        <v>800</v>
      </c>
      <c r="AE970">
        <v>2</v>
      </c>
      <c r="AF970">
        <v>0</v>
      </c>
      <c r="AG970">
        <v>1</v>
      </c>
      <c r="AH970">
        <v>0</v>
      </c>
      <c r="AI970">
        <v>640</v>
      </c>
      <c r="AJ970">
        <v>10</v>
      </c>
      <c r="AK970">
        <v>0</v>
      </c>
      <c r="AL970">
        <v>1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8.9664999999999999</v>
      </c>
      <c r="AV970">
        <v>5.5716666666666663</v>
      </c>
      <c r="AW970">
        <v>734.59799999999996</v>
      </c>
      <c r="AY970">
        <v>1129.5899999999999</v>
      </c>
      <c r="AZ970">
        <v>1165.5899999999999</v>
      </c>
      <c r="BA970">
        <v>5.1959999999999997</v>
      </c>
      <c r="BC970" t="s">
        <v>355</v>
      </c>
      <c r="BD970" t="s">
        <v>108</v>
      </c>
    </row>
    <row r="971" spans="1:56" x14ac:dyDescent="0.3">
      <c r="A971">
        <v>10970</v>
      </c>
      <c r="B971">
        <v>1</v>
      </c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1</v>
      </c>
      <c r="W971">
        <v>0</v>
      </c>
      <c r="X971">
        <v>0</v>
      </c>
      <c r="Y971">
        <v>0</v>
      </c>
      <c r="Z971">
        <v>1</v>
      </c>
      <c r="AA971">
        <v>0</v>
      </c>
      <c r="AB971">
        <v>0</v>
      </c>
      <c r="AC971">
        <v>0</v>
      </c>
      <c r="AD971">
        <v>860</v>
      </c>
      <c r="AE971">
        <v>1.5</v>
      </c>
      <c r="AF971">
        <v>0</v>
      </c>
      <c r="AG971">
        <v>1</v>
      </c>
      <c r="AH971">
        <v>0</v>
      </c>
      <c r="AI971">
        <v>600</v>
      </c>
      <c r="AJ971">
        <v>9</v>
      </c>
      <c r="AK971">
        <v>0</v>
      </c>
      <c r="AL971">
        <v>1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8.9664999999999999</v>
      </c>
      <c r="AV971">
        <v>5.5716666666666663</v>
      </c>
      <c r="AW971">
        <v>734.59799999999996</v>
      </c>
      <c r="AY971">
        <v>1158.93</v>
      </c>
      <c r="AZ971">
        <v>1196.83</v>
      </c>
      <c r="BD971" t="s">
        <v>108</v>
      </c>
    </row>
    <row r="972" spans="1:56" x14ac:dyDescent="0.3">
      <c r="A972">
        <v>10971</v>
      </c>
      <c r="B972">
        <v>1</v>
      </c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1</v>
      </c>
      <c r="W972">
        <v>0</v>
      </c>
      <c r="X972">
        <v>0</v>
      </c>
      <c r="Y972">
        <v>0</v>
      </c>
      <c r="Z972">
        <v>1</v>
      </c>
      <c r="AA972">
        <v>0</v>
      </c>
      <c r="AB972">
        <v>0</v>
      </c>
      <c r="AC972">
        <v>0</v>
      </c>
      <c r="AD972">
        <v>880</v>
      </c>
      <c r="AE972">
        <v>1.5</v>
      </c>
      <c r="AF972">
        <v>0</v>
      </c>
      <c r="AG972">
        <v>1</v>
      </c>
      <c r="AH972">
        <v>0</v>
      </c>
      <c r="AI972">
        <v>620</v>
      </c>
      <c r="AJ972">
        <v>9</v>
      </c>
      <c r="AK972">
        <v>0</v>
      </c>
      <c r="AL972">
        <v>1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8.9664999999999999</v>
      </c>
      <c r="AV972">
        <v>5.5716666666666663</v>
      </c>
      <c r="AW972">
        <v>734.59799999999996</v>
      </c>
      <c r="AY972">
        <v>1133.51</v>
      </c>
      <c r="AZ972">
        <v>1180.6600000000001</v>
      </c>
      <c r="BD972" t="s">
        <v>108</v>
      </c>
    </row>
    <row r="973" spans="1:56" x14ac:dyDescent="0.3">
      <c r="A973">
        <v>10972</v>
      </c>
      <c r="B973">
        <v>1</v>
      </c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0</v>
      </c>
      <c r="X973">
        <v>0</v>
      </c>
      <c r="Y973">
        <v>0</v>
      </c>
      <c r="Z973">
        <v>1</v>
      </c>
      <c r="AA973">
        <v>0</v>
      </c>
      <c r="AB973">
        <v>0</v>
      </c>
      <c r="AC973">
        <v>0</v>
      </c>
      <c r="AD973">
        <v>900</v>
      </c>
      <c r="AE973">
        <v>1.5</v>
      </c>
      <c r="AF973">
        <v>0</v>
      </c>
      <c r="AG973">
        <v>1</v>
      </c>
      <c r="AH973">
        <v>0</v>
      </c>
      <c r="AI973">
        <v>580</v>
      </c>
      <c r="AJ973">
        <v>9</v>
      </c>
      <c r="AK973">
        <v>0</v>
      </c>
      <c r="AL973">
        <v>1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8.9664999999999999</v>
      </c>
      <c r="AV973">
        <v>5.5716666666666663</v>
      </c>
      <c r="AW973">
        <v>734.59799999999996</v>
      </c>
      <c r="AY973">
        <v>1263.77</v>
      </c>
      <c r="AZ973">
        <v>1316.93</v>
      </c>
      <c r="BD973" t="s">
        <v>108</v>
      </c>
    </row>
    <row r="974" spans="1:56" x14ac:dyDescent="0.3">
      <c r="A974">
        <v>10973</v>
      </c>
      <c r="B974">
        <v>1</v>
      </c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1</v>
      </c>
      <c r="W974">
        <v>0</v>
      </c>
      <c r="X974">
        <v>0</v>
      </c>
      <c r="Y974">
        <v>0</v>
      </c>
      <c r="Z974">
        <v>1</v>
      </c>
      <c r="AA974">
        <v>0</v>
      </c>
      <c r="AB974">
        <v>0</v>
      </c>
      <c r="AC974">
        <v>0</v>
      </c>
      <c r="AD974">
        <v>900</v>
      </c>
      <c r="AE974">
        <v>1.5</v>
      </c>
      <c r="AF974">
        <v>0</v>
      </c>
      <c r="AG974">
        <v>1</v>
      </c>
      <c r="AH974">
        <v>0</v>
      </c>
      <c r="AI974">
        <v>600</v>
      </c>
      <c r="AJ974">
        <v>9</v>
      </c>
      <c r="AK974">
        <v>0</v>
      </c>
      <c r="AL974">
        <v>1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8.9664999999999999</v>
      </c>
      <c r="AV974">
        <v>5.5716666666666663</v>
      </c>
      <c r="AW974">
        <v>734.59799999999996</v>
      </c>
      <c r="AY974">
        <v>1239.08</v>
      </c>
      <c r="AZ974">
        <v>1268.04</v>
      </c>
      <c r="BD974" t="s">
        <v>108</v>
      </c>
    </row>
    <row r="975" spans="1:56" x14ac:dyDescent="0.3">
      <c r="A975">
        <v>10974</v>
      </c>
      <c r="B975">
        <v>1</v>
      </c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1</v>
      </c>
      <c r="W975">
        <v>0</v>
      </c>
      <c r="X975">
        <v>0</v>
      </c>
      <c r="Y975">
        <v>0</v>
      </c>
      <c r="Z975">
        <v>1</v>
      </c>
      <c r="AA975">
        <v>0</v>
      </c>
      <c r="AB975">
        <v>0</v>
      </c>
      <c r="AC975">
        <v>0</v>
      </c>
      <c r="AD975">
        <v>900</v>
      </c>
      <c r="AE975">
        <v>1.5</v>
      </c>
      <c r="AF975">
        <v>0</v>
      </c>
      <c r="AG975">
        <v>1</v>
      </c>
      <c r="AH975">
        <v>0</v>
      </c>
      <c r="AI975">
        <v>620</v>
      </c>
      <c r="AJ975">
        <v>6</v>
      </c>
      <c r="AK975">
        <v>0</v>
      </c>
      <c r="AL975">
        <v>1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8.9664999999999999</v>
      </c>
      <c r="AV975">
        <v>5.5716666666666663</v>
      </c>
      <c r="AW975">
        <v>734.59799999999996</v>
      </c>
      <c r="AY975">
        <v>1105.5</v>
      </c>
      <c r="AZ975">
        <v>1153.17</v>
      </c>
      <c r="BD975" t="s">
        <v>108</v>
      </c>
    </row>
    <row r="976" spans="1:56" x14ac:dyDescent="0.3">
      <c r="A976">
        <v>10975</v>
      </c>
      <c r="B976">
        <v>1</v>
      </c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1</v>
      </c>
      <c r="W976">
        <v>0</v>
      </c>
      <c r="X976">
        <v>0</v>
      </c>
      <c r="Y976">
        <v>0</v>
      </c>
      <c r="Z976">
        <v>1</v>
      </c>
      <c r="AA976">
        <v>0</v>
      </c>
      <c r="AB976">
        <v>0</v>
      </c>
      <c r="AC976">
        <v>0</v>
      </c>
      <c r="AD976">
        <v>900</v>
      </c>
      <c r="AE976">
        <v>1.5</v>
      </c>
      <c r="AF976">
        <v>0</v>
      </c>
      <c r="AG976">
        <v>1</v>
      </c>
      <c r="AH976">
        <v>0</v>
      </c>
      <c r="AI976">
        <v>620</v>
      </c>
      <c r="AJ976">
        <v>7</v>
      </c>
      <c r="AK976">
        <v>0</v>
      </c>
      <c r="AL976">
        <v>1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8.9664999999999999</v>
      </c>
      <c r="AV976">
        <v>5.5716666666666663</v>
      </c>
      <c r="AW976">
        <v>734.59799999999996</v>
      </c>
      <c r="AY976">
        <v>1155.2</v>
      </c>
      <c r="AZ976">
        <v>1193.55</v>
      </c>
      <c r="BD976" t="s">
        <v>108</v>
      </c>
    </row>
    <row r="977" spans="1:56" x14ac:dyDescent="0.3">
      <c r="A977">
        <v>10976</v>
      </c>
      <c r="B977">
        <v>1</v>
      </c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1</v>
      </c>
      <c r="W977">
        <v>0</v>
      </c>
      <c r="X977">
        <v>0</v>
      </c>
      <c r="Y977">
        <v>0</v>
      </c>
      <c r="Z977">
        <v>1</v>
      </c>
      <c r="AA977">
        <v>0</v>
      </c>
      <c r="AB977">
        <v>0</v>
      </c>
      <c r="AC977">
        <v>0</v>
      </c>
      <c r="AD977">
        <v>900</v>
      </c>
      <c r="AE977">
        <v>1.5</v>
      </c>
      <c r="AF977">
        <v>0</v>
      </c>
      <c r="AG977">
        <v>1</v>
      </c>
      <c r="AH977">
        <v>0</v>
      </c>
      <c r="AI977">
        <v>620</v>
      </c>
      <c r="AJ977">
        <v>8</v>
      </c>
      <c r="AK977">
        <v>0</v>
      </c>
      <c r="AL977">
        <v>1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8.9664999999999999</v>
      </c>
      <c r="AV977">
        <v>5.5716666666666663</v>
      </c>
      <c r="AW977">
        <v>734.59799999999996</v>
      </c>
      <c r="AY977">
        <v>1209.2</v>
      </c>
      <c r="AZ977">
        <v>1246.83</v>
      </c>
      <c r="BD977" t="s">
        <v>108</v>
      </c>
    </row>
    <row r="978" spans="1:56" x14ac:dyDescent="0.3">
      <c r="A978">
        <v>10977</v>
      </c>
      <c r="B978">
        <v>1</v>
      </c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900</v>
      </c>
      <c r="AE978">
        <v>1.5</v>
      </c>
      <c r="AF978">
        <v>0</v>
      </c>
      <c r="AG978">
        <v>1</v>
      </c>
      <c r="AH978">
        <v>0</v>
      </c>
      <c r="AI978">
        <v>620</v>
      </c>
      <c r="AJ978">
        <v>9</v>
      </c>
      <c r="AK978">
        <v>0</v>
      </c>
      <c r="AL978">
        <v>1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8.9664999999999999</v>
      </c>
      <c r="AV978">
        <v>5.5716666666666663</v>
      </c>
      <c r="AW978">
        <v>734.59799999999996</v>
      </c>
      <c r="AY978">
        <v>1182.56</v>
      </c>
      <c r="AZ978">
        <v>1234.52</v>
      </c>
      <c r="BD978" t="s">
        <v>108</v>
      </c>
    </row>
    <row r="979" spans="1:56" x14ac:dyDescent="0.3">
      <c r="A979">
        <v>10978</v>
      </c>
      <c r="B979">
        <v>1</v>
      </c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900</v>
      </c>
      <c r="AE979">
        <v>1.5</v>
      </c>
      <c r="AF979">
        <v>0</v>
      </c>
      <c r="AG979">
        <v>1</v>
      </c>
      <c r="AH979">
        <v>0</v>
      </c>
      <c r="AI979">
        <v>620</v>
      </c>
      <c r="AJ979">
        <v>10</v>
      </c>
      <c r="AK979">
        <v>0</v>
      </c>
      <c r="AL979">
        <v>1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8.9664999999999999</v>
      </c>
      <c r="AV979">
        <v>5.5716666666666663</v>
      </c>
      <c r="AW979">
        <v>734.59799999999996</v>
      </c>
      <c r="AY979">
        <v>1133.33</v>
      </c>
      <c r="AZ979">
        <v>1179.21</v>
      </c>
      <c r="BD979" t="s">
        <v>108</v>
      </c>
    </row>
    <row r="980" spans="1:56" x14ac:dyDescent="0.3">
      <c r="A980">
        <v>10979</v>
      </c>
      <c r="B980">
        <v>1</v>
      </c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900</v>
      </c>
      <c r="AE980">
        <v>1.5</v>
      </c>
      <c r="AF980">
        <v>0</v>
      </c>
      <c r="AG980">
        <v>1</v>
      </c>
      <c r="AH980">
        <v>0</v>
      </c>
      <c r="AI980">
        <v>640</v>
      </c>
      <c r="AJ980">
        <v>9</v>
      </c>
      <c r="AK980">
        <v>0</v>
      </c>
      <c r="AL980">
        <v>1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8.9664999999999999</v>
      </c>
      <c r="AV980">
        <v>5.5716666666666663</v>
      </c>
      <c r="AW980">
        <v>734.59799999999996</v>
      </c>
      <c r="AY980">
        <v>1173.0999999999999</v>
      </c>
      <c r="AZ980">
        <v>1208.23</v>
      </c>
      <c r="BD980" t="s">
        <v>108</v>
      </c>
    </row>
    <row r="981" spans="1:56" x14ac:dyDescent="0.3">
      <c r="A981">
        <v>10980</v>
      </c>
      <c r="B981">
        <v>1</v>
      </c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-3.4950000000000001</v>
      </c>
      <c r="AV981">
        <v>5.4450000000000003</v>
      </c>
      <c r="AW981">
        <v>870.37450000000001</v>
      </c>
      <c r="AY981">
        <v>788.3</v>
      </c>
      <c r="AZ981">
        <v>882.3</v>
      </c>
      <c r="BA981">
        <v>12.8</v>
      </c>
      <c r="BD981" t="s">
        <v>200</v>
      </c>
    </row>
    <row r="982" spans="1:56" x14ac:dyDescent="0.3">
      <c r="A982">
        <v>10981</v>
      </c>
      <c r="B982">
        <v>1</v>
      </c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900</v>
      </c>
      <c r="AE982">
        <v>1</v>
      </c>
      <c r="AF982">
        <v>0</v>
      </c>
      <c r="AG982">
        <v>1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-3.4950000000000001</v>
      </c>
      <c r="AV982">
        <v>5.4450000000000003</v>
      </c>
      <c r="AW982">
        <v>870.37450000000001</v>
      </c>
      <c r="AY982">
        <v>740</v>
      </c>
      <c r="AZ982">
        <v>853.6</v>
      </c>
      <c r="BA982">
        <v>11.2</v>
      </c>
      <c r="BD982" t="s">
        <v>200</v>
      </c>
    </row>
    <row r="983" spans="1:56" x14ac:dyDescent="0.3">
      <c r="A983">
        <v>10982</v>
      </c>
      <c r="B983">
        <v>1</v>
      </c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950</v>
      </c>
      <c r="AE983">
        <v>1</v>
      </c>
      <c r="AF983">
        <v>0</v>
      </c>
      <c r="AG983">
        <v>1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-3.4950000000000001</v>
      </c>
      <c r="AV983">
        <v>5.4450000000000003</v>
      </c>
      <c r="AW983">
        <v>870.37450000000001</v>
      </c>
      <c r="AY983">
        <v>711.7</v>
      </c>
      <c r="AZ983">
        <v>836</v>
      </c>
      <c r="BA983">
        <v>14.1</v>
      </c>
      <c r="BD983" t="s">
        <v>200</v>
      </c>
    </row>
    <row r="984" spans="1:56" x14ac:dyDescent="0.3">
      <c r="A984">
        <v>10983</v>
      </c>
      <c r="B984">
        <v>1</v>
      </c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1</v>
      </c>
      <c r="X984">
        <v>0</v>
      </c>
      <c r="Y984">
        <v>0</v>
      </c>
      <c r="Z984">
        <v>0</v>
      </c>
      <c r="AA984">
        <v>1</v>
      </c>
      <c r="AB984">
        <v>0</v>
      </c>
      <c r="AC984">
        <v>0</v>
      </c>
      <c r="AD984">
        <v>970</v>
      </c>
      <c r="AE984">
        <v>2</v>
      </c>
      <c r="AF984">
        <v>0</v>
      </c>
      <c r="AG984">
        <v>0</v>
      </c>
      <c r="AH984">
        <v>1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-3.8559999999999999</v>
      </c>
      <c r="AV984">
        <v>6.3816666666666668</v>
      </c>
      <c r="AW984">
        <v>869.11900000000003</v>
      </c>
      <c r="AY984">
        <v>731</v>
      </c>
      <c r="AZ984">
        <v>793</v>
      </c>
      <c r="BA984">
        <v>14.5</v>
      </c>
      <c r="BD984" t="s">
        <v>201</v>
      </c>
    </row>
    <row r="985" spans="1:56" x14ac:dyDescent="0.3">
      <c r="A985">
        <v>10984</v>
      </c>
      <c r="B985">
        <v>1</v>
      </c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1</v>
      </c>
      <c r="X985">
        <v>0</v>
      </c>
      <c r="Y985">
        <v>0</v>
      </c>
      <c r="Z985">
        <v>0</v>
      </c>
      <c r="AA985">
        <v>1</v>
      </c>
      <c r="AB985">
        <v>0</v>
      </c>
      <c r="AC985">
        <v>0</v>
      </c>
      <c r="AD985">
        <v>970</v>
      </c>
      <c r="AE985">
        <v>2</v>
      </c>
      <c r="AF985">
        <v>0</v>
      </c>
      <c r="AG985">
        <v>1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-3.8559999999999999</v>
      </c>
      <c r="AV985">
        <v>6.3816666666666668</v>
      </c>
      <c r="AW985">
        <v>869.11900000000003</v>
      </c>
      <c r="AY985">
        <v>763</v>
      </c>
      <c r="AZ985">
        <v>880</v>
      </c>
      <c r="BA985">
        <v>12.6</v>
      </c>
      <c r="BD985" t="s">
        <v>201</v>
      </c>
    </row>
    <row r="986" spans="1:56" x14ac:dyDescent="0.3">
      <c r="A986">
        <v>10985</v>
      </c>
      <c r="B986">
        <v>1</v>
      </c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1</v>
      </c>
      <c r="X986">
        <v>0</v>
      </c>
      <c r="Y986">
        <v>0</v>
      </c>
      <c r="Z986">
        <v>0</v>
      </c>
      <c r="AA986">
        <v>1</v>
      </c>
      <c r="AB986">
        <v>0</v>
      </c>
      <c r="AC986">
        <v>0</v>
      </c>
      <c r="AD986">
        <v>970</v>
      </c>
      <c r="AE986">
        <v>2</v>
      </c>
      <c r="AF986">
        <v>1</v>
      </c>
      <c r="AG986">
        <v>0</v>
      </c>
      <c r="AH986">
        <v>0</v>
      </c>
      <c r="AI986">
        <v>600</v>
      </c>
      <c r="AJ986">
        <v>5</v>
      </c>
      <c r="AK986">
        <v>0</v>
      </c>
      <c r="AL986">
        <v>1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-3.8559999999999999</v>
      </c>
      <c r="AV986">
        <v>6.3816666666666668</v>
      </c>
      <c r="AW986">
        <v>869.11900000000003</v>
      </c>
      <c r="AY986">
        <v>918</v>
      </c>
      <c r="AZ986">
        <v>984</v>
      </c>
      <c r="BA986">
        <v>10.1</v>
      </c>
      <c r="BD986" t="s">
        <v>201</v>
      </c>
    </row>
    <row r="987" spans="1:56" x14ac:dyDescent="0.3">
      <c r="A987">
        <v>10986</v>
      </c>
      <c r="B987">
        <v>1</v>
      </c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1</v>
      </c>
      <c r="W987">
        <v>0</v>
      </c>
      <c r="X987">
        <v>0</v>
      </c>
      <c r="Y987">
        <v>0</v>
      </c>
      <c r="Z987">
        <v>1</v>
      </c>
      <c r="AA987">
        <v>0</v>
      </c>
      <c r="AB987">
        <v>0</v>
      </c>
      <c r="AC987">
        <v>0</v>
      </c>
      <c r="AD987">
        <v>910</v>
      </c>
      <c r="AE987">
        <v>0.5</v>
      </c>
      <c r="AF987">
        <v>1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9.9273000000000025</v>
      </c>
      <c r="AV987">
        <v>5.0599999999999996</v>
      </c>
      <c r="AW987">
        <v>774.9781999999999</v>
      </c>
      <c r="AY987">
        <v>877</v>
      </c>
      <c r="AZ987">
        <v>880</v>
      </c>
      <c r="BA987">
        <v>13.6</v>
      </c>
      <c r="BD987" t="s">
        <v>108</v>
      </c>
    </row>
    <row r="988" spans="1:56" x14ac:dyDescent="0.3">
      <c r="A988">
        <v>10987</v>
      </c>
      <c r="B988">
        <v>1</v>
      </c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1</v>
      </c>
      <c r="W988">
        <v>0</v>
      </c>
      <c r="X988">
        <v>0</v>
      </c>
      <c r="Y988">
        <v>0</v>
      </c>
      <c r="Z988">
        <v>1</v>
      </c>
      <c r="AA988">
        <v>0</v>
      </c>
      <c r="AB988">
        <v>0</v>
      </c>
      <c r="AC988">
        <v>0</v>
      </c>
      <c r="AD988">
        <v>850</v>
      </c>
      <c r="AE988">
        <v>0.5</v>
      </c>
      <c r="AF988">
        <v>1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9.9273000000000025</v>
      </c>
      <c r="AV988">
        <v>5.0599999999999996</v>
      </c>
      <c r="AW988">
        <v>774.9781999999999</v>
      </c>
      <c r="AY988">
        <v>895</v>
      </c>
      <c r="AZ988">
        <v>931</v>
      </c>
      <c r="BA988">
        <v>8.1999999999999993</v>
      </c>
      <c r="BD988" t="s">
        <v>108</v>
      </c>
    </row>
    <row r="989" spans="1:56" x14ac:dyDescent="0.3">
      <c r="A989">
        <v>10988</v>
      </c>
      <c r="B989">
        <v>1</v>
      </c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1</v>
      </c>
      <c r="W989">
        <v>0</v>
      </c>
      <c r="X989">
        <v>0</v>
      </c>
      <c r="Y989">
        <v>0</v>
      </c>
      <c r="Z989">
        <v>1</v>
      </c>
      <c r="AA989">
        <v>0</v>
      </c>
      <c r="AB989">
        <v>0</v>
      </c>
      <c r="AC989">
        <v>0</v>
      </c>
      <c r="AD989">
        <v>910</v>
      </c>
      <c r="AE989">
        <v>0.5</v>
      </c>
      <c r="AF989">
        <v>1</v>
      </c>
      <c r="AG989">
        <v>0</v>
      </c>
      <c r="AH989">
        <v>0</v>
      </c>
      <c r="AI989">
        <v>560</v>
      </c>
      <c r="AJ989">
        <v>6</v>
      </c>
      <c r="AK989">
        <v>0</v>
      </c>
      <c r="AL989">
        <v>1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9.9273000000000025</v>
      </c>
      <c r="AV989">
        <v>5.0599999999999996</v>
      </c>
      <c r="AW989">
        <v>774.9781999999999</v>
      </c>
      <c r="AY989">
        <v>1180</v>
      </c>
      <c r="AZ989">
        <v>1417</v>
      </c>
      <c r="BA989">
        <v>1.7</v>
      </c>
      <c r="BD989" t="s">
        <v>108</v>
      </c>
    </row>
    <row r="990" spans="1:56" x14ac:dyDescent="0.3">
      <c r="A990">
        <v>10989</v>
      </c>
      <c r="B990">
        <v>1</v>
      </c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1</v>
      </c>
      <c r="W990">
        <v>0</v>
      </c>
      <c r="X990">
        <v>0</v>
      </c>
      <c r="Y990">
        <v>0</v>
      </c>
      <c r="Z990">
        <v>1</v>
      </c>
      <c r="AA990">
        <v>0</v>
      </c>
      <c r="AB990">
        <v>0</v>
      </c>
      <c r="AC990">
        <v>0</v>
      </c>
      <c r="AD990">
        <v>850</v>
      </c>
      <c r="AE990">
        <v>0.5</v>
      </c>
      <c r="AF990">
        <v>1</v>
      </c>
      <c r="AG990">
        <v>0</v>
      </c>
      <c r="AH990">
        <v>0</v>
      </c>
      <c r="AI990">
        <v>560</v>
      </c>
      <c r="AJ990">
        <v>6</v>
      </c>
      <c r="AK990">
        <v>0</v>
      </c>
      <c r="AL990">
        <v>1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9.9273000000000025</v>
      </c>
      <c r="AV990">
        <v>5.0599999999999996</v>
      </c>
      <c r="AW990">
        <v>774.9781999999999</v>
      </c>
      <c r="AY990">
        <v>1105</v>
      </c>
      <c r="AZ990">
        <v>1366</v>
      </c>
      <c r="BA990">
        <v>4.5</v>
      </c>
      <c r="BD990" t="s">
        <v>108</v>
      </c>
    </row>
    <row r="991" spans="1:56" x14ac:dyDescent="0.3">
      <c r="A991">
        <v>10990</v>
      </c>
      <c r="B991">
        <v>1</v>
      </c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1</v>
      </c>
      <c r="W991">
        <v>0</v>
      </c>
      <c r="X991">
        <v>0</v>
      </c>
      <c r="Y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-4.92</v>
      </c>
      <c r="AV991">
        <v>8.5</v>
      </c>
      <c r="AW991">
        <v>855.5</v>
      </c>
      <c r="AY991">
        <v>1066</v>
      </c>
      <c r="AZ991">
        <v>1130</v>
      </c>
      <c r="BA991">
        <v>1.8</v>
      </c>
      <c r="BD991" t="s">
        <v>108</v>
      </c>
    </row>
    <row r="992" spans="1:56" x14ac:dyDescent="0.3">
      <c r="A992">
        <v>10991</v>
      </c>
      <c r="B992">
        <v>1</v>
      </c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1</v>
      </c>
      <c r="W992">
        <v>0</v>
      </c>
      <c r="X992">
        <v>0</v>
      </c>
      <c r="Y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-4.92</v>
      </c>
      <c r="AV992">
        <v>8.8333333333333339</v>
      </c>
      <c r="AW992">
        <v>841.69999999999993</v>
      </c>
      <c r="AY992">
        <v>985</v>
      </c>
      <c r="AZ992">
        <v>1068</v>
      </c>
      <c r="BA992">
        <v>1.1399999999999999</v>
      </c>
      <c r="BD992" t="s">
        <v>108</v>
      </c>
    </row>
    <row r="993" spans="1:56" x14ac:dyDescent="0.3">
      <c r="A993">
        <v>10992</v>
      </c>
      <c r="B993">
        <v>1</v>
      </c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1</v>
      </c>
      <c r="W993">
        <v>0</v>
      </c>
      <c r="X993">
        <v>0</v>
      </c>
      <c r="Y993">
        <v>0</v>
      </c>
      <c r="Z993">
        <v>1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-4.92</v>
      </c>
      <c r="AV993">
        <v>9.1666666666666661</v>
      </c>
      <c r="AW993">
        <v>827.9</v>
      </c>
      <c r="AY993">
        <v>963</v>
      </c>
      <c r="AZ993">
        <v>1050</v>
      </c>
      <c r="BA993">
        <v>1.7</v>
      </c>
      <c r="BD993" t="s">
        <v>108</v>
      </c>
    </row>
    <row r="994" spans="1:56" x14ac:dyDescent="0.3">
      <c r="A994">
        <v>10993</v>
      </c>
      <c r="B994">
        <v>1</v>
      </c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1</v>
      </c>
      <c r="W994">
        <v>0</v>
      </c>
      <c r="X994">
        <v>0</v>
      </c>
      <c r="Y994">
        <v>0</v>
      </c>
      <c r="Z994">
        <v>1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4.6500000000000004</v>
      </c>
      <c r="AV994">
        <v>2.0833333333333335</v>
      </c>
      <c r="AW994">
        <v>822.09999999999991</v>
      </c>
      <c r="AX994">
        <v>49</v>
      </c>
    </row>
    <row r="995" spans="1:56" x14ac:dyDescent="0.3">
      <c r="A995">
        <v>10994</v>
      </c>
      <c r="B995">
        <v>1</v>
      </c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1</v>
      </c>
      <c r="W995">
        <v>0</v>
      </c>
      <c r="X995">
        <v>0</v>
      </c>
      <c r="Y995">
        <v>0</v>
      </c>
      <c r="Z995">
        <v>1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4.9020000000000001</v>
      </c>
      <c r="AV995">
        <v>1.8833333333333335</v>
      </c>
      <c r="AW995">
        <v>862.53</v>
      </c>
      <c r="AX995">
        <v>46</v>
      </c>
    </row>
    <row r="996" spans="1:56" x14ac:dyDescent="0.3">
      <c r="A996">
        <v>10995</v>
      </c>
      <c r="B996">
        <v>1</v>
      </c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1</v>
      </c>
      <c r="W996">
        <v>0</v>
      </c>
      <c r="X996">
        <v>0</v>
      </c>
      <c r="Y996">
        <v>0</v>
      </c>
      <c r="Z996">
        <v>1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5.2579999999999991</v>
      </c>
      <c r="AV996">
        <v>1.0833333333333333</v>
      </c>
      <c r="AW996">
        <v>867.44999999999993</v>
      </c>
      <c r="AX996">
        <v>47.3</v>
      </c>
    </row>
    <row r="997" spans="1:56" x14ac:dyDescent="0.3">
      <c r="A997">
        <v>10996</v>
      </c>
      <c r="B997">
        <v>1</v>
      </c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1</v>
      </c>
      <c r="W997">
        <v>0</v>
      </c>
      <c r="X997">
        <v>0</v>
      </c>
      <c r="Y997">
        <v>0</v>
      </c>
      <c r="Z997">
        <v>1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4.6500000000000004</v>
      </c>
      <c r="AV997">
        <v>2.0833333333333335</v>
      </c>
      <c r="AW997">
        <v>822.09999999999991</v>
      </c>
      <c r="AX997">
        <v>49</v>
      </c>
    </row>
    <row r="998" spans="1:56" x14ac:dyDescent="0.3">
      <c r="A998">
        <v>10997</v>
      </c>
      <c r="B998">
        <v>1</v>
      </c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1</v>
      </c>
      <c r="W998">
        <v>0</v>
      </c>
      <c r="X998">
        <v>0</v>
      </c>
      <c r="Y998">
        <v>0</v>
      </c>
      <c r="Z998">
        <v>1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4.9020000000000001</v>
      </c>
      <c r="AV998">
        <v>1.8499999999999999</v>
      </c>
      <c r="AW998">
        <v>862.11</v>
      </c>
      <c r="AX998">
        <v>46</v>
      </c>
    </row>
    <row r="999" spans="1:56" x14ac:dyDescent="0.3">
      <c r="A999">
        <v>10998</v>
      </c>
      <c r="B999">
        <v>1</v>
      </c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1</v>
      </c>
      <c r="W999">
        <v>0</v>
      </c>
      <c r="X999">
        <v>0</v>
      </c>
      <c r="Y999">
        <v>0</v>
      </c>
      <c r="Z999">
        <v>1</v>
      </c>
      <c r="AA999">
        <v>0</v>
      </c>
      <c r="AB999">
        <v>0</v>
      </c>
      <c r="AC999">
        <v>0</v>
      </c>
      <c r="AD999">
        <v>950</v>
      </c>
      <c r="AE999">
        <v>1</v>
      </c>
      <c r="AF999">
        <v>1</v>
      </c>
      <c r="AG999">
        <v>0</v>
      </c>
      <c r="AH999">
        <v>0</v>
      </c>
      <c r="AI999">
        <v>650</v>
      </c>
      <c r="AJ999">
        <v>6</v>
      </c>
      <c r="AK999">
        <v>0</v>
      </c>
      <c r="AL999">
        <v>1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-5.8704000000000001</v>
      </c>
      <c r="AV999">
        <v>7.5333333333333332</v>
      </c>
      <c r="AW999">
        <v>881.52</v>
      </c>
      <c r="AY999">
        <v>970</v>
      </c>
      <c r="AZ999">
        <v>1032</v>
      </c>
      <c r="BA999">
        <v>2.7</v>
      </c>
      <c r="BD999" t="s">
        <v>108</v>
      </c>
    </row>
    <row r="1000" spans="1:56" x14ac:dyDescent="0.3">
      <c r="A1000">
        <v>10999</v>
      </c>
      <c r="B1000">
        <v>1</v>
      </c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1</v>
      </c>
      <c r="W1000">
        <v>0</v>
      </c>
      <c r="X1000">
        <v>0</v>
      </c>
      <c r="Y1000">
        <v>0</v>
      </c>
      <c r="Z1000">
        <v>1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-0.8136000000000001</v>
      </c>
      <c r="AV1000">
        <v>7.5016666666666669</v>
      </c>
      <c r="AW1000">
        <v>844.64</v>
      </c>
      <c r="AY1000">
        <v>908</v>
      </c>
      <c r="AZ1000">
        <v>1043</v>
      </c>
      <c r="BA1000">
        <v>9.4</v>
      </c>
      <c r="BD1000" t="s">
        <v>204</v>
      </c>
    </row>
    <row r="1001" spans="1:56" x14ac:dyDescent="0.3">
      <c r="A1001">
        <v>11000</v>
      </c>
      <c r="B1001">
        <v>1</v>
      </c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1</v>
      </c>
      <c r="W1001">
        <v>0</v>
      </c>
      <c r="X1001">
        <v>0</v>
      </c>
      <c r="Y1001">
        <v>0</v>
      </c>
      <c r="Z1001">
        <v>1</v>
      </c>
      <c r="AA1001">
        <v>0</v>
      </c>
      <c r="AB1001">
        <v>0</v>
      </c>
      <c r="AC1001">
        <v>0</v>
      </c>
      <c r="AD1001">
        <v>900</v>
      </c>
      <c r="AE1001">
        <v>2</v>
      </c>
      <c r="AF1001">
        <v>0</v>
      </c>
      <c r="AG1001">
        <v>1</v>
      </c>
      <c r="AH1001">
        <v>0</v>
      </c>
      <c r="AI1001">
        <v>590</v>
      </c>
      <c r="AJ1001">
        <v>4</v>
      </c>
      <c r="AK1001">
        <v>0</v>
      </c>
      <c r="AL1001">
        <v>1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-0.8136000000000001</v>
      </c>
      <c r="AV1001">
        <v>7.5016666666666669</v>
      </c>
      <c r="AW1001">
        <v>844.64</v>
      </c>
      <c r="AY1001">
        <v>1063</v>
      </c>
      <c r="AZ1001">
        <v>1181</v>
      </c>
      <c r="BA1001">
        <v>6.6</v>
      </c>
      <c r="BD1001" t="s">
        <v>204</v>
      </c>
    </row>
    <row r="1002" spans="1:56" x14ac:dyDescent="0.3">
      <c r="A1002">
        <v>11001</v>
      </c>
      <c r="B1002">
        <v>1</v>
      </c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1</v>
      </c>
      <c r="W1002">
        <v>0</v>
      </c>
      <c r="X1002">
        <v>0</v>
      </c>
      <c r="Y1002">
        <v>0</v>
      </c>
      <c r="Z1002">
        <v>1</v>
      </c>
      <c r="AA1002">
        <v>0</v>
      </c>
      <c r="AB1002">
        <v>0</v>
      </c>
      <c r="AC1002">
        <v>0</v>
      </c>
      <c r="AD1002">
        <v>915</v>
      </c>
      <c r="AE1002">
        <v>2</v>
      </c>
      <c r="AF1002">
        <v>0</v>
      </c>
      <c r="AG1002">
        <v>1</v>
      </c>
      <c r="AH1002">
        <v>0</v>
      </c>
      <c r="AI1002">
        <v>590</v>
      </c>
      <c r="AJ1002">
        <v>4</v>
      </c>
      <c r="AK1002">
        <v>0</v>
      </c>
      <c r="AL1002">
        <v>1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-0.8136000000000001</v>
      </c>
      <c r="AV1002">
        <v>7.5016666666666669</v>
      </c>
      <c r="AW1002">
        <v>844.64</v>
      </c>
      <c r="AY1002">
        <v>1086</v>
      </c>
      <c r="AZ1002">
        <v>1213</v>
      </c>
      <c r="BA1002">
        <v>5.6</v>
      </c>
      <c r="BD1002" t="s">
        <v>204</v>
      </c>
    </row>
    <row r="1003" spans="1:56" x14ac:dyDescent="0.3">
      <c r="A1003">
        <v>11002</v>
      </c>
      <c r="B1003">
        <v>1</v>
      </c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1</v>
      </c>
      <c r="W1003">
        <v>0</v>
      </c>
      <c r="X1003">
        <v>0</v>
      </c>
      <c r="Y1003">
        <v>0</v>
      </c>
      <c r="Z1003">
        <v>1</v>
      </c>
      <c r="AA1003">
        <v>0</v>
      </c>
      <c r="AB1003">
        <v>0</v>
      </c>
      <c r="AC1003">
        <v>0</v>
      </c>
      <c r="AD1003">
        <v>930</v>
      </c>
      <c r="AE1003">
        <v>2</v>
      </c>
      <c r="AF1003">
        <v>0</v>
      </c>
      <c r="AG1003">
        <v>1</v>
      </c>
      <c r="AH1003">
        <v>0</v>
      </c>
      <c r="AI1003">
        <v>590</v>
      </c>
      <c r="AJ1003">
        <v>4</v>
      </c>
      <c r="AK1003">
        <v>0</v>
      </c>
      <c r="AL1003">
        <v>1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-0.8136000000000001</v>
      </c>
      <c r="AV1003">
        <v>7.5016666666666669</v>
      </c>
      <c r="AW1003">
        <v>844.64</v>
      </c>
      <c r="AY1003">
        <v>1101</v>
      </c>
      <c r="AZ1003">
        <v>1244</v>
      </c>
      <c r="BA1003">
        <v>4.3</v>
      </c>
      <c r="BD1003" t="s">
        <v>204</v>
      </c>
    </row>
    <row r="1004" spans="1:56" x14ac:dyDescent="0.3">
      <c r="A1004">
        <v>11003</v>
      </c>
      <c r="B1004">
        <v>1</v>
      </c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1</v>
      </c>
      <c r="W1004">
        <v>0</v>
      </c>
      <c r="X1004">
        <v>0</v>
      </c>
      <c r="Y1004">
        <v>0</v>
      </c>
      <c r="Z1004">
        <v>1</v>
      </c>
      <c r="AA1004">
        <v>0</v>
      </c>
      <c r="AB1004">
        <v>0</v>
      </c>
      <c r="AC1004">
        <v>0</v>
      </c>
      <c r="AD1004">
        <v>945</v>
      </c>
      <c r="AE1004">
        <v>2</v>
      </c>
      <c r="AF1004">
        <v>0</v>
      </c>
      <c r="AG1004">
        <v>1</v>
      </c>
      <c r="AH1004">
        <v>0</v>
      </c>
      <c r="AI1004">
        <v>590</v>
      </c>
      <c r="AJ1004">
        <v>4</v>
      </c>
      <c r="AK1004">
        <v>0</v>
      </c>
      <c r="AL1004">
        <v>1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-0.8136000000000001</v>
      </c>
      <c r="AV1004">
        <v>7.5016666666666669</v>
      </c>
      <c r="AW1004">
        <v>844.64</v>
      </c>
      <c r="AY1004">
        <v>1140</v>
      </c>
      <c r="AZ1004">
        <v>1266</v>
      </c>
      <c r="BA1004">
        <v>5.5</v>
      </c>
      <c r="BD1004" t="s">
        <v>204</v>
      </c>
    </row>
    <row r="1005" spans="1:56" x14ac:dyDescent="0.3">
      <c r="A1005">
        <v>11004</v>
      </c>
      <c r="B1005">
        <v>1</v>
      </c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1</v>
      </c>
      <c r="W1005">
        <v>0</v>
      </c>
      <c r="X1005">
        <v>0</v>
      </c>
      <c r="Y1005">
        <v>0</v>
      </c>
      <c r="Z1005">
        <v>1</v>
      </c>
      <c r="AA1005">
        <v>0</v>
      </c>
      <c r="AB1005">
        <v>0</v>
      </c>
      <c r="AC1005">
        <v>0</v>
      </c>
      <c r="AD1005">
        <v>930</v>
      </c>
      <c r="AE1005">
        <v>2</v>
      </c>
      <c r="AF1005">
        <v>0</v>
      </c>
      <c r="AG1005">
        <v>1</v>
      </c>
      <c r="AH1005">
        <v>0</v>
      </c>
      <c r="AI1005">
        <v>590</v>
      </c>
      <c r="AJ1005">
        <v>2</v>
      </c>
      <c r="AK1005">
        <v>0</v>
      </c>
      <c r="AL1005">
        <v>1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-0.8136000000000001</v>
      </c>
      <c r="AV1005">
        <v>7.5016666666666669</v>
      </c>
      <c r="AW1005">
        <v>844.64</v>
      </c>
      <c r="AY1005">
        <v>1107.5999999999999</v>
      </c>
      <c r="AZ1005">
        <v>1237.8</v>
      </c>
      <c r="BA1005">
        <v>3.74</v>
      </c>
      <c r="BD1005" t="s">
        <v>204</v>
      </c>
    </row>
    <row r="1006" spans="1:56" x14ac:dyDescent="0.3">
      <c r="A1006">
        <v>11005</v>
      </c>
      <c r="B1006">
        <v>1</v>
      </c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1</v>
      </c>
      <c r="W1006">
        <v>0</v>
      </c>
      <c r="X1006">
        <v>0</v>
      </c>
      <c r="Y1006">
        <v>0</v>
      </c>
      <c r="Z1006">
        <v>1</v>
      </c>
      <c r="AA1006">
        <v>0</v>
      </c>
      <c r="AB1006">
        <v>0</v>
      </c>
      <c r="AC1006">
        <v>0</v>
      </c>
      <c r="AD1006">
        <v>930</v>
      </c>
      <c r="AE1006">
        <v>2</v>
      </c>
      <c r="AF1006">
        <v>0</v>
      </c>
      <c r="AG1006">
        <v>1</v>
      </c>
      <c r="AH1006">
        <v>0</v>
      </c>
      <c r="AI1006">
        <v>590</v>
      </c>
      <c r="AJ1006">
        <v>4</v>
      </c>
      <c r="AK1006">
        <v>0</v>
      </c>
      <c r="AL1006">
        <v>1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-0.8136000000000001</v>
      </c>
      <c r="AV1006">
        <v>7.5016666666666669</v>
      </c>
      <c r="AW1006">
        <v>844.64</v>
      </c>
      <c r="AY1006">
        <v>1094.4000000000001</v>
      </c>
      <c r="AZ1006">
        <v>1237</v>
      </c>
      <c r="BA1006">
        <v>4.3</v>
      </c>
      <c r="BD1006" t="s">
        <v>204</v>
      </c>
    </row>
    <row r="1007" spans="1:56" x14ac:dyDescent="0.3">
      <c r="A1007">
        <v>11006</v>
      </c>
      <c r="B1007">
        <v>1</v>
      </c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1</v>
      </c>
      <c r="W1007">
        <v>0</v>
      </c>
      <c r="X1007">
        <v>0</v>
      </c>
      <c r="Y1007">
        <v>0</v>
      </c>
      <c r="Z1007">
        <v>1</v>
      </c>
      <c r="AA1007">
        <v>0</v>
      </c>
      <c r="AB1007">
        <v>0</v>
      </c>
      <c r="AC1007">
        <v>0</v>
      </c>
      <c r="AD1007">
        <v>930</v>
      </c>
      <c r="AE1007">
        <v>2</v>
      </c>
      <c r="AF1007">
        <v>0</v>
      </c>
      <c r="AG1007">
        <v>1</v>
      </c>
      <c r="AH1007">
        <v>0</v>
      </c>
      <c r="AI1007">
        <v>590</v>
      </c>
      <c r="AJ1007">
        <v>6</v>
      </c>
      <c r="AK1007">
        <v>0</v>
      </c>
      <c r="AL1007">
        <v>1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-0.8136000000000001</v>
      </c>
      <c r="AV1007">
        <v>7.5016666666666669</v>
      </c>
      <c r="AW1007">
        <v>844.64</v>
      </c>
      <c r="AY1007">
        <v>1123</v>
      </c>
      <c r="AZ1007">
        <v>1248.5999999999999</v>
      </c>
      <c r="BA1007">
        <v>5.55</v>
      </c>
      <c r="BD1007" t="s">
        <v>204</v>
      </c>
    </row>
    <row r="1008" spans="1:56" x14ac:dyDescent="0.3">
      <c r="A1008">
        <v>11007</v>
      </c>
      <c r="B1008">
        <v>1</v>
      </c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1</v>
      </c>
      <c r="W1008">
        <v>0</v>
      </c>
      <c r="X1008">
        <v>0</v>
      </c>
      <c r="Y1008">
        <v>0</v>
      </c>
      <c r="Z1008">
        <v>1</v>
      </c>
      <c r="AA1008">
        <v>0</v>
      </c>
      <c r="AB1008">
        <v>0</v>
      </c>
      <c r="AC1008">
        <v>0</v>
      </c>
      <c r="AD1008">
        <v>930</v>
      </c>
      <c r="AE1008">
        <v>2</v>
      </c>
      <c r="AF1008">
        <v>0</v>
      </c>
      <c r="AG1008">
        <v>1</v>
      </c>
      <c r="AH1008">
        <v>0</v>
      </c>
      <c r="AI1008">
        <v>590</v>
      </c>
      <c r="AJ1008">
        <v>8</v>
      </c>
      <c r="AK1008">
        <v>0</v>
      </c>
      <c r="AL1008">
        <v>1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-0.8136000000000001</v>
      </c>
      <c r="AV1008">
        <v>7.5016666666666669</v>
      </c>
      <c r="AW1008">
        <v>844.64</v>
      </c>
      <c r="AY1008">
        <v>1119.2</v>
      </c>
      <c r="AZ1008">
        <v>1226</v>
      </c>
      <c r="BA1008">
        <v>4.13</v>
      </c>
      <c r="BD1008" t="s">
        <v>204</v>
      </c>
    </row>
    <row r="1009" spans="1:56" x14ac:dyDescent="0.3">
      <c r="A1009">
        <v>11008</v>
      </c>
      <c r="B1009">
        <v>1</v>
      </c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1</v>
      </c>
      <c r="W1009">
        <v>0</v>
      </c>
      <c r="X1009">
        <v>0</v>
      </c>
      <c r="Y1009">
        <v>0</v>
      </c>
      <c r="Z1009">
        <v>1</v>
      </c>
      <c r="AA1009">
        <v>0</v>
      </c>
      <c r="AB1009">
        <v>0</v>
      </c>
      <c r="AC1009">
        <v>0</v>
      </c>
      <c r="AD1009">
        <v>930</v>
      </c>
      <c r="AE1009">
        <v>2</v>
      </c>
      <c r="AF1009">
        <v>0</v>
      </c>
      <c r="AG1009">
        <v>1</v>
      </c>
      <c r="AH1009">
        <v>0</v>
      </c>
      <c r="AI1009">
        <v>500</v>
      </c>
      <c r="AJ1009">
        <v>4</v>
      </c>
      <c r="AK1009">
        <v>0</v>
      </c>
      <c r="AL1009">
        <v>1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-0.8136000000000001</v>
      </c>
      <c r="AV1009">
        <v>7.5016666666666669</v>
      </c>
      <c r="AW1009">
        <v>844.64</v>
      </c>
      <c r="AY1009">
        <v>1108</v>
      </c>
      <c r="AZ1009">
        <v>1255</v>
      </c>
      <c r="BA1009">
        <v>2.5</v>
      </c>
      <c r="BD1009" t="s">
        <v>204</v>
      </c>
    </row>
    <row r="1010" spans="1:56" x14ac:dyDescent="0.3">
      <c r="A1010">
        <v>11009</v>
      </c>
      <c r="B1010">
        <v>1</v>
      </c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</v>
      </c>
      <c r="W1010">
        <v>0</v>
      </c>
      <c r="X1010">
        <v>0</v>
      </c>
      <c r="Y1010">
        <v>0</v>
      </c>
      <c r="Z1010">
        <v>1</v>
      </c>
      <c r="AA1010">
        <v>0</v>
      </c>
      <c r="AB1010">
        <v>0</v>
      </c>
      <c r="AC1010">
        <v>0</v>
      </c>
      <c r="AD1010">
        <v>930</v>
      </c>
      <c r="AE1010">
        <v>2</v>
      </c>
      <c r="AF1010">
        <v>0</v>
      </c>
      <c r="AG1010">
        <v>1</v>
      </c>
      <c r="AH1010">
        <v>0</v>
      </c>
      <c r="AI1010">
        <v>530</v>
      </c>
      <c r="AJ1010">
        <v>4</v>
      </c>
      <c r="AK1010">
        <v>0</v>
      </c>
      <c r="AL1010">
        <v>1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-0.8136000000000001</v>
      </c>
      <c r="AV1010">
        <v>7.5016666666666669</v>
      </c>
      <c r="AW1010">
        <v>844.64</v>
      </c>
      <c r="AY1010">
        <v>1109</v>
      </c>
      <c r="AZ1010">
        <v>1261</v>
      </c>
      <c r="BA1010">
        <v>5.35</v>
      </c>
      <c r="BD1010" t="s">
        <v>204</v>
      </c>
    </row>
    <row r="1011" spans="1:56" x14ac:dyDescent="0.3">
      <c r="A1011">
        <v>11010</v>
      </c>
      <c r="B1011">
        <v>1</v>
      </c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1</v>
      </c>
      <c r="W1011">
        <v>0</v>
      </c>
      <c r="X1011">
        <v>0</v>
      </c>
      <c r="Y1011">
        <v>0</v>
      </c>
      <c r="Z1011">
        <v>1</v>
      </c>
      <c r="AA1011">
        <v>0</v>
      </c>
      <c r="AB1011">
        <v>0</v>
      </c>
      <c r="AC1011">
        <v>0</v>
      </c>
      <c r="AD1011">
        <v>930</v>
      </c>
      <c r="AE1011">
        <v>2</v>
      </c>
      <c r="AF1011">
        <v>0</v>
      </c>
      <c r="AG1011">
        <v>1</v>
      </c>
      <c r="AH1011">
        <v>0</v>
      </c>
      <c r="AI1011">
        <v>560</v>
      </c>
      <c r="AJ1011">
        <v>4</v>
      </c>
      <c r="AK1011">
        <v>0</v>
      </c>
      <c r="AL1011">
        <v>1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-0.8136000000000001</v>
      </c>
      <c r="AV1011">
        <v>7.5016666666666669</v>
      </c>
      <c r="AW1011">
        <v>844.64</v>
      </c>
      <c r="AY1011">
        <v>1124</v>
      </c>
      <c r="AZ1011">
        <v>1265</v>
      </c>
      <c r="BA1011">
        <v>2.94</v>
      </c>
      <c r="BD1011" t="s">
        <v>204</v>
      </c>
    </row>
    <row r="1012" spans="1:56" x14ac:dyDescent="0.3">
      <c r="A1012">
        <v>11011</v>
      </c>
      <c r="B1012">
        <v>1</v>
      </c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1</v>
      </c>
      <c r="W1012">
        <v>0</v>
      </c>
      <c r="X1012">
        <v>0</v>
      </c>
      <c r="Y1012">
        <v>0</v>
      </c>
      <c r="Z1012">
        <v>1</v>
      </c>
      <c r="AA1012">
        <v>0</v>
      </c>
      <c r="AB1012">
        <v>0</v>
      </c>
      <c r="AC1012">
        <v>0</v>
      </c>
      <c r="AD1012">
        <v>930</v>
      </c>
      <c r="AE1012">
        <v>2</v>
      </c>
      <c r="AF1012">
        <v>0</v>
      </c>
      <c r="AG1012">
        <v>1</v>
      </c>
      <c r="AH1012">
        <v>0</v>
      </c>
      <c r="AI1012">
        <v>590</v>
      </c>
      <c r="AJ1012">
        <v>4</v>
      </c>
      <c r="AK1012">
        <v>0</v>
      </c>
      <c r="AL1012">
        <v>1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-0.8136000000000001</v>
      </c>
      <c r="AV1012">
        <v>7.5016666666666669</v>
      </c>
      <c r="AW1012">
        <v>844.64</v>
      </c>
      <c r="AY1012">
        <v>1095</v>
      </c>
      <c r="AZ1012">
        <v>1238</v>
      </c>
      <c r="BA1012">
        <v>4.3600000000000003</v>
      </c>
      <c r="BD1012" t="s">
        <v>204</v>
      </c>
    </row>
    <row r="1013" spans="1:56" x14ac:dyDescent="0.3">
      <c r="A1013">
        <v>11012</v>
      </c>
      <c r="B1013">
        <v>1</v>
      </c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1</v>
      </c>
      <c r="W1013">
        <v>0</v>
      </c>
      <c r="X1013">
        <v>0</v>
      </c>
      <c r="Y1013">
        <v>0</v>
      </c>
      <c r="Z1013">
        <v>1</v>
      </c>
      <c r="AA1013">
        <v>0</v>
      </c>
      <c r="AB1013">
        <v>0</v>
      </c>
      <c r="AC1013">
        <v>0</v>
      </c>
      <c r="AD1013">
        <v>850</v>
      </c>
      <c r="AE1013">
        <v>1</v>
      </c>
      <c r="AF1013">
        <v>0</v>
      </c>
      <c r="AG1013">
        <v>1</v>
      </c>
      <c r="AH1013">
        <v>0</v>
      </c>
      <c r="AI1013">
        <v>600</v>
      </c>
      <c r="AJ1013">
        <v>4</v>
      </c>
      <c r="AK1013">
        <v>0</v>
      </c>
      <c r="AL1013">
        <v>1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-3.9999999999999147E-2</v>
      </c>
      <c r="AV1013">
        <v>7</v>
      </c>
      <c r="AW1013">
        <v>842.55000000000007</v>
      </c>
      <c r="AY1013">
        <v>1136</v>
      </c>
      <c r="AZ1013">
        <v>1213</v>
      </c>
      <c r="BA1013">
        <v>10</v>
      </c>
      <c r="BD1013" t="s">
        <v>205</v>
      </c>
    </row>
    <row r="1014" spans="1:56" x14ac:dyDescent="0.3">
      <c r="A1014">
        <v>11013</v>
      </c>
      <c r="B1014">
        <v>1</v>
      </c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1</v>
      </c>
      <c r="W1014">
        <v>0</v>
      </c>
      <c r="X1014">
        <v>0</v>
      </c>
      <c r="Y1014">
        <v>0</v>
      </c>
      <c r="Z1014">
        <v>1</v>
      </c>
      <c r="AA1014">
        <v>0</v>
      </c>
      <c r="AB1014">
        <v>0</v>
      </c>
      <c r="AC1014">
        <v>0</v>
      </c>
      <c r="AD1014">
        <v>900</v>
      </c>
      <c r="AE1014">
        <v>1</v>
      </c>
      <c r="AF1014">
        <v>0</v>
      </c>
      <c r="AG1014">
        <v>1</v>
      </c>
      <c r="AH1014">
        <v>0</v>
      </c>
      <c r="AI1014">
        <v>600</v>
      </c>
      <c r="AJ1014">
        <v>4</v>
      </c>
      <c r="AK1014">
        <v>0</v>
      </c>
      <c r="AL1014">
        <v>1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-3.9999999999999147E-2</v>
      </c>
      <c r="AV1014">
        <v>7</v>
      </c>
      <c r="AW1014">
        <v>842.55000000000007</v>
      </c>
      <c r="AY1014">
        <v>1248</v>
      </c>
      <c r="AZ1014">
        <v>1340</v>
      </c>
      <c r="BA1014">
        <v>9</v>
      </c>
      <c r="BD1014" t="s">
        <v>205</v>
      </c>
    </row>
    <row r="1015" spans="1:56" x14ac:dyDescent="0.3">
      <c r="A1015">
        <v>11014</v>
      </c>
      <c r="B1015">
        <v>1</v>
      </c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1</v>
      </c>
      <c r="W1015">
        <v>0</v>
      </c>
      <c r="X1015">
        <v>0</v>
      </c>
      <c r="Y1015">
        <v>0</v>
      </c>
      <c r="Z1015">
        <v>1</v>
      </c>
      <c r="AA1015">
        <v>0</v>
      </c>
      <c r="AB1015">
        <v>0</v>
      </c>
      <c r="AC1015">
        <v>0</v>
      </c>
      <c r="AD1015">
        <v>920</v>
      </c>
      <c r="AE1015">
        <v>1</v>
      </c>
      <c r="AF1015">
        <v>0</v>
      </c>
      <c r="AG1015">
        <v>1</v>
      </c>
      <c r="AH1015">
        <v>0</v>
      </c>
      <c r="AI1015">
        <v>600</v>
      </c>
      <c r="AJ1015">
        <v>4</v>
      </c>
      <c r="AK1015">
        <v>0</v>
      </c>
      <c r="AL1015">
        <v>1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-3.9999999999999147E-2</v>
      </c>
      <c r="AV1015">
        <v>7</v>
      </c>
      <c r="AW1015">
        <v>842.55000000000007</v>
      </c>
      <c r="AY1015">
        <v>1175</v>
      </c>
      <c r="AZ1015">
        <v>1259</v>
      </c>
      <c r="BA1015">
        <v>8</v>
      </c>
      <c r="BD1015" t="s">
        <v>205</v>
      </c>
    </row>
    <row r="1016" spans="1:56" x14ac:dyDescent="0.3">
      <c r="A1016">
        <v>11015</v>
      </c>
      <c r="B1016">
        <v>1</v>
      </c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1</v>
      </c>
      <c r="W1016">
        <v>0</v>
      </c>
      <c r="X1016">
        <v>0</v>
      </c>
      <c r="Y1016">
        <v>0</v>
      </c>
      <c r="Z1016">
        <v>1</v>
      </c>
      <c r="AA1016">
        <v>0</v>
      </c>
      <c r="AB1016">
        <v>0</v>
      </c>
      <c r="AC1016">
        <v>0</v>
      </c>
      <c r="AD1016">
        <v>920</v>
      </c>
      <c r="AE1016">
        <v>1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-3.9999999999999147E-2</v>
      </c>
      <c r="AV1016">
        <v>7</v>
      </c>
      <c r="AW1016">
        <v>842.55000000000007</v>
      </c>
      <c r="AY1016">
        <v>943</v>
      </c>
      <c r="AZ1016">
        <v>1018</v>
      </c>
      <c r="BA1016">
        <v>20</v>
      </c>
      <c r="BD1016" t="s">
        <v>205</v>
      </c>
    </row>
    <row r="1017" spans="1:56" x14ac:dyDescent="0.3">
      <c r="A1017">
        <v>11016</v>
      </c>
      <c r="B1017">
        <v>1</v>
      </c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1</v>
      </c>
      <c r="W1017">
        <v>0</v>
      </c>
      <c r="X1017">
        <v>0</v>
      </c>
      <c r="Y1017">
        <v>0</v>
      </c>
      <c r="Z1017">
        <v>1</v>
      </c>
      <c r="AA1017">
        <v>0</v>
      </c>
      <c r="AB1017">
        <v>0</v>
      </c>
      <c r="AC1017">
        <v>0</v>
      </c>
      <c r="AD1017">
        <v>970</v>
      </c>
      <c r="AE1017">
        <v>1</v>
      </c>
      <c r="AF1017">
        <v>0</v>
      </c>
      <c r="AG1017">
        <v>1</v>
      </c>
      <c r="AH1017">
        <v>0</v>
      </c>
      <c r="AI1017">
        <v>600</v>
      </c>
      <c r="AJ1017">
        <v>4</v>
      </c>
      <c r="AK1017">
        <v>0</v>
      </c>
      <c r="AL1017">
        <v>1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-3.9999999999999147E-2</v>
      </c>
      <c r="AV1017">
        <v>7</v>
      </c>
      <c r="AW1017">
        <v>842.55000000000007</v>
      </c>
      <c r="AY1017">
        <v>1299</v>
      </c>
      <c r="AZ1017">
        <v>1318</v>
      </c>
      <c r="BA1017">
        <v>1</v>
      </c>
      <c r="BD1017" t="s">
        <v>205</v>
      </c>
    </row>
    <row r="1018" spans="1:56" x14ac:dyDescent="0.3">
      <c r="A1018">
        <v>11017</v>
      </c>
      <c r="B1018">
        <v>1</v>
      </c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1</v>
      </c>
      <c r="W1018">
        <v>0</v>
      </c>
      <c r="X1018">
        <v>0</v>
      </c>
      <c r="Y1018">
        <v>0</v>
      </c>
      <c r="Z1018">
        <v>1</v>
      </c>
      <c r="AA1018">
        <v>0</v>
      </c>
      <c r="AB1018">
        <v>0</v>
      </c>
      <c r="AC1018">
        <v>0</v>
      </c>
      <c r="AD1018">
        <v>970</v>
      </c>
      <c r="AE1018">
        <v>1</v>
      </c>
      <c r="AF1018">
        <v>0</v>
      </c>
      <c r="AG1018">
        <v>0</v>
      </c>
      <c r="AH1018">
        <v>0</v>
      </c>
      <c r="AI1018">
        <v>600</v>
      </c>
      <c r="AJ1018">
        <v>4</v>
      </c>
      <c r="AK1018">
        <v>0</v>
      </c>
      <c r="AL1018">
        <v>1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-3.9999999999999147E-2</v>
      </c>
      <c r="AV1018">
        <v>7</v>
      </c>
      <c r="AW1018">
        <v>842.55000000000007</v>
      </c>
      <c r="AY1018">
        <v>938</v>
      </c>
      <c r="AZ1018">
        <v>1064</v>
      </c>
      <c r="BA1018">
        <v>9</v>
      </c>
      <c r="BC1018" t="s">
        <v>356</v>
      </c>
      <c r="BD1018" t="s">
        <v>205</v>
      </c>
    </row>
    <row r="1019" spans="1:56" x14ac:dyDescent="0.3">
      <c r="A1019">
        <v>11018</v>
      </c>
      <c r="B1019">
        <v>1</v>
      </c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1</v>
      </c>
      <c r="W1019">
        <v>0</v>
      </c>
      <c r="X1019">
        <v>0</v>
      </c>
      <c r="Y1019">
        <v>0</v>
      </c>
      <c r="Z1019">
        <v>1</v>
      </c>
      <c r="AA1019">
        <v>0</v>
      </c>
      <c r="AB1019">
        <v>0</v>
      </c>
      <c r="AC1019">
        <v>0</v>
      </c>
      <c r="AD1019">
        <v>970</v>
      </c>
      <c r="AE1019">
        <v>1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-3.9999999999999147E-2</v>
      </c>
      <c r="AV1019">
        <v>7</v>
      </c>
      <c r="AW1019">
        <v>842.55000000000007</v>
      </c>
      <c r="AY1019">
        <v>950</v>
      </c>
      <c r="AZ1019">
        <v>1059</v>
      </c>
      <c r="BA1019">
        <v>10</v>
      </c>
      <c r="BC1019" t="s">
        <v>356</v>
      </c>
      <c r="BD1019" t="s">
        <v>205</v>
      </c>
    </row>
    <row r="1020" spans="1:56" x14ac:dyDescent="0.3">
      <c r="A1020">
        <v>11019</v>
      </c>
      <c r="B1020">
        <v>1</v>
      </c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1</v>
      </c>
      <c r="W1020">
        <v>0</v>
      </c>
      <c r="X1020">
        <v>0</v>
      </c>
      <c r="Y1020">
        <v>0</v>
      </c>
      <c r="Z1020">
        <v>1</v>
      </c>
      <c r="AA1020">
        <v>0</v>
      </c>
      <c r="AB1020">
        <v>0</v>
      </c>
      <c r="AC1020">
        <v>0</v>
      </c>
      <c r="AD1020">
        <v>800</v>
      </c>
      <c r="AE1020">
        <v>1</v>
      </c>
      <c r="AF1020">
        <v>0</v>
      </c>
      <c r="AG1020">
        <v>1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-0.11479999999999979</v>
      </c>
      <c r="AV1020">
        <v>7.3233333333333333</v>
      </c>
      <c r="AW1020">
        <v>840.1629999999999</v>
      </c>
      <c r="AY1020">
        <v>1010</v>
      </c>
      <c r="AZ1020">
        <v>1184</v>
      </c>
      <c r="BA1020">
        <v>19</v>
      </c>
      <c r="BC1020" t="s">
        <v>356</v>
      </c>
      <c r="BD1020" t="s">
        <v>108</v>
      </c>
    </row>
    <row r="1021" spans="1:56" x14ac:dyDescent="0.3">
      <c r="A1021">
        <v>11020</v>
      </c>
      <c r="B1021">
        <v>1</v>
      </c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1</v>
      </c>
      <c r="W1021">
        <v>0</v>
      </c>
      <c r="X1021">
        <v>0</v>
      </c>
      <c r="Y1021">
        <v>0</v>
      </c>
      <c r="Z1021">
        <v>1</v>
      </c>
      <c r="AA1021">
        <v>0</v>
      </c>
      <c r="AB1021">
        <v>0</v>
      </c>
      <c r="AC1021">
        <v>0</v>
      </c>
      <c r="AD1021">
        <v>800</v>
      </c>
      <c r="AE1021">
        <v>3</v>
      </c>
      <c r="AF1021">
        <v>0</v>
      </c>
      <c r="AG1021">
        <v>1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-0.11479999999999979</v>
      </c>
      <c r="AV1021">
        <v>7.3233333333333333</v>
      </c>
      <c r="AW1021">
        <v>840.1629999999999</v>
      </c>
      <c r="AY1021">
        <v>1002</v>
      </c>
      <c r="AZ1021">
        <v>1177</v>
      </c>
      <c r="BA1021">
        <v>19.3</v>
      </c>
      <c r="BC1021" t="s">
        <v>356</v>
      </c>
      <c r="BD1021" t="s">
        <v>108</v>
      </c>
    </row>
    <row r="1022" spans="1:56" x14ac:dyDescent="0.3">
      <c r="A1022">
        <v>11021</v>
      </c>
      <c r="B1022">
        <v>1</v>
      </c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X1022">
        <v>0</v>
      </c>
      <c r="Y1022">
        <v>0</v>
      </c>
      <c r="Z1022">
        <v>1</v>
      </c>
      <c r="AA1022">
        <v>0</v>
      </c>
      <c r="AB1022">
        <v>0</v>
      </c>
      <c r="AC1022">
        <v>0</v>
      </c>
      <c r="AD1022">
        <v>800</v>
      </c>
      <c r="AE1022">
        <v>6</v>
      </c>
      <c r="AF1022">
        <v>0</v>
      </c>
      <c r="AG1022">
        <v>1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-0.11479999999999979</v>
      </c>
      <c r="AV1022">
        <v>7.3233333333333333</v>
      </c>
      <c r="AW1022">
        <v>840.1629999999999</v>
      </c>
      <c r="AY1022">
        <v>990</v>
      </c>
      <c r="AZ1022">
        <v>1156</v>
      </c>
      <c r="BA1022">
        <v>20.100000000000001</v>
      </c>
      <c r="BC1022" t="s">
        <v>356</v>
      </c>
      <c r="BD1022" t="s">
        <v>108</v>
      </c>
    </row>
    <row r="1023" spans="1:56" x14ac:dyDescent="0.3">
      <c r="A1023">
        <v>11022</v>
      </c>
      <c r="B1023">
        <v>1</v>
      </c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1</v>
      </c>
      <c r="W1023">
        <v>0</v>
      </c>
      <c r="X1023">
        <v>0</v>
      </c>
      <c r="Y1023">
        <v>0</v>
      </c>
      <c r="Z1023">
        <v>1</v>
      </c>
      <c r="AA1023">
        <v>0</v>
      </c>
      <c r="AB1023">
        <v>0</v>
      </c>
      <c r="AC1023">
        <v>0</v>
      </c>
      <c r="AD1023">
        <v>880</v>
      </c>
      <c r="AE1023">
        <v>1</v>
      </c>
      <c r="AF1023">
        <v>0</v>
      </c>
      <c r="AG1023">
        <v>1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-0.11479999999999979</v>
      </c>
      <c r="AV1023">
        <v>7.3233333333333333</v>
      </c>
      <c r="AW1023">
        <v>840.1629999999999</v>
      </c>
      <c r="AY1023">
        <v>695</v>
      </c>
      <c r="AZ1023">
        <v>1340</v>
      </c>
      <c r="BA1023">
        <v>20.3</v>
      </c>
      <c r="BC1023" t="s">
        <v>356</v>
      </c>
      <c r="BD1023" t="s">
        <v>108</v>
      </c>
    </row>
    <row r="1024" spans="1:56" x14ac:dyDescent="0.3">
      <c r="A1024">
        <v>11023</v>
      </c>
      <c r="B1024">
        <v>1</v>
      </c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880</v>
      </c>
      <c r="AE1024">
        <v>3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-0.11479999999999979</v>
      </c>
      <c r="AV1024">
        <v>7.3233333333333333</v>
      </c>
      <c r="AW1024">
        <v>840.1629999999999</v>
      </c>
      <c r="AY1024">
        <v>674</v>
      </c>
      <c r="AZ1024">
        <v>1333</v>
      </c>
      <c r="BA1024">
        <v>20.399999999999999</v>
      </c>
      <c r="BD1024" t="s">
        <v>108</v>
      </c>
    </row>
    <row r="1025" spans="1:56" x14ac:dyDescent="0.3">
      <c r="A1025">
        <v>11024</v>
      </c>
      <c r="B1025">
        <v>1</v>
      </c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880</v>
      </c>
      <c r="AE1025">
        <v>6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-0.11479999999999979</v>
      </c>
      <c r="AV1025">
        <v>7.3233333333333333</v>
      </c>
      <c r="AW1025">
        <v>840.1629999999999</v>
      </c>
      <c r="AY1025">
        <v>656</v>
      </c>
      <c r="AZ1025">
        <v>1317</v>
      </c>
      <c r="BA1025">
        <v>20.7</v>
      </c>
      <c r="BD1025" t="s">
        <v>108</v>
      </c>
    </row>
    <row r="1026" spans="1:56" x14ac:dyDescent="0.3">
      <c r="A1026">
        <v>11025</v>
      </c>
      <c r="B1026">
        <v>1</v>
      </c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920</v>
      </c>
      <c r="AE1026">
        <v>1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-0.11479999999999979</v>
      </c>
      <c r="AV1026">
        <v>7.3233333333333333</v>
      </c>
      <c r="AW1026">
        <v>840.1629999999999</v>
      </c>
      <c r="AY1026">
        <v>1126</v>
      </c>
      <c r="AZ1026">
        <v>1582</v>
      </c>
      <c r="BA1026">
        <v>10.1</v>
      </c>
      <c r="BD1026" t="s">
        <v>108</v>
      </c>
    </row>
    <row r="1027" spans="1:56" x14ac:dyDescent="0.3">
      <c r="A1027">
        <v>11026</v>
      </c>
      <c r="B1027">
        <v>1</v>
      </c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920</v>
      </c>
      <c r="AE1027">
        <v>3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-0.11479999999999979</v>
      </c>
      <c r="AV1027">
        <v>7.3233333333333333</v>
      </c>
      <c r="AW1027">
        <v>840.1629999999999</v>
      </c>
      <c r="AY1027">
        <v>1040</v>
      </c>
      <c r="AZ1027">
        <v>1565</v>
      </c>
      <c r="BA1027">
        <v>10.7</v>
      </c>
      <c r="BD1027" t="s">
        <v>108</v>
      </c>
    </row>
    <row r="1028" spans="1:56" x14ac:dyDescent="0.3">
      <c r="A1028">
        <v>11027</v>
      </c>
      <c r="B1028">
        <v>1</v>
      </c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920</v>
      </c>
      <c r="AE1028">
        <v>6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-0.11479999999999979</v>
      </c>
      <c r="AV1028">
        <v>7.3233333333333333</v>
      </c>
      <c r="AW1028">
        <v>840.1629999999999</v>
      </c>
      <c r="AY1028">
        <v>1051</v>
      </c>
      <c r="AZ1028">
        <v>1605</v>
      </c>
      <c r="BA1028">
        <v>10.7</v>
      </c>
      <c r="BD1028" t="s">
        <v>108</v>
      </c>
    </row>
    <row r="1029" spans="1:56" x14ac:dyDescent="0.3">
      <c r="A1029">
        <v>11028</v>
      </c>
      <c r="B1029">
        <v>1</v>
      </c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-0.34120000000000061</v>
      </c>
      <c r="AV1029">
        <v>7.1483333333333325</v>
      </c>
      <c r="AW1029">
        <v>844.25799999999992</v>
      </c>
      <c r="AY1029">
        <v>1136</v>
      </c>
      <c r="AZ1029">
        <v>1183</v>
      </c>
      <c r="BA1029">
        <v>7.5</v>
      </c>
      <c r="BD1029" t="s">
        <v>206</v>
      </c>
    </row>
    <row r="1030" spans="1:56" x14ac:dyDescent="0.3">
      <c r="A1030">
        <v>11029</v>
      </c>
      <c r="B1030">
        <v>1</v>
      </c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880</v>
      </c>
      <c r="AE1030">
        <v>1</v>
      </c>
      <c r="AF1030">
        <v>0</v>
      </c>
      <c r="AG1030">
        <v>1</v>
      </c>
      <c r="AH1030">
        <v>0</v>
      </c>
      <c r="AI1030">
        <v>590</v>
      </c>
      <c r="AJ1030">
        <v>2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-0.34120000000000061</v>
      </c>
      <c r="AV1030">
        <v>7.1483333333333325</v>
      </c>
      <c r="AW1030">
        <v>844.25799999999992</v>
      </c>
      <c r="AZ1030">
        <v>1145</v>
      </c>
      <c r="BA1030">
        <v>12.5</v>
      </c>
      <c r="BD1030" t="s">
        <v>206</v>
      </c>
    </row>
    <row r="1031" spans="1:56" x14ac:dyDescent="0.3">
      <c r="A1031">
        <v>11030</v>
      </c>
      <c r="B1031">
        <v>1</v>
      </c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840</v>
      </c>
      <c r="AE1031">
        <v>1.5</v>
      </c>
      <c r="AF1031">
        <v>0</v>
      </c>
      <c r="AG1031">
        <v>0</v>
      </c>
      <c r="AH1031">
        <v>1</v>
      </c>
      <c r="AI1031">
        <v>580</v>
      </c>
      <c r="AJ1031">
        <v>8</v>
      </c>
      <c r="AK1031">
        <v>0</v>
      </c>
      <c r="AL1031">
        <v>1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8.6266999999999996</v>
      </c>
      <c r="AV1031">
        <v>5.3933333333333335</v>
      </c>
      <c r="AW1031">
        <v>740.51100000000008</v>
      </c>
      <c r="AZ1031">
        <v>1154</v>
      </c>
      <c r="BA1031">
        <v>16.899999999999999</v>
      </c>
      <c r="BD1031" t="s">
        <v>207</v>
      </c>
    </row>
    <row r="1032" spans="1:56" x14ac:dyDescent="0.3">
      <c r="A1032">
        <v>11031</v>
      </c>
      <c r="B1032">
        <v>1</v>
      </c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1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0</v>
      </c>
      <c r="AD1032">
        <v>860</v>
      </c>
      <c r="AE1032">
        <v>1.5</v>
      </c>
      <c r="AF1032">
        <v>0</v>
      </c>
      <c r="AG1032">
        <v>0</v>
      </c>
      <c r="AH1032">
        <v>1</v>
      </c>
      <c r="AI1032">
        <v>580</v>
      </c>
      <c r="AJ1032">
        <v>8</v>
      </c>
      <c r="AK1032">
        <v>0</v>
      </c>
      <c r="AL1032">
        <v>1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8.6266999999999996</v>
      </c>
      <c r="AV1032">
        <v>5.3933333333333335</v>
      </c>
      <c r="AW1032">
        <v>740.51100000000008</v>
      </c>
      <c r="AZ1032">
        <v>1158</v>
      </c>
      <c r="BA1032">
        <v>17.3</v>
      </c>
      <c r="BD1032" t="s">
        <v>207</v>
      </c>
    </row>
    <row r="1033" spans="1:56" x14ac:dyDescent="0.3">
      <c r="A1033">
        <v>11032</v>
      </c>
      <c r="B1033">
        <v>1</v>
      </c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1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0</v>
      </c>
      <c r="AD1033">
        <v>870</v>
      </c>
      <c r="AE1033">
        <v>1.5</v>
      </c>
      <c r="AF1033">
        <v>0</v>
      </c>
      <c r="AG1033">
        <v>0</v>
      </c>
      <c r="AH1033">
        <v>1</v>
      </c>
      <c r="AI1033">
        <v>580</v>
      </c>
      <c r="AJ1033">
        <v>8</v>
      </c>
      <c r="AK1033">
        <v>0</v>
      </c>
      <c r="AL1033">
        <v>1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8.6266999999999996</v>
      </c>
      <c r="AV1033">
        <v>5.3933333333333335</v>
      </c>
      <c r="AW1033">
        <v>740.51100000000008</v>
      </c>
      <c r="AZ1033">
        <v>1156</v>
      </c>
      <c r="BA1033">
        <v>15.7</v>
      </c>
      <c r="BD1033" t="s">
        <v>207</v>
      </c>
    </row>
    <row r="1034" spans="1:56" x14ac:dyDescent="0.3">
      <c r="A1034">
        <v>11033</v>
      </c>
      <c r="B1034">
        <v>1</v>
      </c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1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0</v>
      </c>
      <c r="AD1034">
        <v>880</v>
      </c>
      <c r="AE1034">
        <v>1.5</v>
      </c>
      <c r="AF1034">
        <v>0</v>
      </c>
      <c r="AG1034">
        <v>0</v>
      </c>
      <c r="AH1034">
        <v>1</v>
      </c>
      <c r="AI1034">
        <v>580</v>
      </c>
      <c r="AJ1034">
        <v>8</v>
      </c>
      <c r="AK1034">
        <v>0</v>
      </c>
      <c r="AL1034">
        <v>1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8.6266999999999996</v>
      </c>
      <c r="AV1034">
        <v>5.3933333333333335</v>
      </c>
      <c r="AW1034">
        <v>740.51100000000008</v>
      </c>
      <c r="AZ1034">
        <v>1150</v>
      </c>
      <c r="BA1034">
        <v>14.9</v>
      </c>
      <c r="BD1034" t="s">
        <v>207</v>
      </c>
    </row>
    <row r="1035" spans="1:56" x14ac:dyDescent="0.3">
      <c r="A1035">
        <v>11034</v>
      </c>
      <c r="B1035">
        <v>1</v>
      </c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1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0</v>
      </c>
      <c r="AD1035">
        <v>900</v>
      </c>
      <c r="AE1035">
        <v>1.5</v>
      </c>
      <c r="AF1035">
        <v>0</v>
      </c>
      <c r="AG1035">
        <v>0</v>
      </c>
      <c r="AH1035">
        <v>1</v>
      </c>
      <c r="AI1035">
        <v>580</v>
      </c>
      <c r="AJ1035">
        <v>8</v>
      </c>
      <c r="AK1035">
        <v>0</v>
      </c>
      <c r="AL1035">
        <v>1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8.6266999999999996</v>
      </c>
      <c r="AV1035">
        <v>5.3933333333333335</v>
      </c>
      <c r="AW1035">
        <v>740.51100000000008</v>
      </c>
      <c r="AZ1035">
        <v>1176</v>
      </c>
      <c r="BA1035">
        <v>13.8</v>
      </c>
      <c r="BD1035" t="s">
        <v>207</v>
      </c>
    </row>
    <row r="1036" spans="1:56" x14ac:dyDescent="0.3">
      <c r="A1036">
        <v>11035</v>
      </c>
      <c r="B1036">
        <v>1</v>
      </c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1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0</v>
      </c>
      <c r="AD1036">
        <v>790</v>
      </c>
      <c r="AE1036">
        <v>1</v>
      </c>
      <c r="AF1036">
        <v>0</v>
      </c>
      <c r="AG1036">
        <v>1</v>
      </c>
      <c r="AH1036">
        <v>0</v>
      </c>
      <c r="AI1036">
        <v>580</v>
      </c>
      <c r="AJ1036">
        <v>8</v>
      </c>
      <c r="AK1036">
        <v>0</v>
      </c>
      <c r="AL1036">
        <v>1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8.6266999999999996</v>
      </c>
      <c r="AV1036">
        <v>5.3933333333333335</v>
      </c>
      <c r="AW1036">
        <v>740.51100000000008</v>
      </c>
      <c r="AZ1036">
        <v>1037</v>
      </c>
      <c r="BA1036">
        <v>13.8</v>
      </c>
      <c r="BD1036" t="s">
        <v>207</v>
      </c>
    </row>
    <row r="1037" spans="1:56" x14ac:dyDescent="0.3">
      <c r="A1037">
        <v>11036</v>
      </c>
      <c r="B1037">
        <v>1</v>
      </c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1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0</v>
      </c>
      <c r="AD1037">
        <v>800</v>
      </c>
      <c r="AE1037">
        <v>1</v>
      </c>
      <c r="AF1037">
        <v>0</v>
      </c>
      <c r="AG1037">
        <v>1</v>
      </c>
      <c r="AH1037">
        <v>0</v>
      </c>
      <c r="AI1037">
        <v>580</v>
      </c>
      <c r="AJ1037">
        <v>8</v>
      </c>
      <c r="AK1037">
        <v>0</v>
      </c>
      <c r="AL1037">
        <v>1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8.6266999999999996</v>
      </c>
      <c r="AV1037">
        <v>5.3933333333333335</v>
      </c>
      <c r="AW1037">
        <v>740.51100000000008</v>
      </c>
      <c r="AZ1037">
        <v>1357</v>
      </c>
      <c r="BA1037">
        <v>13.1</v>
      </c>
      <c r="BD1037" t="s">
        <v>207</v>
      </c>
    </row>
    <row r="1038" spans="1:56" x14ac:dyDescent="0.3">
      <c r="A1038">
        <v>11037</v>
      </c>
      <c r="B1038">
        <v>1</v>
      </c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1</v>
      </c>
      <c r="W1038">
        <v>0</v>
      </c>
      <c r="X1038">
        <v>0</v>
      </c>
      <c r="Y1038">
        <v>0</v>
      </c>
      <c r="Z1038">
        <v>1</v>
      </c>
      <c r="AA1038">
        <v>0</v>
      </c>
      <c r="AB1038">
        <v>0</v>
      </c>
      <c r="AC1038">
        <v>0</v>
      </c>
      <c r="AD1038">
        <v>805</v>
      </c>
      <c r="AE1038">
        <v>1</v>
      </c>
      <c r="AF1038">
        <v>0</v>
      </c>
      <c r="AG1038">
        <v>1</v>
      </c>
      <c r="AH1038">
        <v>0</v>
      </c>
      <c r="AI1038">
        <v>580</v>
      </c>
      <c r="AJ1038">
        <v>8</v>
      </c>
      <c r="AK1038">
        <v>0</v>
      </c>
      <c r="AL1038">
        <v>1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8.6266999999999996</v>
      </c>
      <c r="AV1038">
        <v>5.3933333333333335</v>
      </c>
      <c r="AW1038">
        <v>740.51100000000008</v>
      </c>
      <c r="AZ1038">
        <v>1311</v>
      </c>
      <c r="BA1038">
        <v>15.7</v>
      </c>
      <c r="BD1038" t="s">
        <v>207</v>
      </c>
    </row>
    <row r="1039" spans="1:56" x14ac:dyDescent="0.3">
      <c r="A1039">
        <v>11038</v>
      </c>
      <c r="B1039">
        <v>1</v>
      </c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1</v>
      </c>
      <c r="W1039">
        <v>0</v>
      </c>
      <c r="X1039">
        <v>0</v>
      </c>
      <c r="Y1039">
        <v>0</v>
      </c>
      <c r="Z1039">
        <v>1</v>
      </c>
      <c r="AA1039">
        <v>0</v>
      </c>
      <c r="AB1039">
        <v>0</v>
      </c>
      <c r="AC1039">
        <v>0</v>
      </c>
      <c r="AD1039">
        <v>810</v>
      </c>
      <c r="AE1039">
        <v>1</v>
      </c>
      <c r="AF1039">
        <v>0</v>
      </c>
      <c r="AG1039">
        <v>1</v>
      </c>
      <c r="AH1039">
        <v>0</v>
      </c>
      <c r="AI1039">
        <v>580</v>
      </c>
      <c r="AJ1039">
        <v>8</v>
      </c>
      <c r="AK1039">
        <v>0</v>
      </c>
      <c r="AL1039">
        <v>1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8.6266999999999996</v>
      </c>
      <c r="AV1039">
        <v>5.3933333333333335</v>
      </c>
      <c r="AW1039">
        <v>740.51100000000008</v>
      </c>
      <c r="AZ1039">
        <v>1311</v>
      </c>
      <c r="BA1039">
        <v>16.7</v>
      </c>
      <c r="BD1039" t="s">
        <v>207</v>
      </c>
    </row>
    <row r="1040" spans="1:56" x14ac:dyDescent="0.3">
      <c r="A1040">
        <v>11039</v>
      </c>
      <c r="B1040">
        <v>1</v>
      </c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1</v>
      </c>
      <c r="W1040">
        <v>0</v>
      </c>
      <c r="X1040">
        <v>0</v>
      </c>
      <c r="Y1040">
        <v>0</v>
      </c>
      <c r="Z1040">
        <v>1</v>
      </c>
      <c r="AA1040">
        <v>0</v>
      </c>
      <c r="AB1040">
        <v>0</v>
      </c>
      <c r="AC1040">
        <v>0</v>
      </c>
      <c r="AD1040">
        <v>815</v>
      </c>
      <c r="AE1040">
        <v>1</v>
      </c>
      <c r="AF1040">
        <v>0</v>
      </c>
      <c r="AG1040">
        <v>1</v>
      </c>
      <c r="AH1040">
        <v>0</v>
      </c>
      <c r="AI1040">
        <v>580</v>
      </c>
      <c r="AJ1040">
        <v>8</v>
      </c>
      <c r="AK1040">
        <v>0</v>
      </c>
      <c r="AL1040">
        <v>1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8.6266999999999996</v>
      </c>
      <c r="AV1040">
        <v>5.3933333333333335</v>
      </c>
      <c r="AW1040">
        <v>740.51100000000008</v>
      </c>
      <c r="AZ1040">
        <v>1342</v>
      </c>
      <c r="BA1040">
        <v>14</v>
      </c>
      <c r="BD1040" t="s">
        <v>207</v>
      </c>
    </row>
    <row r="1041" spans="1:56" x14ac:dyDescent="0.3">
      <c r="A1041">
        <v>11040</v>
      </c>
      <c r="B1041">
        <v>1</v>
      </c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X1041">
        <v>0</v>
      </c>
      <c r="Y1041">
        <v>0</v>
      </c>
      <c r="Z1041">
        <v>1</v>
      </c>
      <c r="AA1041">
        <v>0</v>
      </c>
      <c r="AB1041">
        <v>0</v>
      </c>
      <c r="AC1041">
        <v>0</v>
      </c>
      <c r="AD1041">
        <v>820</v>
      </c>
      <c r="AE1041">
        <v>1</v>
      </c>
      <c r="AF1041">
        <v>0</v>
      </c>
      <c r="AG1041">
        <v>1</v>
      </c>
      <c r="AH1041">
        <v>0</v>
      </c>
      <c r="AI1041">
        <v>580</v>
      </c>
      <c r="AJ1041">
        <v>8</v>
      </c>
      <c r="AK1041">
        <v>0</v>
      </c>
      <c r="AL1041">
        <v>1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8.6266999999999996</v>
      </c>
      <c r="AV1041">
        <v>5.3933333333333335</v>
      </c>
      <c r="AW1041">
        <v>740.51100000000008</v>
      </c>
      <c r="AZ1041">
        <v>1365</v>
      </c>
      <c r="BA1041">
        <v>11.6</v>
      </c>
      <c r="BD1041" t="s">
        <v>207</v>
      </c>
    </row>
    <row r="1042" spans="1:56" x14ac:dyDescent="0.3">
      <c r="A1042">
        <v>11041</v>
      </c>
      <c r="B1042">
        <v>1</v>
      </c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1</v>
      </c>
      <c r="W1042">
        <v>0</v>
      </c>
      <c r="X1042">
        <v>0</v>
      </c>
      <c r="Y1042">
        <v>0</v>
      </c>
      <c r="Z1042">
        <v>1</v>
      </c>
      <c r="AA1042">
        <v>0</v>
      </c>
      <c r="AB1042">
        <v>0</v>
      </c>
      <c r="AC1042">
        <v>0</v>
      </c>
      <c r="AD1042">
        <v>830</v>
      </c>
      <c r="AE1042">
        <v>1</v>
      </c>
      <c r="AF1042">
        <v>0</v>
      </c>
      <c r="AG1042">
        <v>1</v>
      </c>
      <c r="AH1042">
        <v>0</v>
      </c>
      <c r="AI1042">
        <v>580</v>
      </c>
      <c r="AJ1042">
        <v>8</v>
      </c>
      <c r="AK1042">
        <v>0</v>
      </c>
      <c r="AL1042">
        <v>1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8.6266999999999996</v>
      </c>
      <c r="AV1042">
        <v>5.3933333333333335</v>
      </c>
      <c r="AW1042">
        <v>740.51100000000008</v>
      </c>
      <c r="AZ1042">
        <v>1356</v>
      </c>
      <c r="BA1042">
        <v>9.4</v>
      </c>
      <c r="BD1042" t="s">
        <v>207</v>
      </c>
    </row>
    <row r="1043" spans="1:56" x14ac:dyDescent="0.3">
      <c r="A1043">
        <v>11042</v>
      </c>
      <c r="B1043">
        <v>1</v>
      </c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1</v>
      </c>
      <c r="W1043">
        <v>0</v>
      </c>
      <c r="X1043">
        <v>0</v>
      </c>
      <c r="Y1043">
        <v>0</v>
      </c>
      <c r="Z1043">
        <v>1</v>
      </c>
      <c r="AA1043">
        <v>0</v>
      </c>
      <c r="AB1043">
        <v>0</v>
      </c>
      <c r="AC1043">
        <v>0</v>
      </c>
      <c r="AD1043">
        <v>800</v>
      </c>
      <c r="AE1043">
        <v>1</v>
      </c>
      <c r="AF1043">
        <v>1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4.6728999999999994</v>
      </c>
      <c r="AV1043">
        <v>4.8641666666666667</v>
      </c>
      <c r="AW1043">
        <v>788.75249999999994</v>
      </c>
      <c r="AY1043">
        <v>870</v>
      </c>
      <c r="AZ1043">
        <v>990</v>
      </c>
      <c r="BA1043">
        <v>17</v>
      </c>
      <c r="BD1043" t="s">
        <v>209</v>
      </c>
    </row>
    <row r="1044" spans="1:56" x14ac:dyDescent="0.3">
      <c r="A1044">
        <v>11043</v>
      </c>
      <c r="B1044">
        <v>1</v>
      </c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1</v>
      </c>
      <c r="AA1044">
        <v>0</v>
      </c>
      <c r="AB1044">
        <v>0</v>
      </c>
      <c r="AC1044">
        <v>0</v>
      </c>
      <c r="AD1044">
        <v>860</v>
      </c>
      <c r="AE1044">
        <v>1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4.6728999999999994</v>
      </c>
      <c r="AV1044">
        <v>4.8641666666666667</v>
      </c>
      <c r="AW1044">
        <v>788.75249999999994</v>
      </c>
      <c r="AY1044">
        <v>920</v>
      </c>
      <c r="AZ1044">
        <v>1050</v>
      </c>
      <c r="BA1044">
        <v>11</v>
      </c>
      <c r="BD1044" t="s">
        <v>209</v>
      </c>
    </row>
    <row r="1045" spans="1:56" x14ac:dyDescent="0.3">
      <c r="A1045">
        <v>11044</v>
      </c>
      <c r="B1045">
        <v>1</v>
      </c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1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630</v>
      </c>
      <c r="AJ1045">
        <v>8</v>
      </c>
      <c r="AK1045">
        <v>0</v>
      </c>
      <c r="AL1045">
        <v>1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5.0260000000000016</v>
      </c>
      <c r="AV1045">
        <v>6.3649999999999993</v>
      </c>
      <c r="AW1045">
        <v>807.14800000000014</v>
      </c>
      <c r="AY1045">
        <v>1030</v>
      </c>
      <c r="AZ1045">
        <v>1120</v>
      </c>
      <c r="BA1045">
        <v>7</v>
      </c>
      <c r="BD1045" t="s">
        <v>210</v>
      </c>
    </row>
    <row r="1046" spans="1:56" x14ac:dyDescent="0.3">
      <c r="A1046">
        <v>11045</v>
      </c>
      <c r="B1046">
        <v>0</v>
      </c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1</v>
      </c>
      <c r="AA1046">
        <v>0</v>
      </c>
      <c r="AB1046">
        <v>0</v>
      </c>
      <c r="AC1046">
        <v>0</v>
      </c>
      <c r="AD1046">
        <v>600</v>
      </c>
      <c r="AE1046">
        <v>8</v>
      </c>
      <c r="AF1046">
        <v>0</v>
      </c>
      <c r="AG1046">
        <v>1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5.0170000000000021</v>
      </c>
      <c r="AV1046">
        <v>6.2783333333333333</v>
      </c>
      <c r="AW1046">
        <v>803.03500000000008</v>
      </c>
      <c r="BD1046" t="s">
        <v>212</v>
      </c>
    </row>
    <row r="1047" spans="1:56" x14ac:dyDescent="0.3">
      <c r="A1047">
        <v>11046</v>
      </c>
      <c r="B1047">
        <v>0</v>
      </c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0</v>
      </c>
      <c r="Y1047">
        <v>20</v>
      </c>
      <c r="Z1047">
        <v>0</v>
      </c>
      <c r="AA1047">
        <v>0</v>
      </c>
      <c r="AB1047">
        <v>0</v>
      </c>
      <c r="AC1047">
        <v>0</v>
      </c>
      <c r="AD1047">
        <v>601</v>
      </c>
      <c r="AE1047">
        <v>8.0166666666666693</v>
      </c>
      <c r="AF1047">
        <v>0</v>
      </c>
      <c r="AG1047">
        <v>1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5.0170000000000021</v>
      </c>
      <c r="AV1047">
        <v>6.2783333333333333</v>
      </c>
      <c r="AW1047">
        <v>803.03500000000008</v>
      </c>
      <c r="BD1047" t="s">
        <v>212</v>
      </c>
    </row>
    <row r="1048" spans="1:56" x14ac:dyDescent="0.3">
      <c r="A1048">
        <v>11047</v>
      </c>
      <c r="B1048">
        <v>0</v>
      </c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0</v>
      </c>
      <c r="Y1048">
        <v>40</v>
      </c>
      <c r="Z1048">
        <v>0</v>
      </c>
      <c r="AA1048">
        <v>0</v>
      </c>
      <c r="AB1048">
        <v>0</v>
      </c>
      <c r="AC1048">
        <v>0</v>
      </c>
      <c r="AD1048">
        <v>602</v>
      </c>
      <c r="AE1048">
        <v>8.0333333333333297</v>
      </c>
      <c r="AF1048">
        <v>0</v>
      </c>
      <c r="AG1048">
        <v>1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5.0170000000000021</v>
      </c>
      <c r="AV1048">
        <v>6.2783333333333333</v>
      </c>
      <c r="AW1048">
        <v>803.03500000000008</v>
      </c>
      <c r="BD1048" t="s">
        <v>212</v>
      </c>
    </row>
    <row r="1049" spans="1:56" x14ac:dyDescent="0.3">
      <c r="A1049">
        <v>11048</v>
      </c>
      <c r="B1049">
        <v>0</v>
      </c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0</v>
      </c>
      <c r="Y1049">
        <v>60</v>
      </c>
      <c r="Z1049">
        <v>0</v>
      </c>
      <c r="AA1049">
        <v>0</v>
      </c>
      <c r="AB1049">
        <v>0</v>
      </c>
      <c r="AC1049">
        <v>0</v>
      </c>
      <c r="AD1049">
        <v>603</v>
      </c>
      <c r="AE1049">
        <v>8.0500000000000007</v>
      </c>
      <c r="AF1049">
        <v>0</v>
      </c>
      <c r="AG1049">
        <v>1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5.0170000000000021</v>
      </c>
      <c r="AV1049">
        <v>6.2783333333333333</v>
      </c>
      <c r="AW1049">
        <v>803.03500000000008</v>
      </c>
      <c r="BD1049" t="s">
        <v>212</v>
      </c>
    </row>
    <row r="1050" spans="1:56" x14ac:dyDescent="0.3">
      <c r="A1050">
        <v>11049</v>
      </c>
      <c r="B1050">
        <v>1</v>
      </c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1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0.64330000000000087</v>
      </c>
      <c r="AV1050">
        <v>6.9249999999999989</v>
      </c>
      <c r="AW1050">
        <v>821.65800000000002</v>
      </c>
      <c r="AY1050">
        <v>943</v>
      </c>
      <c r="AZ1050">
        <v>1025</v>
      </c>
      <c r="BA1050">
        <v>6</v>
      </c>
      <c r="BD1050" t="s">
        <v>213</v>
      </c>
    </row>
    <row r="1051" spans="1:56" x14ac:dyDescent="0.3">
      <c r="A1051">
        <v>11050</v>
      </c>
      <c r="B1051">
        <v>0</v>
      </c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1</v>
      </c>
      <c r="AA1051">
        <v>0</v>
      </c>
      <c r="AB1051">
        <v>0</v>
      </c>
      <c r="AC1051">
        <v>0</v>
      </c>
      <c r="AD1051">
        <v>900</v>
      </c>
      <c r="AE1051">
        <v>2</v>
      </c>
      <c r="AF1051">
        <v>0</v>
      </c>
      <c r="AG1051">
        <v>1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0.64330000000000087</v>
      </c>
      <c r="AV1051">
        <v>6.9249999999999989</v>
      </c>
      <c r="AW1051">
        <v>821.65800000000002</v>
      </c>
      <c r="BD1051" t="s">
        <v>213</v>
      </c>
    </row>
    <row r="1052" spans="1:56" x14ac:dyDescent="0.3">
      <c r="A1052">
        <v>11051</v>
      </c>
      <c r="B1052">
        <v>0</v>
      </c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1</v>
      </c>
      <c r="W1052">
        <v>0</v>
      </c>
      <c r="X1052">
        <v>0</v>
      </c>
      <c r="Y1052">
        <v>0</v>
      </c>
      <c r="Z1052">
        <v>1</v>
      </c>
      <c r="AA1052">
        <v>0</v>
      </c>
      <c r="AB1052">
        <v>0</v>
      </c>
      <c r="AC1052">
        <v>0</v>
      </c>
      <c r="AD1052">
        <v>920</v>
      </c>
      <c r="AE1052">
        <v>2</v>
      </c>
      <c r="AF1052">
        <v>0</v>
      </c>
      <c r="AG1052">
        <v>1</v>
      </c>
      <c r="AH1052">
        <v>0</v>
      </c>
      <c r="AI1052">
        <v>540</v>
      </c>
      <c r="AJ1052">
        <v>4</v>
      </c>
      <c r="AK1052">
        <v>0</v>
      </c>
      <c r="AL1052">
        <v>1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0.64330000000000087</v>
      </c>
      <c r="AV1052">
        <v>6.9249999999999989</v>
      </c>
      <c r="AW1052">
        <v>821.65800000000002</v>
      </c>
      <c r="BD1052" t="s">
        <v>213</v>
      </c>
    </row>
    <row r="1053" spans="1:56" x14ac:dyDescent="0.3">
      <c r="A1053">
        <v>11052</v>
      </c>
      <c r="B1053">
        <v>1</v>
      </c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1</v>
      </c>
      <c r="W1053">
        <v>0</v>
      </c>
      <c r="X1053">
        <v>0</v>
      </c>
      <c r="Y1053">
        <v>0</v>
      </c>
      <c r="Z1053">
        <v>1</v>
      </c>
      <c r="AA1053">
        <v>0</v>
      </c>
      <c r="AB1053">
        <v>0</v>
      </c>
      <c r="AC1053">
        <v>0</v>
      </c>
      <c r="AD1053">
        <v>940</v>
      </c>
      <c r="AE1053">
        <v>2</v>
      </c>
      <c r="AF1053">
        <v>0</v>
      </c>
      <c r="AG1053">
        <v>1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0.64330000000000087</v>
      </c>
      <c r="AV1053">
        <v>6.9249999999999989</v>
      </c>
      <c r="AW1053">
        <v>821.65800000000002</v>
      </c>
      <c r="AY1053">
        <v>1080.7</v>
      </c>
      <c r="AZ1053">
        <v>1197.4000000000001</v>
      </c>
      <c r="BA1053">
        <v>7.8</v>
      </c>
      <c r="BD1053" t="s">
        <v>213</v>
      </c>
    </row>
    <row r="1054" spans="1:56" x14ac:dyDescent="0.3">
      <c r="A1054">
        <v>11053</v>
      </c>
      <c r="B1054">
        <v>1</v>
      </c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1</v>
      </c>
      <c r="W1054">
        <v>0</v>
      </c>
      <c r="X1054">
        <v>0</v>
      </c>
      <c r="Y1054">
        <v>0</v>
      </c>
      <c r="Z1054">
        <v>1</v>
      </c>
      <c r="AA1054">
        <v>0</v>
      </c>
      <c r="AB1054">
        <v>0</v>
      </c>
      <c r="AC1054">
        <v>0</v>
      </c>
      <c r="AD1054">
        <v>950</v>
      </c>
      <c r="AE1054">
        <v>1</v>
      </c>
      <c r="AF1054">
        <v>1</v>
      </c>
      <c r="AG1054">
        <v>0</v>
      </c>
      <c r="AH1054">
        <v>0</v>
      </c>
      <c r="AI1054">
        <v>650</v>
      </c>
      <c r="AJ1054">
        <v>6</v>
      </c>
      <c r="AK1054">
        <v>0</v>
      </c>
      <c r="AL1054">
        <v>1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-5.7835999999999999</v>
      </c>
      <c r="AV1054">
        <v>7.5333333333333332</v>
      </c>
      <c r="AW1054">
        <v>880.28499999999997</v>
      </c>
      <c r="AY1054">
        <v>883</v>
      </c>
      <c r="AZ1054">
        <v>995</v>
      </c>
      <c r="BA1054">
        <v>8.1</v>
      </c>
      <c r="BD1054" t="s">
        <v>108</v>
      </c>
    </row>
    <row r="1055" spans="1:56" x14ac:dyDescent="0.3">
      <c r="A1055">
        <v>11054</v>
      </c>
      <c r="B1055">
        <v>1</v>
      </c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1</v>
      </c>
      <c r="X1055">
        <v>0</v>
      </c>
      <c r="Y1055">
        <v>0</v>
      </c>
      <c r="Z1055">
        <v>0</v>
      </c>
      <c r="AA1055">
        <v>1</v>
      </c>
      <c r="AB1055">
        <v>0</v>
      </c>
      <c r="AC1055">
        <v>0</v>
      </c>
      <c r="AD1055">
        <v>830</v>
      </c>
      <c r="AE1055">
        <v>1</v>
      </c>
      <c r="AF1055">
        <v>0</v>
      </c>
      <c r="AG1055">
        <v>1</v>
      </c>
      <c r="AH1055">
        <v>0</v>
      </c>
      <c r="AI1055">
        <v>570</v>
      </c>
      <c r="AJ1055">
        <v>8</v>
      </c>
      <c r="AK1055">
        <v>0</v>
      </c>
      <c r="AL1055">
        <v>1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6.5639000000000003</v>
      </c>
      <c r="AV1055">
        <v>5.3549999999999995</v>
      </c>
      <c r="AW1055">
        <v>774.43399999999997</v>
      </c>
      <c r="AY1055">
        <v>1196</v>
      </c>
      <c r="AZ1055">
        <v>1296</v>
      </c>
      <c r="BA1055">
        <v>12.3</v>
      </c>
      <c r="BD1055" t="s">
        <v>214</v>
      </c>
    </row>
    <row r="1056" spans="1:56" x14ac:dyDescent="0.3">
      <c r="A1056">
        <v>11055</v>
      </c>
      <c r="B1056">
        <v>1</v>
      </c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1</v>
      </c>
      <c r="X1056">
        <v>0</v>
      </c>
      <c r="Y1056">
        <v>0</v>
      </c>
      <c r="Z1056">
        <v>0</v>
      </c>
      <c r="AA1056">
        <v>1</v>
      </c>
      <c r="AB1056">
        <v>0</v>
      </c>
      <c r="AC1056">
        <v>0</v>
      </c>
      <c r="AD1056">
        <v>830</v>
      </c>
      <c r="AE1056">
        <v>1</v>
      </c>
      <c r="AF1056">
        <v>0</v>
      </c>
      <c r="AG1056">
        <v>0</v>
      </c>
      <c r="AH1056">
        <v>0</v>
      </c>
      <c r="AI1056">
        <v>570</v>
      </c>
      <c r="AJ1056">
        <v>8</v>
      </c>
      <c r="AK1056">
        <v>0</v>
      </c>
      <c r="AL1056">
        <v>1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6.5639000000000003</v>
      </c>
      <c r="AV1056">
        <v>5.3549999999999995</v>
      </c>
      <c r="AW1056">
        <v>774.43399999999997</v>
      </c>
      <c r="AY1056">
        <v>969</v>
      </c>
      <c r="AZ1056">
        <v>1060</v>
      </c>
      <c r="BA1056">
        <v>20</v>
      </c>
      <c r="BD1056" t="s">
        <v>214</v>
      </c>
    </row>
    <row r="1057" spans="1:56" x14ac:dyDescent="0.3">
      <c r="A1057">
        <v>11056</v>
      </c>
      <c r="B1057">
        <v>1</v>
      </c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1</v>
      </c>
      <c r="X1057">
        <v>0</v>
      </c>
      <c r="Y1057">
        <v>0</v>
      </c>
      <c r="Z1057">
        <v>0</v>
      </c>
      <c r="AA1057">
        <v>1</v>
      </c>
      <c r="AB1057">
        <v>0</v>
      </c>
      <c r="AC1057">
        <v>0</v>
      </c>
      <c r="AD1057">
        <v>900</v>
      </c>
      <c r="AE1057">
        <v>1</v>
      </c>
      <c r="AF1057">
        <v>0</v>
      </c>
      <c r="AG1057">
        <v>0</v>
      </c>
      <c r="AH1057">
        <v>0</v>
      </c>
      <c r="AI1057">
        <v>570</v>
      </c>
      <c r="AJ1057">
        <v>8</v>
      </c>
      <c r="AK1057">
        <v>0</v>
      </c>
      <c r="AL1057">
        <v>1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6.5639000000000003</v>
      </c>
      <c r="AV1057">
        <v>5.3549999999999995</v>
      </c>
      <c r="AW1057">
        <v>774.43399999999997</v>
      </c>
      <c r="AY1057">
        <v>915</v>
      </c>
      <c r="AZ1057">
        <v>1052</v>
      </c>
      <c r="BA1057">
        <v>14.5</v>
      </c>
      <c r="BD1057" t="s">
        <v>214</v>
      </c>
    </row>
    <row r="1058" spans="1:56" x14ac:dyDescent="0.3">
      <c r="A1058">
        <v>11057</v>
      </c>
      <c r="B1058">
        <v>1</v>
      </c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1</v>
      </c>
      <c r="X1058">
        <v>1150</v>
      </c>
      <c r="Y1058">
        <v>70</v>
      </c>
      <c r="Z1058">
        <v>0</v>
      </c>
      <c r="AA1058">
        <v>0</v>
      </c>
      <c r="AB1058">
        <v>1</v>
      </c>
      <c r="AC1058">
        <v>0</v>
      </c>
      <c r="AD1058">
        <v>800</v>
      </c>
      <c r="AE1058">
        <v>1</v>
      </c>
      <c r="AF1058">
        <v>0</v>
      </c>
      <c r="AG1058">
        <v>1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882</v>
      </c>
      <c r="AZ1058">
        <v>260</v>
      </c>
      <c r="BA1058">
        <v>71.5</v>
      </c>
      <c r="BD1058" t="s">
        <v>50</v>
      </c>
    </row>
    <row r="1059" spans="1:56" x14ac:dyDescent="0.3">
      <c r="A1059">
        <v>11058</v>
      </c>
      <c r="B1059">
        <v>0</v>
      </c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1</v>
      </c>
      <c r="X1059">
        <v>880</v>
      </c>
      <c r="Y1059">
        <v>0</v>
      </c>
      <c r="Z1059">
        <v>0</v>
      </c>
      <c r="AA1059">
        <v>0</v>
      </c>
      <c r="AB1059">
        <v>1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1.0444</v>
      </c>
      <c r="AV1059">
        <v>0</v>
      </c>
      <c r="AW1059">
        <v>882</v>
      </c>
      <c r="BD1059" t="s">
        <v>59</v>
      </c>
    </row>
    <row r="1060" spans="1:56" x14ac:dyDescent="0.3">
      <c r="A1060">
        <v>11059</v>
      </c>
      <c r="B1060">
        <v>1</v>
      </c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1</v>
      </c>
      <c r="X1060">
        <v>880</v>
      </c>
      <c r="Y1060">
        <v>60</v>
      </c>
      <c r="Z1060">
        <v>0</v>
      </c>
      <c r="AA1060">
        <v>0</v>
      </c>
      <c r="AB1060">
        <v>1</v>
      </c>
      <c r="AC1060">
        <v>0</v>
      </c>
      <c r="AD1060">
        <v>750</v>
      </c>
      <c r="AE1060">
        <v>2</v>
      </c>
      <c r="AF1060">
        <v>0</v>
      </c>
      <c r="AG1060">
        <v>1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1.0248000000000002</v>
      </c>
      <c r="AV1060">
        <v>0</v>
      </c>
      <c r="AW1060">
        <v>882</v>
      </c>
      <c r="AY1060">
        <v>387</v>
      </c>
      <c r="AZ1060">
        <v>503</v>
      </c>
      <c r="BA1060">
        <v>27</v>
      </c>
      <c r="BD1060" t="s">
        <v>59</v>
      </c>
    </row>
    <row r="1061" spans="1:56" x14ac:dyDescent="0.3">
      <c r="A1061">
        <v>11060</v>
      </c>
      <c r="B1061">
        <v>1</v>
      </c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1</v>
      </c>
      <c r="X1061">
        <v>880</v>
      </c>
      <c r="Y1061">
        <v>60</v>
      </c>
      <c r="Z1061">
        <v>0</v>
      </c>
      <c r="AA1061">
        <v>0</v>
      </c>
      <c r="AB1061">
        <v>1</v>
      </c>
      <c r="AC1061">
        <v>0</v>
      </c>
      <c r="AD1061">
        <v>800</v>
      </c>
      <c r="AE1061">
        <v>2</v>
      </c>
      <c r="AF1061">
        <v>0</v>
      </c>
      <c r="AG1061">
        <v>1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0.99960000000000004</v>
      </c>
      <c r="AV1061">
        <v>0</v>
      </c>
      <c r="AW1061">
        <v>882</v>
      </c>
      <c r="AY1061">
        <v>372</v>
      </c>
      <c r="AZ1061">
        <v>506</v>
      </c>
      <c r="BA1061">
        <v>27</v>
      </c>
      <c r="BD1061" t="s">
        <v>59</v>
      </c>
    </row>
    <row r="1062" spans="1:56" x14ac:dyDescent="0.3">
      <c r="A1062">
        <v>11061</v>
      </c>
      <c r="B1062">
        <v>1</v>
      </c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1</v>
      </c>
      <c r="X1062">
        <v>880</v>
      </c>
      <c r="Y1062">
        <v>60</v>
      </c>
      <c r="Z1062">
        <v>0</v>
      </c>
      <c r="AA1062">
        <v>0</v>
      </c>
      <c r="AB1062">
        <v>1</v>
      </c>
      <c r="AC1062">
        <v>0</v>
      </c>
      <c r="AD1062">
        <v>830</v>
      </c>
      <c r="AE1062">
        <v>2</v>
      </c>
      <c r="AF1062">
        <v>0</v>
      </c>
      <c r="AG1062">
        <v>1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1.0248000000000002</v>
      </c>
      <c r="AV1062">
        <v>0</v>
      </c>
      <c r="AW1062">
        <v>882</v>
      </c>
      <c r="AY1062">
        <v>347</v>
      </c>
      <c r="AZ1062">
        <v>496</v>
      </c>
      <c r="BA1062">
        <v>31</v>
      </c>
      <c r="BD1062" t="s">
        <v>59</v>
      </c>
    </row>
    <row r="1063" spans="1:56" x14ac:dyDescent="0.3">
      <c r="A1063">
        <v>11062</v>
      </c>
      <c r="B1063">
        <v>1</v>
      </c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1</v>
      </c>
      <c r="X1063">
        <v>0</v>
      </c>
      <c r="Y1063">
        <v>0</v>
      </c>
      <c r="Z1063">
        <v>0</v>
      </c>
      <c r="AA1063">
        <v>0</v>
      </c>
      <c r="AB1063">
        <v>1</v>
      </c>
      <c r="AC1063">
        <v>0</v>
      </c>
      <c r="AD1063">
        <v>900</v>
      </c>
      <c r="AE1063">
        <v>1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15</v>
      </c>
      <c r="AV1063">
        <v>0</v>
      </c>
      <c r="AW1063">
        <v>739.5</v>
      </c>
      <c r="AY1063">
        <v>440</v>
      </c>
      <c r="AZ1063">
        <v>701</v>
      </c>
      <c r="BA1063">
        <v>34</v>
      </c>
      <c r="BD1063" t="s">
        <v>70</v>
      </c>
    </row>
    <row r="1064" spans="1:56" x14ac:dyDescent="0.3">
      <c r="A1064">
        <v>11063</v>
      </c>
      <c r="B1064">
        <v>0</v>
      </c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1</v>
      </c>
      <c r="X1064">
        <v>0</v>
      </c>
      <c r="Y1064">
        <v>0</v>
      </c>
      <c r="Z1064">
        <v>0</v>
      </c>
      <c r="AA1064">
        <v>0</v>
      </c>
      <c r="AB1064">
        <v>1</v>
      </c>
      <c r="AC1064">
        <v>0</v>
      </c>
      <c r="AD1064">
        <v>830</v>
      </c>
      <c r="AE1064">
        <v>2</v>
      </c>
      <c r="AF1064">
        <v>0</v>
      </c>
      <c r="AG1064">
        <v>1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-5.73</v>
      </c>
      <c r="AV1064">
        <v>5.73</v>
      </c>
      <c r="AW1064">
        <v>894.03300000000002</v>
      </c>
      <c r="BD1064" t="s">
        <v>78</v>
      </c>
    </row>
    <row r="1065" spans="1:56" x14ac:dyDescent="0.3">
      <c r="A1065">
        <v>11064</v>
      </c>
      <c r="B1065">
        <v>1</v>
      </c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1</v>
      </c>
      <c r="X1065">
        <v>1150</v>
      </c>
      <c r="Y1065">
        <v>70</v>
      </c>
      <c r="Z1065">
        <v>0</v>
      </c>
      <c r="AA1065">
        <v>0</v>
      </c>
      <c r="AB1065">
        <v>1</v>
      </c>
      <c r="AC1065">
        <v>0</v>
      </c>
      <c r="AD1065">
        <v>1000</v>
      </c>
      <c r="AE1065">
        <v>1</v>
      </c>
      <c r="AF1065">
        <v>0</v>
      </c>
      <c r="AG1065">
        <v>1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-5.96</v>
      </c>
      <c r="AV1065">
        <v>5.96</v>
      </c>
      <c r="AW1065">
        <v>894.51599999999996</v>
      </c>
      <c r="AZ1065">
        <v>684</v>
      </c>
      <c r="BA1065">
        <v>19.5</v>
      </c>
      <c r="BD1065" t="s">
        <v>50</v>
      </c>
    </row>
    <row r="1066" spans="1:56" x14ac:dyDescent="0.3">
      <c r="A1066">
        <v>11065</v>
      </c>
      <c r="B1066">
        <v>1</v>
      </c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1</v>
      </c>
      <c r="X1066">
        <v>20</v>
      </c>
      <c r="Y1066">
        <v>89</v>
      </c>
      <c r="Z1066">
        <v>0</v>
      </c>
      <c r="AA1066">
        <v>0</v>
      </c>
      <c r="AB1066">
        <v>1</v>
      </c>
      <c r="AC1066">
        <v>0</v>
      </c>
      <c r="AD1066">
        <v>1000</v>
      </c>
      <c r="AE1066">
        <v>2</v>
      </c>
      <c r="AF1066">
        <v>1</v>
      </c>
      <c r="AG1066">
        <v>0</v>
      </c>
      <c r="AH1066">
        <v>0</v>
      </c>
      <c r="AI1066">
        <v>1000</v>
      </c>
      <c r="AJ1066">
        <v>2</v>
      </c>
      <c r="AK1066">
        <v>1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11.508000000000001</v>
      </c>
      <c r="AV1066">
        <v>1.1833333333333333</v>
      </c>
      <c r="AW1066">
        <v>833.01</v>
      </c>
      <c r="AZ1066">
        <v>490</v>
      </c>
      <c r="BA1066">
        <v>16</v>
      </c>
      <c r="BC1066" t="s">
        <v>335</v>
      </c>
      <c r="BD1066" t="s">
        <v>84</v>
      </c>
    </row>
    <row r="1067" spans="1:56" x14ac:dyDescent="0.3">
      <c r="A1067">
        <v>11066</v>
      </c>
      <c r="B1067">
        <v>1</v>
      </c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1</v>
      </c>
      <c r="X1067">
        <v>900</v>
      </c>
      <c r="Y1067">
        <v>80</v>
      </c>
      <c r="Z1067">
        <v>0</v>
      </c>
      <c r="AA1067">
        <v>0</v>
      </c>
      <c r="AB1067">
        <v>1</v>
      </c>
      <c r="AC1067">
        <v>0</v>
      </c>
      <c r="AD1067">
        <v>1000</v>
      </c>
      <c r="AE1067">
        <v>24</v>
      </c>
      <c r="AF1067">
        <v>1</v>
      </c>
      <c r="AG1067">
        <v>0</v>
      </c>
      <c r="AH1067">
        <v>0</v>
      </c>
      <c r="AI1067">
        <v>500</v>
      </c>
      <c r="AJ1067">
        <v>24</v>
      </c>
      <c r="AK1067">
        <v>1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15.64</v>
      </c>
      <c r="AV1067">
        <v>0</v>
      </c>
      <c r="AW1067">
        <v>768</v>
      </c>
      <c r="AZ1067">
        <v>1111</v>
      </c>
      <c r="BA1067">
        <v>6.3</v>
      </c>
      <c r="BD1067" t="s">
        <v>113</v>
      </c>
    </row>
    <row r="1068" spans="1:56" x14ac:dyDescent="0.3">
      <c r="A1068">
        <v>11067</v>
      </c>
      <c r="B1068">
        <v>1</v>
      </c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1</v>
      </c>
      <c r="X1068">
        <v>780</v>
      </c>
      <c r="Y1068">
        <v>80</v>
      </c>
      <c r="Z1068">
        <v>0</v>
      </c>
      <c r="AA1068">
        <v>0</v>
      </c>
      <c r="AB1068">
        <v>1</v>
      </c>
      <c r="AC1068">
        <v>0</v>
      </c>
      <c r="AD1068">
        <v>950</v>
      </c>
      <c r="AE1068">
        <v>1</v>
      </c>
      <c r="AF1068">
        <v>1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14.24</v>
      </c>
      <c r="AV1068">
        <v>0</v>
      </c>
      <c r="AW1068">
        <v>768</v>
      </c>
      <c r="AZ1068">
        <v>716</v>
      </c>
      <c r="BA1068">
        <v>33</v>
      </c>
      <c r="BD1068" t="s">
        <v>94</v>
      </c>
    </row>
    <row r="1069" spans="1:56" x14ac:dyDescent="0.3">
      <c r="A1069">
        <v>11068</v>
      </c>
      <c r="B1069">
        <v>0</v>
      </c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1</v>
      </c>
      <c r="X1069">
        <v>0</v>
      </c>
      <c r="Y1069">
        <v>0</v>
      </c>
      <c r="Z1069">
        <v>0</v>
      </c>
      <c r="AA1069">
        <v>0</v>
      </c>
      <c r="AB1069">
        <v>1</v>
      </c>
      <c r="AC1069">
        <v>0</v>
      </c>
      <c r="AD1069">
        <v>830</v>
      </c>
      <c r="AE1069">
        <v>2</v>
      </c>
      <c r="AF1069">
        <v>0</v>
      </c>
      <c r="AG1069">
        <v>1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-5.0616000000000003</v>
      </c>
      <c r="AV1069">
        <v>5.91</v>
      </c>
      <c r="AW1069">
        <v>894.41100000000006</v>
      </c>
      <c r="BD1069" t="s">
        <v>78</v>
      </c>
    </row>
    <row r="1070" spans="1:56" x14ac:dyDescent="0.3">
      <c r="A1070">
        <v>11069</v>
      </c>
      <c r="B1070">
        <v>0</v>
      </c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1</v>
      </c>
      <c r="X1070">
        <v>0</v>
      </c>
      <c r="Y1070">
        <v>0</v>
      </c>
      <c r="Z1070">
        <v>0</v>
      </c>
      <c r="AA1070">
        <v>0</v>
      </c>
      <c r="AB1070">
        <v>1</v>
      </c>
      <c r="AC1070">
        <v>0</v>
      </c>
      <c r="AD1070">
        <v>830</v>
      </c>
      <c r="AE1070">
        <v>2</v>
      </c>
      <c r="AF1070">
        <v>0</v>
      </c>
      <c r="AG1070">
        <v>1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-3.7300000000000004</v>
      </c>
      <c r="AV1070">
        <v>5.73</v>
      </c>
      <c r="AW1070">
        <v>875.03300000000002</v>
      </c>
      <c r="BD1070" t="s">
        <v>78</v>
      </c>
    </row>
    <row r="1071" spans="1:56" x14ac:dyDescent="0.3">
      <c r="A1071">
        <v>11070</v>
      </c>
      <c r="B1071">
        <v>1</v>
      </c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1</v>
      </c>
      <c r="X1071">
        <v>0</v>
      </c>
      <c r="Y1071">
        <v>0</v>
      </c>
      <c r="Z1071">
        <v>0</v>
      </c>
      <c r="AA1071">
        <v>0</v>
      </c>
      <c r="AB1071">
        <v>1</v>
      </c>
      <c r="AC1071">
        <v>0</v>
      </c>
      <c r="AD1071">
        <v>900</v>
      </c>
      <c r="AE1071">
        <v>1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17.899999999999999</v>
      </c>
      <c r="AV1071">
        <v>0</v>
      </c>
      <c r="AW1071">
        <v>724.1</v>
      </c>
      <c r="AY1071">
        <v>845</v>
      </c>
      <c r="BD1071" t="s">
        <v>70</v>
      </c>
    </row>
    <row r="1072" spans="1:56" x14ac:dyDescent="0.3">
      <c r="A1072">
        <v>11071</v>
      </c>
      <c r="B1072">
        <v>1</v>
      </c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1</v>
      </c>
      <c r="X1072">
        <v>20</v>
      </c>
      <c r="Y1072">
        <v>89</v>
      </c>
      <c r="Z1072">
        <v>0</v>
      </c>
      <c r="AA1072">
        <v>0</v>
      </c>
      <c r="AB1072">
        <v>1</v>
      </c>
      <c r="AC1072">
        <v>0</v>
      </c>
      <c r="AD1072">
        <v>1000</v>
      </c>
      <c r="AE1072">
        <v>2</v>
      </c>
      <c r="AF1072">
        <v>1</v>
      </c>
      <c r="AG1072">
        <v>0</v>
      </c>
      <c r="AH1072">
        <v>0</v>
      </c>
      <c r="AI1072">
        <v>1000</v>
      </c>
      <c r="AJ1072">
        <v>2</v>
      </c>
      <c r="AK1072">
        <v>1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11.006</v>
      </c>
      <c r="AV1072">
        <v>1.1833333333333333</v>
      </c>
      <c r="AW1072">
        <v>833.01</v>
      </c>
      <c r="AZ1072">
        <v>550</v>
      </c>
      <c r="BA1072">
        <v>21</v>
      </c>
      <c r="BD1072" t="s">
        <v>84</v>
      </c>
    </row>
    <row r="1073" spans="1:56" x14ac:dyDescent="0.3">
      <c r="A1073">
        <v>11072</v>
      </c>
      <c r="B1073">
        <v>0</v>
      </c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</v>
      </c>
      <c r="X1073">
        <v>930</v>
      </c>
      <c r="Y1073">
        <v>20</v>
      </c>
      <c r="Z1073">
        <v>0</v>
      </c>
      <c r="AA1073">
        <v>0</v>
      </c>
      <c r="AB1073">
        <v>1</v>
      </c>
      <c r="AC1073">
        <v>0</v>
      </c>
      <c r="AD1073">
        <v>600</v>
      </c>
      <c r="AE1073">
        <v>1</v>
      </c>
      <c r="AF1073">
        <v>0</v>
      </c>
      <c r="AG1073">
        <v>0</v>
      </c>
      <c r="AH1073">
        <v>1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-3.1990000000000003</v>
      </c>
      <c r="AV1073">
        <v>6.12</v>
      </c>
      <c r="AW1073">
        <v>845.548</v>
      </c>
      <c r="BD1073" t="s">
        <v>126</v>
      </c>
    </row>
    <row r="1074" spans="1:56" x14ac:dyDescent="0.3">
      <c r="A1074">
        <v>11073</v>
      </c>
      <c r="B1074">
        <v>0</v>
      </c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1</v>
      </c>
      <c r="X1074">
        <v>950</v>
      </c>
      <c r="Y1074">
        <v>20</v>
      </c>
      <c r="Z1074">
        <v>0</v>
      </c>
      <c r="AA1074">
        <v>0</v>
      </c>
      <c r="AB1074">
        <v>1</v>
      </c>
      <c r="AC1074">
        <v>0</v>
      </c>
      <c r="AD1074">
        <v>700</v>
      </c>
      <c r="AE1074">
        <v>1</v>
      </c>
      <c r="AF1074">
        <v>0</v>
      </c>
      <c r="AG1074">
        <v>0</v>
      </c>
      <c r="AH1074">
        <v>1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-3.1990000000000003</v>
      </c>
      <c r="AV1074">
        <v>6.12</v>
      </c>
      <c r="AW1074">
        <v>845.548</v>
      </c>
      <c r="BD1074" t="s">
        <v>126</v>
      </c>
    </row>
    <row r="1075" spans="1:56" x14ac:dyDescent="0.3">
      <c r="A1075">
        <v>11074</v>
      </c>
      <c r="B1075">
        <v>0</v>
      </c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1</v>
      </c>
      <c r="X1075">
        <v>970</v>
      </c>
      <c r="Y1075">
        <v>20</v>
      </c>
      <c r="Z1075">
        <v>0</v>
      </c>
      <c r="AA1075">
        <v>0</v>
      </c>
      <c r="AB1075">
        <v>1</v>
      </c>
      <c r="AC1075">
        <v>0</v>
      </c>
      <c r="AD1075">
        <v>800</v>
      </c>
      <c r="AE1075">
        <v>1</v>
      </c>
      <c r="AF1075">
        <v>0</v>
      </c>
      <c r="AG1075">
        <v>0</v>
      </c>
      <c r="AH1075">
        <v>1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-3.1990000000000003</v>
      </c>
      <c r="AV1075">
        <v>6.12</v>
      </c>
      <c r="AW1075">
        <v>845.548</v>
      </c>
      <c r="BD1075" t="s">
        <v>126</v>
      </c>
    </row>
    <row r="1076" spans="1:56" x14ac:dyDescent="0.3">
      <c r="A1076">
        <v>11075</v>
      </c>
      <c r="B1076">
        <v>0</v>
      </c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1</v>
      </c>
      <c r="X1076">
        <v>930</v>
      </c>
      <c r="Y1076">
        <v>50</v>
      </c>
      <c r="Z1076">
        <v>0</v>
      </c>
      <c r="AA1076">
        <v>0</v>
      </c>
      <c r="AB1076">
        <v>1</v>
      </c>
      <c r="AC1076">
        <v>0</v>
      </c>
      <c r="AD1076">
        <v>600</v>
      </c>
      <c r="AE1076">
        <v>1</v>
      </c>
      <c r="AF1076">
        <v>0</v>
      </c>
      <c r="AG1076">
        <v>0</v>
      </c>
      <c r="AH1076">
        <v>1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-3.1990000000000003</v>
      </c>
      <c r="AV1076">
        <v>6.12</v>
      </c>
      <c r="AW1076">
        <v>845.548</v>
      </c>
      <c r="BD1076" t="s">
        <v>126</v>
      </c>
    </row>
    <row r="1077" spans="1:56" x14ac:dyDescent="0.3">
      <c r="A1077">
        <v>11076</v>
      </c>
      <c r="B1077">
        <v>0</v>
      </c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1</v>
      </c>
      <c r="X1077">
        <v>950</v>
      </c>
      <c r="Y1077">
        <v>50</v>
      </c>
      <c r="Z1077">
        <v>0</v>
      </c>
      <c r="AA1077">
        <v>0</v>
      </c>
      <c r="AB1077">
        <v>1</v>
      </c>
      <c r="AC1077">
        <v>0</v>
      </c>
      <c r="AD1077">
        <v>700</v>
      </c>
      <c r="AE1077">
        <v>1</v>
      </c>
      <c r="AF1077">
        <v>0</v>
      </c>
      <c r="AG1077">
        <v>0</v>
      </c>
      <c r="AH1077">
        <v>1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-3.1990000000000003</v>
      </c>
      <c r="AV1077">
        <v>6.12</v>
      </c>
      <c r="AW1077">
        <v>845.548</v>
      </c>
      <c r="BD1077" t="s">
        <v>126</v>
      </c>
    </row>
    <row r="1078" spans="1:56" x14ac:dyDescent="0.3">
      <c r="A1078">
        <v>11077</v>
      </c>
      <c r="B1078">
        <v>1</v>
      </c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1</v>
      </c>
      <c r="X1078">
        <v>970</v>
      </c>
      <c r="Y1078">
        <v>50</v>
      </c>
      <c r="Z1078">
        <v>0</v>
      </c>
      <c r="AA1078">
        <v>0</v>
      </c>
      <c r="AB1078">
        <v>1</v>
      </c>
      <c r="AC1078">
        <v>0</v>
      </c>
      <c r="AD1078">
        <v>800</v>
      </c>
      <c r="AE1078">
        <v>1</v>
      </c>
      <c r="AF1078">
        <v>0</v>
      </c>
      <c r="AG1078">
        <v>0</v>
      </c>
      <c r="AH1078">
        <v>1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-3.1990000000000003</v>
      </c>
      <c r="AV1078">
        <v>6.12</v>
      </c>
      <c r="AW1078">
        <v>845.548</v>
      </c>
      <c r="AY1078">
        <v>798</v>
      </c>
      <c r="AZ1078">
        <v>900</v>
      </c>
      <c r="BA1078">
        <v>15.8</v>
      </c>
      <c r="BD1078" t="s">
        <v>126</v>
      </c>
    </row>
    <row r="1079" spans="1:56" x14ac:dyDescent="0.3">
      <c r="A1079">
        <v>11078</v>
      </c>
      <c r="B1079">
        <v>0</v>
      </c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1</v>
      </c>
      <c r="X1079">
        <v>950</v>
      </c>
      <c r="Y1079">
        <v>80</v>
      </c>
      <c r="Z1079">
        <v>0</v>
      </c>
      <c r="AA1079">
        <v>0</v>
      </c>
      <c r="AB1079">
        <v>1</v>
      </c>
      <c r="AC1079">
        <v>0</v>
      </c>
      <c r="AD1079">
        <v>600</v>
      </c>
      <c r="AE1079">
        <v>1</v>
      </c>
      <c r="AF1079">
        <v>0</v>
      </c>
      <c r="AG1079">
        <v>0</v>
      </c>
      <c r="AH1079">
        <v>1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-3.1990000000000003</v>
      </c>
      <c r="AV1079">
        <v>6.12</v>
      </c>
      <c r="AW1079">
        <v>845.548</v>
      </c>
      <c r="BD1079" t="s">
        <v>126</v>
      </c>
    </row>
    <row r="1080" spans="1:56" x14ac:dyDescent="0.3">
      <c r="A1080">
        <v>11079</v>
      </c>
      <c r="B1080">
        <v>0</v>
      </c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1</v>
      </c>
      <c r="X1080">
        <v>970</v>
      </c>
      <c r="Y1080">
        <v>80</v>
      </c>
      <c r="Z1080">
        <v>0</v>
      </c>
      <c r="AA1080">
        <v>0</v>
      </c>
      <c r="AB1080">
        <v>1</v>
      </c>
      <c r="AC1080">
        <v>0</v>
      </c>
      <c r="AD1080">
        <v>700</v>
      </c>
      <c r="AE1080">
        <v>1</v>
      </c>
      <c r="AF1080">
        <v>0</v>
      </c>
      <c r="AG1080">
        <v>0</v>
      </c>
      <c r="AH1080">
        <v>1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-3.1990000000000003</v>
      </c>
      <c r="AV1080">
        <v>6.12</v>
      </c>
      <c r="AW1080">
        <v>845.548</v>
      </c>
      <c r="BD1080" t="s">
        <v>126</v>
      </c>
    </row>
    <row r="1081" spans="1:56" x14ac:dyDescent="0.3">
      <c r="A1081">
        <v>11080</v>
      </c>
      <c r="B1081">
        <v>0</v>
      </c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1</v>
      </c>
      <c r="X1081">
        <v>930</v>
      </c>
      <c r="Y1081">
        <v>80</v>
      </c>
      <c r="Z1081">
        <v>0</v>
      </c>
      <c r="AA1081">
        <v>0</v>
      </c>
      <c r="AB1081">
        <v>1</v>
      </c>
      <c r="AC1081">
        <v>0</v>
      </c>
      <c r="AD1081">
        <v>800</v>
      </c>
      <c r="AE1081">
        <v>1</v>
      </c>
      <c r="AF1081">
        <v>0</v>
      </c>
      <c r="AG1081">
        <v>0</v>
      </c>
      <c r="AH1081">
        <v>1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-3.1990000000000003</v>
      </c>
      <c r="AV1081">
        <v>6.12</v>
      </c>
      <c r="AW1081">
        <v>845.548</v>
      </c>
      <c r="BD1081" t="s">
        <v>126</v>
      </c>
    </row>
    <row r="1082" spans="1:56" x14ac:dyDescent="0.3">
      <c r="A1082">
        <v>11081</v>
      </c>
      <c r="B1082">
        <v>0</v>
      </c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1</v>
      </c>
      <c r="X1082">
        <v>970</v>
      </c>
      <c r="Y1082">
        <v>20</v>
      </c>
      <c r="Z1082">
        <v>0</v>
      </c>
      <c r="AA1082">
        <v>0</v>
      </c>
      <c r="AB1082">
        <v>1</v>
      </c>
      <c r="AC1082">
        <v>0</v>
      </c>
      <c r="AD1082">
        <v>600</v>
      </c>
      <c r="AE1082">
        <v>2</v>
      </c>
      <c r="AF1082">
        <v>0</v>
      </c>
      <c r="AG1082">
        <v>0</v>
      </c>
      <c r="AH1082">
        <v>1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-3.1990000000000003</v>
      </c>
      <c r="AV1082">
        <v>6.12</v>
      </c>
      <c r="AW1082">
        <v>845.548</v>
      </c>
      <c r="BD1082" t="s">
        <v>126</v>
      </c>
    </row>
    <row r="1083" spans="1:56" x14ac:dyDescent="0.3">
      <c r="A1083">
        <v>11082</v>
      </c>
      <c r="B1083">
        <v>0</v>
      </c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1</v>
      </c>
      <c r="X1083">
        <v>930</v>
      </c>
      <c r="Y1083">
        <v>20</v>
      </c>
      <c r="Z1083">
        <v>0</v>
      </c>
      <c r="AA1083">
        <v>0</v>
      </c>
      <c r="AB1083">
        <v>1</v>
      </c>
      <c r="AC1083">
        <v>0</v>
      </c>
      <c r="AD1083">
        <v>700</v>
      </c>
      <c r="AE1083">
        <v>2</v>
      </c>
      <c r="AF1083">
        <v>0</v>
      </c>
      <c r="AG1083">
        <v>0</v>
      </c>
      <c r="AH1083">
        <v>1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-3.1990000000000003</v>
      </c>
      <c r="AV1083">
        <v>6.12</v>
      </c>
      <c r="AW1083">
        <v>845.548</v>
      </c>
      <c r="BD1083" t="s">
        <v>126</v>
      </c>
    </row>
    <row r="1084" spans="1:56" x14ac:dyDescent="0.3">
      <c r="A1084">
        <v>11083</v>
      </c>
      <c r="B1084">
        <v>0</v>
      </c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1</v>
      </c>
      <c r="X1084">
        <v>950</v>
      </c>
      <c r="Y1084">
        <v>20</v>
      </c>
      <c r="Z1084">
        <v>0</v>
      </c>
      <c r="AA1084">
        <v>0</v>
      </c>
      <c r="AB1084">
        <v>1</v>
      </c>
      <c r="AC1084">
        <v>0</v>
      </c>
      <c r="AD1084">
        <v>800</v>
      </c>
      <c r="AE1084">
        <v>2</v>
      </c>
      <c r="AF1084">
        <v>0</v>
      </c>
      <c r="AG1084">
        <v>0</v>
      </c>
      <c r="AH1084">
        <v>1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-3.1990000000000003</v>
      </c>
      <c r="AV1084">
        <v>6.12</v>
      </c>
      <c r="AW1084">
        <v>845.548</v>
      </c>
      <c r="BD1084" t="s">
        <v>126</v>
      </c>
    </row>
    <row r="1085" spans="1:56" x14ac:dyDescent="0.3">
      <c r="A1085">
        <v>11084</v>
      </c>
      <c r="B1085">
        <v>0</v>
      </c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1</v>
      </c>
      <c r="X1085">
        <v>950</v>
      </c>
      <c r="Y1085">
        <v>50</v>
      </c>
      <c r="Z1085">
        <v>0</v>
      </c>
      <c r="AA1085">
        <v>0</v>
      </c>
      <c r="AB1085">
        <v>1</v>
      </c>
      <c r="AC1085">
        <v>0</v>
      </c>
      <c r="AD1085">
        <v>600</v>
      </c>
      <c r="AE1085">
        <v>2</v>
      </c>
      <c r="AF1085">
        <v>0</v>
      </c>
      <c r="AG1085">
        <v>0</v>
      </c>
      <c r="AH1085">
        <v>1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-3.1990000000000003</v>
      </c>
      <c r="AV1085">
        <v>6.12</v>
      </c>
      <c r="AW1085">
        <v>845.548</v>
      </c>
      <c r="BD1085" t="s">
        <v>126</v>
      </c>
    </row>
    <row r="1086" spans="1:56" x14ac:dyDescent="0.3">
      <c r="A1086">
        <v>11085</v>
      </c>
      <c r="B1086">
        <v>0</v>
      </c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1</v>
      </c>
      <c r="X1086">
        <v>970</v>
      </c>
      <c r="Y1086">
        <v>50</v>
      </c>
      <c r="Z1086">
        <v>0</v>
      </c>
      <c r="AA1086">
        <v>0</v>
      </c>
      <c r="AB1086">
        <v>1</v>
      </c>
      <c r="AC1086">
        <v>0</v>
      </c>
      <c r="AD1086">
        <v>700</v>
      </c>
      <c r="AE1086">
        <v>2</v>
      </c>
      <c r="AF1086">
        <v>0</v>
      </c>
      <c r="AG1086">
        <v>0</v>
      </c>
      <c r="AH1086">
        <v>1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-3.1990000000000003</v>
      </c>
      <c r="AV1086">
        <v>6.12</v>
      </c>
      <c r="AW1086">
        <v>845.548</v>
      </c>
      <c r="BD1086" t="s">
        <v>126</v>
      </c>
    </row>
    <row r="1087" spans="1:56" x14ac:dyDescent="0.3">
      <c r="A1087">
        <v>11086</v>
      </c>
      <c r="B1087">
        <v>0</v>
      </c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930</v>
      </c>
      <c r="Y1087">
        <v>50</v>
      </c>
      <c r="Z1087">
        <v>0</v>
      </c>
      <c r="AA1087">
        <v>0</v>
      </c>
      <c r="AB1087">
        <v>1</v>
      </c>
      <c r="AC1087">
        <v>0</v>
      </c>
      <c r="AD1087">
        <v>800</v>
      </c>
      <c r="AE1087">
        <v>2</v>
      </c>
      <c r="AF1087">
        <v>0</v>
      </c>
      <c r="AG1087">
        <v>0</v>
      </c>
      <c r="AH1087">
        <v>1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-3.1990000000000003</v>
      </c>
      <c r="AV1087">
        <v>6.12</v>
      </c>
      <c r="AW1087">
        <v>845.548</v>
      </c>
      <c r="BD1087" t="s">
        <v>126</v>
      </c>
    </row>
    <row r="1088" spans="1:56" x14ac:dyDescent="0.3">
      <c r="A1088">
        <v>11087</v>
      </c>
      <c r="B1088">
        <v>0</v>
      </c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970</v>
      </c>
      <c r="Y1088">
        <v>80</v>
      </c>
      <c r="Z1088">
        <v>0</v>
      </c>
      <c r="AA1088">
        <v>0</v>
      </c>
      <c r="AB1088">
        <v>1</v>
      </c>
      <c r="AC1088">
        <v>0</v>
      </c>
      <c r="AD1088">
        <v>600</v>
      </c>
      <c r="AE1088">
        <v>2</v>
      </c>
      <c r="AF1088">
        <v>0</v>
      </c>
      <c r="AG1088">
        <v>0</v>
      </c>
      <c r="AH1088">
        <v>1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-3.1990000000000003</v>
      </c>
      <c r="AV1088">
        <v>6.12</v>
      </c>
      <c r="AW1088">
        <v>845.548</v>
      </c>
      <c r="BD1088" t="s">
        <v>126</v>
      </c>
    </row>
    <row r="1089" spans="1:56" x14ac:dyDescent="0.3">
      <c r="A1089">
        <v>11088</v>
      </c>
      <c r="B1089">
        <v>0</v>
      </c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930</v>
      </c>
      <c r="Y1089">
        <v>80</v>
      </c>
      <c r="Z1089">
        <v>0</v>
      </c>
      <c r="AA1089">
        <v>0</v>
      </c>
      <c r="AB1089">
        <v>1</v>
      </c>
      <c r="AC1089">
        <v>0</v>
      </c>
      <c r="AD1089">
        <v>700</v>
      </c>
      <c r="AE1089">
        <v>2</v>
      </c>
      <c r="AF1089">
        <v>0</v>
      </c>
      <c r="AG1089">
        <v>0</v>
      </c>
      <c r="AH1089">
        <v>1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-3.1990000000000003</v>
      </c>
      <c r="AV1089">
        <v>6.12</v>
      </c>
      <c r="AW1089">
        <v>845.548</v>
      </c>
      <c r="BD1089" t="s">
        <v>126</v>
      </c>
    </row>
    <row r="1090" spans="1:56" x14ac:dyDescent="0.3">
      <c r="A1090">
        <v>11089</v>
      </c>
      <c r="B1090">
        <v>0</v>
      </c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950</v>
      </c>
      <c r="Y1090">
        <v>80</v>
      </c>
      <c r="Z1090">
        <v>0</v>
      </c>
      <c r="AA1090">
        <v>0</v>
      </c>
      <c r="AB1090">
        <v>1</v>
      </c>
      <c r="AC1090">
        <v>0</v>
      </c>
      <c r="AD1090">
        <v>800</v>
      </c>
      <c r="AE1090">
        <v>2</v>
      </c>
      <c r="AF1090">
        <v>0</v>
      </c>
      <c r="AG1090">
        <v>0</v>
      </c>
      <c r="AH1090">
        <v>1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-3.1990000000000003</v>
      </c>
      <c r="AV1090">
        <v>6.12</v>
      </c>
      <c r="AW1090">
        <v>845.548</v>
      </c>
      <c r="BD1090" t="s">
        <v>126</v>
      </c>
    </row>
    <row r="1091" spans="1:56" x14ac:dyDescent="0.3">
      <c r="A1091">
        <v>11090</v>
      </c>
      <c r="B1091">
        <v>1</v>
      </c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0</v>
      </c>
      <c r="Y1091">
        <v>0</v>
      </c>
      <c r="Z1091">
        <v>0</v>
      </c>
      <c r="AA1091">
        <v>0</v>
      </c>
      <c r="AB1091">
        <v>1</v>
      </c>
      <c r="AC1091">
        <v>0</v>
      </c>
      <c r="AD1091">
        <v>800</v>
      </c>
      <c r="AE1091">
        <v>1</v>
      </c>
      <c r="AF1091">
        <v>0</v>
      </c>
      <c r="AG1091">
        <v>1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-3.3337999999999997</v>
      </c>
      <c r="AV1091">
        <v>6.2</v>
      </c>
      <c r="AW1091">
        <v>845.18280000000004</v>
      </c>
      <c r="AY1091">
        <v>813</v>
      </c>
      <c r="AZ1091">
        <v>924</v>
      </c>
      <c r="BA1091">
        <v>14.5</v>
      </c>
      <c r="BD1091" t="s">
        <v>127</v>
      </c>
    </row>
    <row r="1092" spans="1:56" x14ac:dyDescent="0.3">
      <c r="A1092">
        <v>11091</v>
      </c>
      <c r="B1092">
        <v>1</v>
      </c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0</v>
      </c>
      <c r="Y1092">
        <v>0</v>
      </c>
      <c r="Z1092">
        <v>0</v>
      </c>
      <c r="AA1092">
        <v>0</v>
      </c>
      <c r="AB1092">
        <v>1</v>
      </c>
      <c r="AC1092">
        <v>0</v>
      </c>
      <c r="AD1092">
        <v>900</v>
      </c>
      <c r="AE1092">
        <v>1</v>
      </c>
      <c r="AF1092">
        <v>0</v>
      </c>
      <c r="AG1092">
        <v>1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-3.3337999999999997</v>
      </c>
      <c r="AV1092">
        <v>6.2</v>
      </c>
      <c r="AW1092">
        <v>845.18280000000004</v>
      </c>
      <c r="AY1092">
        <v>826</v>
      </c>
      <c r="AZ1092">
        <v>930</v>
      </c>
      <c r="BA1092">
        <v>16</v>
      </c>
      <c r="BD1092" t="s">
        <v>127</v>
      </c>
    </row>
    <row r="1093" spans="1:56" x14ac:dyDescent="0.3">
      <c r="A1093">
        <v>11092</v>
      </c>
      <c r="B1093">
        <v>1</v>
      </c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1</v>
      </c>
      <c r="X1093">
        <v>0</v>
      </c>
      <c r="Y1093">
        <v>0</v>
      </c>
      <c r="Z1093">
        <v>0</v>
      </c>
      <c r="AA1093">
        <v>0</v>
      </c>
      <c r="AB1093">
        <v>1</v>
      </c>
      <c r="AC1093">
        <v>0</v>
      </c>
      <c r="AD1093">
        <v>1000</v>
      </c>
      <c r="AE1093">
        <v>1</v>
      </c>
      <c r="AF1093">
        <v>0</v>
      </c>
      <c r="AG1093">
        <v>1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-3.3337999999999997</v>
      </c>
      <c r="AV1093">
        <v>6.2</v>
      </c>
      <c r="AW1093">
        <v>845.18280000000004</v>
      </c>
      <c r="AY1093">
        <v>798</v>
      </c>
      <c r="AZ1093">
        <v>975</v>
      </c>
      <c r="BA1093">
        <v>12</v>
      </c>
      <c r="BC1093" t="s">
        <v>349</v>
      </c>
      <c r="BD1093" t="s">
        <v>127</v>
      </c>
    </row>
    <row r="1094" spans="1:56" x14ac:dyDescent="0.3">
      <c r="A1094">
        <v>11093</v>
      </c>
      <c r="B1094">
        <v>1</v>
      </c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1</v>
      </c>
      <c r="X1094">
        <v>0</v>
      </c>
      <c r="Y1094">
        <v>0</v>
      </c>
      <c r="Z1094">
        <v>0</v>
      </c>
      <c r="AA1094">
        <v>0</v>
      </c>
      <c r="AB1094">
        <v>1</v>
      </c>
      <c r="AC1094">
        <v>0</v>
      </c>
      <c r="AD1094">
        <v>1000</v>
      </c>
      <c r="AE1094">
        <v>1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-3.3337999999999997</v>
      </c>
      <c r="AV1094">
        <v>6.2</v>
      </c>
      <c r="AW1094">
        <v>845.18280000000004</v>
      </c>
      <c r="AY1094">
        <v>743</v>
      </c>
      <c r="AZ1094">
        <v>881</v>
      </c>
      <c r="BA1094">
        <v>14</v>
      </c>
      <c r="BC1094" t="s">
        <v>349</v>
      </c>
      <c r="BD1094" t="s">
        <v>127</v>
      </c>
    </row>
    <row r="1095" spans="1:56" x14ac:dyDescent="0.3">
      <c r="A1095">
        <v>11094</v>
      </c>
      <c r="B1095">
        <v>1</v>
      </c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1</v>
      </c>
      <c r="X1095">
        <v>20</v>
      </c>
      <c r="Y1095">
        <v>94</v>
      </c>
      <c r="Z1095">
        <v>0</v>
      </c>
      <c r="AA1095">
        <v>0</v>
      </c>
      <c r="AB1095">
        <v>1</v>
      </c>
      <c r="AC1095">
        <v>0</v>
      </c>
      <c r="AD1095">
        <v>900</v>
      </c>
      <c r="AE1095">
        <v>0.5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6.7200000000000006</v>
      </c>
      <c r="AV1095">
        <v>3.333333333333333</v>
      </c>
      <c r="AW1095">
        <v>888</v>
      </c>
      <c r="AZ1095">
        <v>870</v>
      </c>
      <c r="BA1095">
        <v>10</v>
      </c>
      <c r="BD1095" t="s">
        <v>132</v>
      </c>
    </row>
    <row r="1096" spans="1:56" x14ac:dyDescent="0.3">
      <c r="A1096">
        <v>11095</v>
      </c>
      <c r="B1096">
        <v>1</v>
      </c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1</v>
      </c>
      <c r="X1096">
        <v>20</v>
      </c>
      <c r="Y1096">
        <v>94</v>
      </c>
      <c r="Z1096">
        <v>0</v>
      </c>
      <c r="AA1096">
        <v>0</v>
      </c>
      <c r="AB1096">
        <v>1</v>
      </c>
      <c r="AC1096">
        <v>0</v>
      </c>
      <c r="AD1096">
        <v>700</v>
      </c>
      <c r="AE1096">
        <v>0.05</v>
      </c>
      <c r="AF1096">
        <v>0</v>
      </c>
      <c r="AG1096">
        <v>1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6.7200000000000006</v>
      </c>
      <c r="AV1096">
        <v>3.333333333333333</v>
      </c>
      <c r="AW1096">
        <v>888</v>
      </c>
      <c r="AZ1096">
        <v>990</v>
      </c>
      <c r="BA1096">
        <v>9</v>
      </c>
      <c r="BD1096" t="s">
        <v>132</v>
      </c>
    </row>
    <row r="1097" spans="1:56" x14ac:dyDescent="0.3">
      <c r="A1097">
        <v>11096</v>
      </c>
      <c r="B1097">
        <v>1</v>
      </c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1</v>
      </c>
      <c r="X1097">
        <v>0</v>
      </c>
      <c r="Y1097">
        <v>0</v>
      </c>
      <c r="Z1097">
        <v>0</v>
      </c>
      <c r="AA1097">
        <v>0</v>
      </c>
      <c r="AB1097">
        <v>1</v>
      </c>
      <c r="AC1097">
        <v>0</v>
      </c>
      <c r="AD1097">
        <v>960</v>
      </c>
      <c r="AE1097">
        <v>1</v>
      </c>
      <c r="AF1097">
        <v>0</v>
      </c>
      <c r="AG1097">
        <v>0</v>
      </c>
      <c r="AH1097">
        <v>1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-2</v>
      </c>
      <c r="AV1097">
        <v>3.5</v>
      </c>
      <c r="AW1097">
        <v>858.09999999999991</v>
      </c>
      <c r="AY1097">
        <v>501</v>
      </c>
      <c r="AZ1097">
        <v>604</v>
      </c>
      <c r="BA1097">
        <v>12</v>
      </c>
      <c r="BC1097" t="s">
        <v>294</v>
      </c>
      <c r="BD1097" t="s">
        <v>153</v>
      </c>
    </row>
    <row r="1098" spans="1:56" x14ac:dyDescent="0.3">
      <c r="A1098">
        <v>11097</v>
      </c>
      <c r="B1098">
        <v>1</v>
      </c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1</v>
      </c>
      <c r="X1098">
        <v>0</v>
      </c>
      <c r="Y1098">
        <v>0</v>
      </c>
      <c r="Z1098">
        <v>0</v>
      </c>
      <c r="AA1098">
        <v>0</v>
      </c>
      <c r="AB1098">
        <v>1</v>
      </c>
      <c r="AC1098">
        <v>0</v>
      </c>
      <c r="AD1098">
        <v>920</v>
      </c>
      <c r="AE1098">
        <v>1</v>
      </c>
      <c r="AF1098">
        <v>0</v>
      </c>
      <c r="AG1098">
        <v>0</v>
      </c>
      <c r="AH1098">
        <v>1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-2</v>
      </c>
      <c r="AV1098">
        <v>3.5</v>
      </c>
      <c r="AW1098">
        <v>858.09999999999991</v>
      </c>
      <c r="AY1098">
        <v>572</v>
      </c>
      <c r="AZ1098">
        <v>652</v>
      </c>
      <c r="BA1098">
        <v>15</v>
      </c>
      <c r="BC1098" t="s">
        <v>294</v>
      </c>
      <c r="BD1098" t="s">
        <v>153</v>
      </c>
    </row>
    <row r="1099" spans="1:56" x14ac:dyDescent="0.3">
      <c r="A1099">
        <v>11098</v>
      </c>
      <c r="B1099">
        <v>1</v>
      </c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1</v>
      </c>
      <c r="X1099">
        <v>0</v>
      </c>
      <c r="Y1099">
        <v>0</v>
      </c>
      <c r="Z1099">
        <v>0</v>
      </c>
      <c r="AA1099">
        <v>0</v>
      </c>
      <c r="AB1099">
        <v>1</v>
      </c>
      <c r="AC1099">
        <v>0</v>
      </c>
      <c r="AD1099">
        <v>920</v>
      </c>
      <c r="AE1099">
        <v>1</v>
      </c>
      <c r="AF1099">
        <v>0</v>
      </c>
      <c r="AG1099">
        <v>1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-2</v>
      </c>
      <c r="AV1099">
        <v>3.5</v>
      </c>
      <c r="AW1099">
        <v>858.09999999999991</v>
      </c>
      <c r="AY1099">
        <v>587</v>
      </c>
      <c r="AZ1099">
        <v>659</v>
      </c>
      <c r="BA1099">
        <v>20</v>
      </c>
      <c r="BC1099" t="s">
        <v>294</v>
      </c>
      <c r="BD1099" t="s">
        <v>153</v>
      </c>
    </row>
    <row r="1100" spans="1:56" x14ac:dyDescent="0.3">
      <c r="A1100">
        <v>11099</v>
      </c>
      <c r="B1100">
        <v>1</v>
      </c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1</v>
      </c>
      <c r="X1100">
        <v>920</v>
      </c>
      <c r="Y1100">
        <v>50</v>
      </c>
      <c r="Z1100">
        <v>0</v>
      </c>
      <c r="AA1100">
        <v>0</v>
      </c>
      <c r="AB1100">
        <v>1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-3.1799999999999997</v>
      </c>
      <c r="AV1100">
        <v>6</v>
      </c>
      <c r="AW1100">
        <v>847.4</v>
      </c>
      <c r="AY1100">
        <v>955</v>
      </c>
      <c r="AZ1100">
        <v>975</v>
      </c>
      <c r="BA1100">
        <v>17</v>
      </c>
      <c r="BD1100" t="s">
        <v>156</v>
      </c>
    </row>
    <row r="1101" spans="1:56" x14ac:dyDescent="0.3">
      <c r="A1101">
        <v>11100</v>
      </c>
      <c r="B1101">
        <v>1</v>
      </c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1</v>
      </c>
      <c r="X1101">
        <v>920</v>
      </c>
      <c r="Y1101">
        <v>50</v>
      </c>
      <c r="Z1101">
        <v>0</v>
      </c>
      <c r="AA1101">
        <v>0</v>
      </c>
      <c r="AB1101">
        <v>1</v>
      </c>
      <c r="AC1101">
        <v>0</v>
      </c>
      <c r="AD1101">
        <v>750</v>
      </c>
      <c r="AE1101">
        <v>1</v>
      </c>
      <c r="AF1101">
        <v>0</v>
      </c>
      <c r="AG1101">
        <v>1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-3.1799999999999997</v>
      </c>
      <c r="AV1101">
        <v>6</v>
      </c>
      <c r="AW1101">
        <v>847.4</v>
      </c>
      <c r="AY1101">
        <v>905</v>
      </c>
      <c r="AZ1101">
        <v>932</v>
      </c>
      <c r="BA1101">
        <v>17.5</v>
      </c>
      <c r="BD1101" t="s">
        <v>215</v>
      </c>
    </row>
    <row r="1102" spans="1:56" x14ac:dyDescent="0.3">
      <c r="A1102">
        <v>11101</v>
      </c>
      <c r="B1102">
        <v>1</v>
      </c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1</v>
      </c>
      <c r="X1102">
        <v>920</v>
      </c>
      <c r="Y1102">
        <v>50</v>
      </c>
      <c r="Z1102">
        <v>0</v>
      </c>
      <c r="AA1102">
        <v>0</v>
      </c>
      <c r="AB1102">
        <v>1</v>
      </c>
      <c r="AC1102">
        <v>0</v>
      </c>
      <c r="AD1102">
        <v>800</v>
      </c>
      <c r="AE1102">
        <v>1</v>
      </c>
      <c r="AF1102">
        <v>0</v>
      </c>
      <c r="AG1102">
        <v>1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-3.1799999999999997</v>
      </c>
      <c r="AV1102">
        <v>6</v>
      </c>
      <c r="AW1102">
        <v>847.4</v>
      </c>
      <c r="AY1102">
        <v>913</v>
      </c>
      <c r="AZ1102">
        <v>960</v>
      </c>
      <c r="BA1102">
        <v>18.3</v>
      </c>
      <c r="BD1102" t="s">
        <v>156</v>
      </c>
    </row>
    <row r="1103" spans="1:56" x14ac:dyDescent="0.3">
      <c r="A1103">
        <v>11102</v>
      </c>
      <c r="B1103">
        <v>1</v>
      </c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1</v>
      </c>
      <c r="X1103">
        <v>920</v>
      </c>
      <c r="Y1103">
        <v>50</v>
      </c>
      <c r="Z1103">
        <v>0</v>
      </c>
      <c r="AA1103">
        <v>0</v>
      </c>
      <c r="AB1103">
        <v>1</v>
      </c>
      <c r="AC1103">
        <v>0</v>
      </c>
      <c r="AD1103">
        <v>850</v>
      </c>
      <c r="AE1103">
        <v>1</v>
      </c>
      <c r="AF1103">
        <v>0</v>
      </c>
      <c r="AG1103">
        <v>1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-3.1799999999999997</v>
      </c>
      <c r="AV1103">
        <v>6</v>
      </c>
      <c r="AW1103">
        <v>847.4</v>
      </c>
      <c r="AY1103">
        <v>900</v>
      </c>
      <c r="AZ1103">
        <v>948</v>
      </c>
      <c r="BA1103">
        <v>17</v>
      </c>
      <c r="BD1103" t="s">
        <v>156</v>
      </c>
    </row>
    <row r="1104" spans="1:56" x14ac:dyDescent="0.3">
      <c r="A1104">
        <v>11103</v>
      </c>
      <c r="B1104">
        <v>1</v>
      </c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1</v>
      </c>
      <c r="X1104">
        <v>920</v>
      </c>
      <c r="Y1104">
        <v>50</v>
      </c>
      <c r="Z1104">
        <v>0</v>
      </c>
      <c r="AA1104">
        <v>0</v>
      </c>
      <c r="AB1104">
        <v>1</v>
      </c>
      <c r="AC1104">
        <v>0</v>
      </c>
      <c r="AD1104">
        <v>900</v>
      </c>
      <c r="AE1104">
        <v>1</v>
      </c>
      <c r="AF1104">
        <v>0</v>
      </c>
      <c r="AG1104">
        <v>1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-3.1799999999999997</v>
      </c>
      <c r="AV1104">
        <v>6</v>
      </c>
      <c r="AW1104">
        <v>847.4</v>
      </c>
      <c r="AY1104">
        <v>900</v>
      </c>
      <c r="AZ1104">
        <v>950</v>
      </c>
      <c r="BA1104">
        <v>18</v>
      </c>
      <c r="BD1104" t="s">
        <v>156</v>
      </c>
    </row>
    <row r="1105" spans="1:56" x14ac:dyDescent="0.3">
      <c r="A1105">
        <v>11104</v>
      </c>
      <c r="B1105">
        <v>1</v>
      </c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1020</v>
      </c>
      <c r="Y1105">
        <v>50</v>
      </c>
      <c r="Z1105">
        <v>0</v>
      </c>
      <c r="AA1105">
        <v>0</v>
      </c>
      <c r="AB1105">
        <v>1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-3.1799999999999997</v>
      </c>
      <c r="AV1105">
        <v>6</v>
      </c>
      <c r="AW1105">
        <v>847.4</v>
      </c>
      <c r="AY1105">
        <v>995</v>
      </c>
      <c r="AZ1105">
        <v>1027</v>
      </c>
      <c r="BA1105">
        <v>18</v>
      </c>
      <c r="BD1105" t="s">
        <v>156</v>
      </c>
    </row>
    <row r="1106" spans="1:56" x14ac:dyDescent="0.3">
      <c r="A1106">
        <v>11105</v>
      </c>
      <c r="B1106">
        <v>1</v>
      </c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1020</v>
      </c>
      <c r="Y1106">
        <v>50</v>
      </c>
      <c r="Z1106">
        <v>0</v>
      </c>
      <c r="AA1106">
        <v>0</v>
      </c>
      <c r="AB1106">
        <v>1</v>
      </c>
      <c r="AC1106">
        <v>0</v>
      </c>
      <c r="AD1106">
        <v>750</v>
      </c>
      <c r="AE1106">
        <v>1</v>
      </c>
      <c r="AF1106">
        <v>0</v>
      </c>
      <c r="AG1106">
        <v>1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-3.1799999999999997</v>
      </c>
      <c r="AV1106">
        <v>6</v>
      </c>
      <c r="AW1106">
        <v>847.4</v>
      </c>
      <c r="AY1106">
        <v>964</v>
      </c>
      <c r="AZ1106">
        <v>1005</v>
      </c>
      <c r="BA1106">
        <v>15.8</v>
      </c>
      <c r="BD1106" t="s">
        <v>156</v>
      </c>
    </row>
    <row r="1107" spans="1:56" x14ac:dyDescent="0.3">
      <c r="A1107">
        <v>11106</v>
      </c>
      <c r="B1107">
        <v>1</v>
      </c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1020</v>
      </c>
      <c r="Y1107">
        <v>50</v>
      </c>
      <c r="Z1107">
        <v>0</v>
      </c>
      <c r="AA1107">
        <v>0</v>
      </c>
      <c r="AB1107">
        <v>1</v>
      </c>
      <c r="AC1107">
        <v>0</v>
      </c>
      <c r="AD1107">
        <v>800</v>
      </c>
      <c r="AE1107">
        <v>1</v>
      </c>
      <c r="AF1107">
        <v>0</v>
      </c>
      <c r="AG1107">
        <v>1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-3.1799999999999997</v>
      </c>
      <c r="AV1107">
        <v>6</v>
      </c>
      <c r="AW1107">
        <v>847.4</v>
      </c>
      <c r="AY1107">
        <v>950</v>
      </c>
      <c r="AZ1107">
        <v>987</v>
      </c>
      <c r="BA1107">
        <v>16.7</v>
      </c>
      <c r="BD1107" t="s">
        <v>156</v>
      </c>
    </row>
    <row r="1108" spans="1:56" x14ac:dyDescent="0.3">
      <c r="A1108">
        <v>11107</v>
      </c>
      <c r="B1108">
        <v>1</v>
      </c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1020</v>
      </c>
      <c r="Y1108">
        <v>50</v>
      </c>
      <c r="Z1108">
        <v>0</v>
      </c>
      <c r="AA1108">
        <v>0</v>
      </c>
      <c r="AB1108">
        <v>1</v>
      </c>
      <c r="AC1108">
        <v>0</v>
      </c>
      <c r="AD1108">
        <v>850</v>
      </c>
      <c r="AE1108">
        <v>1</v>
      </c>
      <c r="AF1108">
        <v>0</v>
      </c>
      <c r="AG1108">
        <v>1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-3.1799999999999997</v>
      </c>
      <c r="AV1108">
        <v>6</v>
      </c>
      <c r="AW1108">
        <v>847.4</v>
      </c>
      <c r="AY1108">
        <v>940</v>
      </c>
      <c r="AZ1108">
        <v>983</v>
      </c>
      <c r="BA1108">
        <v>17</v>
      </c>
      <c r="BD1108" t="s">
        <v>156</v>
      </c>
    </row>
    <row r="1109" spans="1:56" x14ac:dyDescent="0.3">
      <c r="A1109">
        <v>11108</v>
      </c>
      <c r="B1109">
        <v>1</v>
      </c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1020</v>
      </c>
      <c r="Y1109">
        <v>50</v>
      </c>
      <c r="Z1109">
        <v>0</v>
      </c>
      <c r="AA1109">
        <v>0</v>
      </c>
      <c r="AB1109">
        <v>1</v>
      </c>
      <c r="AC1109">
        <v>0</v>
      </c>
      <c r="AD1109">
        <v>900</v>
      </c>
      <c r="AE1109">
        <v>1</v>
      </c>
      <c r="AF1109">
        <v>0</v>
      </c>
      <c r="AG1109">
        <v>1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-3.1799999999999997</v>
      </c>
      <c r="AV1109">
        <v>6</v>
      </c>
      <c r="AW1109">
        <v>847.4</v>
      </c>
      <c r="AY1109">
        <v>927</v>
      </c>
      <c r="AZ1109">
        <v>967</v>
      </c>
      <c r="BA1109">
        <v>17</v>
      </c>
      <c r="BD1109" t="s">
        <v>156</v>
      </c>
    </row>
    <row r="1110" spans="1:56" x14ac:dyDescent="0.3">
      <c r="A1110">
        <v>11109</v>
      </c>
      <c r="B1110">
        <v>1</v>
      </c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800</v>
      </c>
      <c r="Y1110">
        <v>0</v>
      </c>
      <c r="Z1110">
        <v>0</v>
      </c>
      <c r="AA1110">
        <v>0</v>
      </c>
      <c r="AB1110">
        <v>1</v>
      </c>
      <c r="AC1110">
        <v>0</v>
      </c>
      <c r="AD1110">
        <v>780</v>
      </c>
      <c r="AE1110">
        <v>1</v>
      </c>
      <c r="AF1110">
        <v>0</v>
      </c>
      <c r="AG1110">
        <v>1</v>
      </c>
      <c r="AH1110">
        <v>0</v>
      </c>
      <c r="AI1110">
        <v>560</v>
      </c>
      <c r="AJ1110">
        <v>6</v>
      </c>
      <c r="AK1110">
        <v>0</v>
      </c>
      <c r="AL1110">
        <v>1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6.3480000000000008</v>
      </c>
      <c r="AV1110">
        <v>5</v>
      </c>
      <c r="AW1110">
        <v>804.37700000000007</v>
      </c>
      <c r="AY1110">
        <v>1070.49</v>
      </c>
      <c r="AZ1110">
        <v>1126.5899999999999</v>
      </c>
      <c r="BA1110">
        <v>18.5685</v>
      </c>
      <c r="BD1110" t="s">
        <v>108</v>
      </c>
    </row>
    <row r="1111" spans="1:56" x14ac:dyDescent="0.3">
      <c r="A1111">
        <v>11110</v>
      </c>
      <c r="B1111">
        <v>1</v>
      </c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1</v>
      </c>
      <c r="X1111">
        <v>800</v>
      </c>
      <c r="Y1111">
        <v>0</v>
      </c>
      <c r="Z1111">
        <v>0</v>
      </c>
      <c r="AA1111">
        <v>0</v>
      </c>
      <c r="AB1111">
        <v>1</v>
      </c>
      <c r="AC1111">
        <v>0</v>
      </c>
      <c r="AD1111">
        <v>780</v>
      </c>
      <c r="AE1111">
        <v>1</v>
      </c>
      <c r="AF1111">
        <v>0</v>
      </c>
      <c r="AG1111">
        <v>1</v>
      </c>
      <c r="AH1111">
        <v>0</v>
      </c>
      <c r="AI1111">
        <v>560</v>
      </c>
      <c r="AJ1111">
        <v>6</v>
      </c>
      <c r="AK1111">
        <v>0</v>
      </c>
      <c r="AL1111">
        <v>1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6.3480000000000008</v>
      </c>
      <c r="AV1111">
        <v>5</v>
      </c>
      <c r="AW1111">
        <v>804.37700000000007</v>
      </c>
      <c r="AY1111">
        <v>1131.97</v>
      </c>
      <c r="AZ1111">
        <v>1160.2</v>
      </c>
      <c r="BA1111">
        <v>17.604500000000002</v>
      </c>
      <c r="BD1111" t="s">
        <v>108</v>
      </c>
    </row>
    <row r="1112" spans="1:56" x14ac:dyDescent="0.3">
      <c r="A1112">
        <v>11111</v>
      </c>
      <c r="B1112">
        <v>1</v>
      </c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1</v>
      </c>
      <c r="X1112">
        <v>800</v>
      </c>
      <c r="Y1112">
        <v>0</v>
      </c>
      <c r="Z1112">
        <v>0</v>
      </c>
      <c r="AA1112">
        <v>0</v>
      </c>
      <c r="AB1112">
        <v>1</v>
      </c>
      <c r="AC1112">
        <v>0</v>
      </c>
      <c r="AD1112">
        <v>780</v>
      </c>
      <c r="AE1112">
        <v>1</v>
      </c>
      <c r="AF1112">
        <v>0</v>
      </c>
      <c r="AG1112">
        <v>1</v>
      </c>
      <c r="AH1112">
        <v>0</v>
      </c>
      <c r="AI1112">
        <v>560</v>
      </c>
      <c r="AJ1112">
        <v>6</v>
      </c>
      <c r="AK1112">
        <v>0</v>
      </c>
      <c r="AL1112">
        <v>1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6.3480000000000008</v>
      </c>
      <c r="AV1112">
        <v>5</v>
      </c>
      <c r="AW1112">
        <v>804.37700000000007</v>
      </c>
      <c r="AY1112">
        <v>1066.3900000000001</v>
      </c>
      <c r="AZ1112">
        <v>1098.76</v>
      </c>
      <c r="BA1112">
        <v>18.0625</v>
      </c>
      <c r="BD1112" t="s">
        <v>108</v>
      </c>
    </row>
    <row r="1113" spans="1:56" x14ac:dyDescent="0.3">
      <c r="A1113">
        <v>11112</v>
      </c>
      <c r="B1113">
        <v>1</v>
      </c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1</v>
      </c>
      <c r="X1113">
        <v>830</v>
      </c>
      <c r="Y1113">
        <v>0</v>
      </c>
      <c r="Z1113">
        <v>0</v>
      </c>
      <c r="AA1113">
        <v>0</v>
      </c>
      <c r="AB1113">
        <v>1</v>
      </c>
      <c r="AC1113">
        <v>0</v>
      </c>
      <c r="AD1113">
        <v>780</v>
      </c>
      <c r="AE1113">
        <v>1</v>
      </c>
      <c r="AF1113">
        <v>0</v>
      </c>
      <c r="AG1113">
        <v>1</v>
      </c>
      <c r="AH1113">
        <v>0</v>
      </c>
      <c r="AI1113">
        <v>560</v>
      </c>
      <c r="AJ1113">
        <v>6</v>
      </c>
      <c r="AK1113">
        <v>0</v>
      </c>
      <c r="AL1113">
        <v>1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6.3480000000000008</v>
      </c>
      <c r="AV1113">
        <v>5</v>
      </c>
      <c r="AW1113">
        <v>804.37700000000007</v>
      </c>
      <c r="AY1113">
        <v>1110.1099999999999</v>
      </c>
      <c r="AZ1113">
        <v>1180.3</v>
      </c>
      <c r="BA1113">
        <v>15.9626</v>
      </c>
      <c r="BD1113" t="s">
        <v>108</v>
      </c>
    </row>
    <row r="1114" spans="1:56" x14ac:dyDescent="0.3">
      <c r="A1114">
        <v>11113</v>
      </c>
      <c r="B1114">
        <v>1</v>
      </c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1</v>
      </c>
      <c r="X1114">
        <v>830</v>
      </c>
      <c r="Y1114">
        <v>0</v>
      </c>
      <c r="Z1114">
        <v>0</v>
      </c>
      <c r="AA1114">
        <v>0</v>
      </c>
      <c r="AB1114">
        <v>1</v>
      </c>
      <c r="AC1114">
        <v>0</v>
      </c>
      <c r="AD1114">
        <v>780</v>
      </c>
      <c r="AE1114">
        <v>1</v>
      </c>
      <c r="AF1114">
        <v>0</v>
      </c>
      <c r="AG1114">
        <v>1</v>
      </c>
      <c r="AH1114">
        <v>0</v>
      </c>
      <c r="AI1114">
        <v>560</v>
      </c>
      <c r="AJ1114">
        <v>6</v>
      </c>
      <c r="AK1114">
        <v>0</v>
      </c>
      <c r="AL1114">
        <v>1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6.3480000000000008</v>
      </c>
      <c r="AV1114">
        <v>5</v>
      </c>
      <c r="AW1114">
        <v>804.37700000000007</v>
      </c>
      <c r="AY1114">
        <v>1145.6300000000001</v>
      </c>
      <c r="AZ1114">
        <v>1178.0999999999999</v>
      </c>
      <c r="BA1114">
        <v>13.6577</v>
      </c>
      <c r="BD1114" t="s">
        <v>108</v>
      </c>
    </row>
    <row r="1115" spans="1:56" x14ac:dyDescent="0.3">
      <c r="A1115">
        <v>11114</v>
      </c>
      <c r="B1115">
        <v>1</v>
      </c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1</v>
      </c>
      <c r="X1115">
        <v>830</v>
      </c>
      <c r="Y1115">
        <v>0</v>
      </c>
      <c r="Z1115">
        <v>0</v>
      </c>
      <c r="AA1115">
        <v>0</v>
      </c>
      <c r="AB1115">
        <v>1</v>
      </c>
      <c r="AC1115">
        <v>0</v>
      </c>
      <c r="AD1115">
        <v>780</v>
      </c>
      <c r="AE1115">
        <v>1</v>
      </c>
      <c r="AF1115">
        <v>0</v>
      </c>
      <c r="AG1115">
        <v>1</v>
      </c>
      <c r="AH1115">
        <v>0</v>
      </c>
      <c r="AI1115">
        <v>560</v>
      </c>
      <c r="AJ1115">
        <v>6</v>
      </c>
      <c r="AK1115">
        <v>0</v>
      </c>
      <c r="AL1115">
        <v>1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6.3480000000000008</v>
      </c>
      <c r="AV1115">
        <v>5</v>
      </c>
      <c r="AW1115">
        <v>804.37700000000007</v>
      </c>
      <c r="AY1115">
        <v>1144.26</v>
      </c>
      <c r="AZ1115">
        <v>1188.3</v>
      </c>
      <c r="BA1115">
        <v>11.9832</v>
      </c>
      <c r="BD1115" t="s">
        <v>108</v>
      </c>
    </row>
    <row r="1116" spans="1:56" x14ac:dyDescent="0.3">
      <c r="A1116">
        <v>11115</v>
      </c>
      <c r="B1116">
        <v>1</v>
      </c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1</v>
      </c>
      <c r="X1116">
        <v>860</v>
      </c>
      <c r="Y1116">
        <v>0</v>
      </c>
      <c r="Z1116">
        <v>0</v>
      </c>
      <c r="AA1116">
        <v>0</v>
      </c>
      <c r="AB1116">
        <v>1</v>
      </c>
      <c r="AC1116">
        <v>0</v>
      </c>
      <c r="AD1116">
        <v>780</v>
      </c>
      <c r="AE1116">
        <v>1</v>
      </c>
      <c r="AF1116">
        <v>0</v>
      </c>
      <c r="AG1116">
        <v>1</v>
      </c>
      <c r="AH1116">
        <v>0</v>
      </c>
      <c r="AI1116">
        <v>560</v>
      </c>
      <c r="AJ1116">
        <v>6</v>
      </c>
      <c r="AK1116">
        <v>0</v>
      </c>
      <c r="AL1116">
        <v>1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6.3480000000000008</v>
      </c>
      <c r="AV1116">
        <v>5</v>
      </c>
      <c r="AW1116">
        <v>804.37700000000007</v>
      </c>
      <c r="AY1116">
        <v>1122.4000000000001</v>
      </c>
      <c r="AZ1116">
        <v>1172.04</v>
      </c>
      <c r="BA1116">
        <v>17.9375</v>
      </c>
      <c r="BD1116" t="s">
        <v>108</v>
      </c>
    </row>
    <row r="1117" spans="1:56" x14ac:dyDescent="0.3">
      <c r="A1117">
        <v>11116</v>
      </c>
      <c r="B1117">
        <v>1</v>
      </c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1</v>
      </c>
      <c r="X1117">
        <v>860</v>
      </c>
      <c r="Y1117">
        <v>0</v>
      </c>
      <c r="Z1117">
        <v>0</v>
      </c>
      <c r="AA1117">
        <v>0</v>
      </c>
      <c r="AB1117">
        <v>1</v>
      </c>
      <c r="AC1117">
        <v>0</v>
      </c>
      <c r="AD1117">
        <v>780</v>
      </c>
      <c r="AE1117">
        <v>1</v>
      </c>
      <c r="AF1117">
        <v>0</v>
      </c>
      <c r="AG1117">
        <v>1</v>
      </c>
      <c r="AH1117">
        <v>0</v>
      </c>
      <c r="AI1117">
        <v>560</v>
      </c>
      <c r="AJ1117">
        <v>6</v>
      </c>
      <c r="AK1117">
        <v>0</v>
      </c>
      <c r="AL1117">
        <v>1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6.3480000000000008</v>
      </c>
      <c r="AV1117">
        <v>5</v>
      </c>
      <c r="AW1117">
        <v>804.37700000000007</v>
      </c>
      <c r="AY1117">
        <v>1136.07</v>
      </c>
      <c r="AZ1117">
        <v>1173.96</v>
      </c>
      <c r="BA1117">
        <v>15.394299999999999</v>
      </c>
      <c r="BD1117" t="s">
        <v>108</v>
      </c>
    </row>
    <row r="1118" spans="1:56" x14ac:dyDescent="0.3">
      <c r="A1118">
        <v>11117</v>
      </c>
      <c r="B1118">
        <v>1</v>
      </c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1</v>
      </c>
      <c r="X1118">
        <v>860</v>
      </c>
      <c r="Y1118">
        <v>0</v>
      </c>
      <c r="Z1118">
        <v>0</v>
      </c>
      <c r="AA1118">
        <v>0</v>
      </c>
      <c r="AB1118">
        <v>1</v>
      </c>
      <c r="AC1118">
        <v>0</v>
      </c>
      <c r="AD1118">
        <v>780</v>
      </c>
      <c r="AE1118">
        <v>1</v>
      </c>
      <c r="AF1118">
        <v>0</v>
      </c>
      <c r="AG1118">
        <v>1</v>
      </c>
      <c r="AH1118">
        <v>0</v>
      </c>
      <c r="AI1118">
        <v>560</v>
      </c>
      <c r="AJ1118">
        <v>6</v>
      </c>
      <c r="AK1118">
        <v>0</v>
      </c>
      <c r="AL1118">
        <v>1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6.3480000000000008</v>
      </c>
      <c r="AV1118">
        <v>5</v>
      </c>
      <c r="AW1118">
        <v>804.37700000000007</v>
      </c>
      <c r="AY1118">
        <v>1133.33</v>
      </c>
      <c r="AZ1118">
        <v>1173.1400000000001</v>
      </c>
      <c r="BA1118">
        <v>12.5359</v>
      </c>
      <c r="BD1118" t="s">
        <v>108</v>
      </c>
    </row>
    <row r="1119" spans="1:56" x14ac:dyDescent="0.3">
      <c r="A1119">
        <v>11118</v>
      </c>
      <c r="B1119">
        <v>1</v>
      </c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1</v>
      </c>
      <c r="X1119">
        <v>890</v>
      </c>
      <c r="Y1119">
        <v>0</v>
      </c>
      <c r="Z1119">
        <v>0</v>
      </c>
      <c r="AA1119">
        <v>0</v>
      </c>
      <c r="AB1119">
        <v>1</v>
      </c>
      <c r="AC1119">
        <v>0</v>
      </c>
      <c r="AD1119">
        <v>780</v>
      </c>
      <c r="AE1119">
        <v>1</v>
      </c>
      <c r="AF1119">
        <v>0</v>
      </c>
      <c r="AG1119">
        <v>1</v>
      </c>
      <c r="AH1119">
        <v>0</v>
      </c>
      <c r="AI1119">
        <v>560</v>
      </c>
      <c r="AJ1119">
        <v>6</v>
      </c>
      <c r="AK1119">
        <v>0</v>
      </c>
      <c r="AL1119">
        <v>1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6.3480000000000008</v>
      </c>
      <c r="AV1119">
        <v>5</v>
      </c>
      <c r="AW1119">
        <v>804.37700000000007</v>
      </c>
      <c r="AY1119">
        <v>1114.21</v>
      </c>
      <c r="AZ1119">
        <v>1161.02</v>
      </c>
      <c r="BA1119">
        <v>17.0685</v>
      </c>
      <c r="BD1119" t="s">
        <v>108</v>
      </c>
    </row>
    <row r="1120" spans="1:56" x14ac:dyDescent="0.3">
      <c r="A1120">
        <v>11119</v>
      </c>
      <c r="B1120">
        <v>1</v>
      </c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1</v>
      </c>
      <c r="X1120">
        <v>890</v>
      </c>
      <c r="Y1120">
        <v>0</v>
      </c>
      <c r="Z1120">
        <v>0</v>
      </c>
      <c r="AA1120">
        <v>0</v>
      </c>
      <c r="AB1120">
        <v>1</v>
      </c>
      <c r="AC1120">
        <v>0</v>
      </c>
      <c r="AD1120">
        <v>780</v>
      </c>
      <c r="AE1120">
        <v>1</v>
      </c>
      <c r="AF1120">
        <v>0</v>
      </c>
      <c r="AG1120">
        <v>1</v>
      </c>
      <c r="AH1120">
        <v>0</v>
      </c>
      <c r="AI1120">
        <v>560</v>
      </c>
      <c r="AJ1120">
        <v>6</v>
      </c>
      <c r="AK1120">
        <v>0</v>
      </c>
      <c r="AL1120">
        <v>1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6.3480000000000008</v>
      </c>
      <c r="AV1120">
        <v>5</v>
      </c>
      <c r="AW1120">
        <v>804.37700000000007</v>
      </c>
      <c r="AY1120">
        <v>1125.1400000000001</v>
      </c>
      <c r="AZ1120">
        <v>1162.6400000000001</v>
      </c>
      <c r="BA1120">
        <v>10.420500000000001</v>
      </c>
      <c r="BD1120" t="s">
        <v>108</v>
      </c>
    </row>
    <row r="1121" spans="1:56" x14ac:dyDescent="0.3">
      <c r="A1121">
        <v>11120</v>
      </c>
      <c r="B1121">
        <v>1</v>
      </c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1</v>
      </c>
      <c r="X1121">
        <v>890</v>
      </c>
      <c r="Y1121">
        <v>0</v>
      </c>
      <c r="Z1121">
        <v>0</v>
      </c>
      <c r="AA1121">
        <v>0</v>
      </c>
      <c r="AB1121">
        <v>1</v>
      </c>
      <c r="AC1121">
        <v>0</v>
      </c>
      <c r="AD1121">
        <v>780</v>
      </c>
      <c r="AE1121">
        <v>1</v>
      </c>
      <c r="AF1121">
        <v>0</v>
      </c>
      <c r="AG1121">
        <v>1</v>
      </c>
      <c r="AH1121">
        <v>0</v>
      </c>
      <c r="AI1121">
        <v>560</v>
      </c>
      <c r="AJ1121">
        <v>6</v>
      </c>
      <c r="AK1121">
        <v>0</v>
      </c>
      <c r="AL1121">
        <v>1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6.3480000000000008</v>
      </c>
      <c r="AV1121">
        <v>5</v>
      </c>
      <c r="AW1121">
        <v>804.37700000000007</v>
      </c>
      <c r="AY1121">
        <v>1108.74</v>
      </c>
      <c r="AZ1121">
        <v>1153.3</v>
      </c>
      <c r="BA1121">
        <v>14.746700000000001</v>
      </c>
      <c r="BD1121" t="s">
        <v>108</v>
      </c>
    </row>
    <row r="1122" spans="1:56" x14ac:dyDescent="0.3">
      <c r="A1122">
        <v>11121</v>
      </c>
      <c r="B1122">
        <v>1</v>
      </c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1</v>
      </c>
      <c r="X1122">
        <v>920</v>
      </c>
      <c r="Y1122">
        <v>0</v>
      </c>
      <c r="Z1122">
        <v>0</v>
      </c>
      <c r="AA1122">
        <v>0</v>
      </c>
      <c r="AB1122">
        <v>1</v>
      </c>
      <c r="AC1122">
        <v>0</v>
      </c>
      <c r="AD1122">
        <v>780</v>
      </c>
      <c r="AE1122">
        <v>1</v>
      </c>
      <c r="AF1122">
        <v>0</v>
      </c>
      <c r="AG1122">
        <v>1</v>
      </c>
      <c r="AH1122">
        <v>0</v>
      </c>
      <c r="AI1122">
        <v>560</v>
      </c>
      <c r="AJ1122">
        <v>6</v>
      </c>
      <c r="AK1122">
        <v>0</v>
      </c>
      <c r="AL1122">
        <v>1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6.3480000000000008</v>
      </c>
      <c r="AV1122">
        <v>5</v>
      </c>
      <c r="AW1122">
        <v>804.37700000000007</v>
      </c>
      <c r="AY1122">
        <v>1062.3</v>
      </c>
      <c r="AZ1122">
        <v>1130.72</v>
      </c>
      <c r="BA1122">
        <v>13.8316</v>
      </c>
      <c r="BD1122" t="s">
        <v>108</v>
      </c>
    </row>
    <row r="1123" spans="1:56" x14ac:dyDescent="0.3">
      <c r="A1123">
        <v>11122</v>
      </c>
      <c r="B1123">
        <v>1</v>
      </c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</v>
      </c>
      <c r="X1123">
        <v>920</v>
      </c>
      <c r="Y1123">
        <v>0</v>
      </c>
      <c r="Z1123">
        <v>0</v>
      </c>
      <c r="AA1123">
        <v>0</v>
      </c>
      <c r="AB1123">
        <v>1</v>
      </c>
      <c r="AC1123">
        <v>0</v>
      </c>
      <c r="AD1123">
        <v>780</v>
      </c>
      <c r="AE1123">
        <v>1</v>
      </c>
      <c r="AF1123">
        <v>0</v>
      </c>
      <c r="AG1123">
        <v>1</v>
      </c>
      <c r="AH1123">
        <v>0</v>
      </c>
      <c r="AI1123">
        <v>560</v>
      </c>
      <c r="AJ1123">
        <v>6</v>
      </c>
      <c r="AK1123">
        <v>0</v>
      </c>
      <c r="AL1123">
        <v>1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6.3480000000000008</v>
      </c>
      <c r="AV1123">
        <v>5</v>
      </c>
      <c r="AW1123">
        <v>804.37700000000007</v>
      </c>
      <c r="AY1123">
        <v>1103.1600000000001</v>
      </c>
      <c r="AZ1123">
        <v>1172.5899999999999</v>
      </c>
      <c r="BA1123">
        <v>9.5527300000000004</v>
      </c>
      <c r="BD1123" t="s">
        <v>108</v>
      </c>
    </row>
    <row r="1124" spans="1:56" x14ac:dyDescent="0.3">
      <c r="A1124">
        <v>11123</v>
      </c>
      <c r="B1124">
        <v>1</v>
      </c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1</v>
      </c>
      <c r="X1124">
        <v>920</v>
      </c>
      <c r="Y1124">
        <v>0</v>
      </c>
      <c r="Z1124">
        <v>0</v>
      </c>
      <c r="AA1124">
        <v>0</v>
      </c>
      <c r="AB1124">
        <v>1</v>
      </c>
      <c r="AC1124">
        <v>0</v>
      </c>
      <c r="AD1124">
        <v>780</v>
      </c>
      <c r="AE1124">
        <v>1</v>
      </c>
      <c r="AF1124">
        <v>0</v>
      </c>
      <c r="AG1124">
        <v>1</v>
      </c>
      <c r="AH1124">
        <v>0</v>
      </c>
      <c r="AI1124">
        <v>560</v>
      </c>
      <c r="AJ1124">
        <v>6</v>
      </c>
      <c r="AK1124">
        <v>0</v>
      </c>
      <c r="AL1124">
        <v>1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6.3480000000000008</v>
      </c>
      <c r="AV1124">
        <v>5</v>
      </c>
      <c r="AW1124">
        <v>804.37700000000007</v>
      </c>
      <c r="AY1124">
        <v>1086.96</v>
      </c>
      <c r="AZ1124">
        <v>1167.6300000000001</v>
      </c>
      <c r="BA1124">
        <v>10.009499999999999</v>
      </c>
      <c r="BD1124" t="s">
        <v>108</v>
      </c>
    </row>
    <row r="1125" spans="1:56" x14ac:dyDescent="0.3">
      <c r="A1125">
        <v>11124</v>
      </c>
      <c r="B1125">
        <v>1</v>
      </c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1</v>
      </c>
      <c r="X1125">
        <v>950</v>
      </c>
      <c r="Y1125">
        <v>0</v>
      </c>
      <c r="Z1125">
        <v>0</v>
      </c>
      <c r="AA1125">
        <v>0</v>
      </c>
      <c r="AB1125">
        <v>1</v>
      </c>
      <c r="AC1125">
        <v>0</v>
      </c>
      <c r="AD1125">
        <v>780</v>
      </c>
      <c r="AE1125">
        <v>1</v>
      </c>
      <c r="AF1125">
        <v>0</v>
      </c>
      <c r="AG1125">
        <v>1</v>
      </c>
      <c r="AH1125">
        <v>0</v>
      </c>
      <c r="AI1125">
        <v>560</v>
      </c>
      <c r="AJ1125">
        <v>6</v>
      </c>
      <c r="AK1125">
        <v>0</v>
      </c>
      <c r="AL1125">
        <v>1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6.3480000000000008</v>
      </c>
      <c r="AV1125">
        <v>5</v>
      </c>
      <c r="AW1125">
        <v>804.37700000000007</v>
      </c>
      <c r="AY1125">
        <v>1090.98</v>
      </c>
      <c r="AZ1125">
        <v>1147.24</v>
      </c>
      <c r="BA1125">
        <v>12.0158</v>
      </c>
      <c r="BD1125" t="s">
        <v>108</v>
      </c>
    </row>
    <row r="1126" spans="1:56" x14ac:dyDescent="0.3">
      <c r="A1126">
        <v>11125</v>
      </c>
      <c r="B1126">
        <v>1</v>
      </c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1</v>
      </c>
      <c r="X1126">
        <v>950</v>
      </c>
      <c r="Y1126">
        <v>0</v>
      </c>
      <c r="Z1126">
        <v>0</v>
      </c>
      <c r="AA1126">
        <v>0</v>
      </c>
      <c r="AB1126">
        <v>1</v>
      </c>
      <c r="AC1126">
        <v>0</v>
      </c>
      <c r="AD1126">
        <v>780</v>
      </c>
      <c r="AE1126">
        <v>1</v>
      </c>
      <c r="AF1126">
        <v>0</v>
      </c>
      <c r="AG1126">
        <v>1</v>
      </c>
      <c r="AH1126">
        <v>0</v>
      </c>
      <c r="AI1126">
        <v>560</v>
      </c>
      <c r="AJ1126">
        <v>6</v>
      </c>
      <c r="AK1126">
        <v>0</v>
      </c>
      <c r="AL1126">
        <v>1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6.3480000000000008</v>
      </c>
      <c r="AV1126">
        <v>5</v>
      </c>
      <c r="AW1126">
        <v>804.37700000000007</v>
      </c>
      <c r="AY1126">
        <v>1126.51</v>
      </c>
      <c r="AZ1126">
        <v>1186.3699999999999</v>
      </c>
      <c r="BA1126">
        <v>12.077500000000001</v>
      </c>
      <c r="BD1126" t="s">
        <v>108</v>
      </c>
    </row>
    <row r="1127" spans="1:56" x14ac:dyDescent="0.3">
      <c r="A1127">
        <v>11126</v>
      </c>
      <c r="B1127">
        <v>0</v>
      </c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1</v>
      </c>
      <c r="X1127">
        <v>0</v>
      </c>
      <c r="Y1127">
        <v>0</v>
      </c>
      <c r="Z1127">
        <v>0</v>
      </c>
      <c r="AA1127">
        <v>0</v>
      </c>
      <c r="AB1127">
        <v>1</v>
      </c>
      <c r="AC1127">
        <v>0</v>
      </c>
      <c r="AD1127">
        <v>950</v>
      </c>
      <c r="AE1127">
        <v>1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-1.7443999999999997</v>
      </c>
      <c r="AV1127">
        <v>3.1216666666666666</v>
      </c>
      <c r="AW1127">
        <v>858.12800000000004</v>
      </c>
      <c r="BC1127" t="s">
        <v>322</v>
      </c>
      <c r="BD1127" t="s">
        <v>188</v>
      </c>
    </row>
    <row r="1128" spans="1:56" x14ac:dyDescent="0.3">
      <c r="A1128">
        <v>11127</v>
      </c>
      <c r="B1128">
        <v>0</v>
      </c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1</v>
      </c>
      <c r="X1128">
        <v>0</v>
      </c>
      <c r="Y1128">
        <v>0</v>
      </c>
      <c r="Z1128">
        <v>0</v>
      </c>
      <c r="AA1128">
        <v>0</v>
      </c>
      <c r="AB1128">
        <v>1</v>
      </c>
      <c r="AC1128">
        <v>0</v>
      </c>
      <c r="AD1128">
        <v>950</v>
      </c>
      <c r="AE1128">
        <v>1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-1.7443999999999997</v>
      </c>
      <c r="AV1128">
        <v>3.1216666666666666</v>
      </c>
      <c r="AW1128">
        <v>858.12800000000004</v>
      </c>
      <c r="BC1128" t="s">
        <v>323</v>
      </c>
      <c r="BD1128" t="s">
        <v>188</v>
      </c>
    </row>
    <row r="1129" spans="1:56" x14ac:dyDescent="0.3">
      <c r="A1129">
        <v>11128</v>
      </c>
      <c r="B1129">
        <v>0</v>
      </c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1</v>
      </c>
      <c r="X1129">
        <v>0</v>
      </c>
      <c r="Y1129">
        <v>0</v>
      </c>
      <c r="Z1129">
        <v>0</v>
      </c>
      <c r="AA1129">
        <v>0</v>
      </c>
      <c r="AB1129">
        <v>1</v>
      </c>
      <c r="AC1129">
        <v>0</v>
      </c>
      <c r="AD1129">
        <v>950</v>
      </c>
      <c r="AE1129">
        <v>1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-1.7443999999999997</v>
      </c>
      <c r="AV1129">
        <v>3.1216666666666666</v>
      </c>
      <c r="AW1129">
        <v>858.12800000000004</v>
      </c>
      <c r="BC1129" t="s">
        <v>324</v>
      </c>
      <c r="BD1129" t="s">
        <v>188</v>
      </c>
    </row>
    <row r="1130" spans="1:56" x14ac:dyDescent="0.3">
      <c r="A1130">
        <v>11129</v>
      </c>
      <c r="B1130">
        <v>0</v>
      </c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1</v>
      </c>
      <c r="X1130">
        <v>0</v>
      </c>
      <c r="Y1130">
        <v>0</v>
      </c>
      <c r="Z1130">
        <v>0</v>
      </c>
      <c r="AA1130">
        <v>0</v>
      </c>
      <c r="AB1130">
        <v>1</v>
      </c>
      <c r="AC1130">
        <v>0</v>
      </c>
      <c r="AD1130">
        <v>950</v>
      </c>
      <c r="AE1130">
        <v>1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-1.7443999999999997</v>
      </c>
      <c r="AV1130">
        <v>3.1216666666666666</v>
      </c>
      <c r="AW1130">
        <v>858.12800000000004</v>
      </c>
      <c r="BC1130" t="s">
        <v>325</v>
      </c>
      <c r="BD1130" t="s">
        <v>188</v>
      </c>
    </row>
    <row r="1131" spans="1:56" x14ac:dyDescent="0.3">
      <c r="A1131">
        <v>11130</v>
      </c>
      <c r="B1131">
        <v>0</v>
      </c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1</v>
      </c>
      <c r="X1131">
        <v>0</v>
      </c>
      <c r="Y1131">
        <v>0</v>
      </c>
      <c r="Z1131">
        <v>0</v>
      </c>
      <c r="AA1131">
        <v>0</v>
      </c>
      <c r="AB1131">
        <v>1</v>
      </c>
      <c r="AC1131">
        <v>0</v>
      </c>
      <c r="AD1131">
        <v>950</v>
      </c>
      <c r="AE1131">
        <v>1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-1.7443999999999997</v>
      </c>
      <c r="AV1131">
        <v>3.1216666666666666</v>
      </c>
      <c r="AW1131">
        <v>858.12800000000004</v>
      </c>
      <c r="BC1131" t="s">
        <v>326</v>
      </c>
      <c r="BD1131" t="s">
        <v>188</v>
      </c>
    </row>
    <row r="1132" spans="1:56" x14ac:dyDescent="0.3">
      <c r="A1132">
        <v>11131</v>
      </c>
      <c r="B1132">
        <v>1</v>
      </c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1</v>
      </c>
      <c r="X1132">
        <v>940</v>
      </c>
      <c r="Y1132">
        <v>80</v>
      </c>
      <c r="Z1132">
        <v>0</v>
      </c>
      <c r="AA1132">
        <v>0</v>
      </c>
      <c r="AB1132">
        <v>1</v>
      </c>
      <c r="AC1132">
        <v>0</v>
      </c>
      <c r="AD1132">
        <v>900</v>
      </c>
      <c r="AE1132">
        <v>1.5</v>
      </c>
      <c r="AF1132">
        <v>0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-4.3144</v>
      </c>
      <c r="AV1132">
        <v>6.4550000000000001</v>
      </c>
      <c r="AW1132">
        <v>872.20299999999997</v>
      </c>
      <c r="AY1132">
        <v>782.3</v>
      </c>
      <c r="AZ1132">
        <v>931.90700000000004</v>
      </c>
      <c r="BA1132">
        <v>14.5983</v>
      </c>
      <c r="BC1132" t="s">
        <v>327</v>
      </c>
      <c r="BD1132" t="s">
        <v>108</v>
      </c>
    </row>
    <row r="1133" spans="1:56" x14ac:dyDescent="0.3">
      <c r="A1133">
        <v>11132</v>
      </c>
      <c r="B1133">
        <v>1</v>
      </c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1</v>
      </c>
      <c r="X1133">
        <v>940</v>
      </c>
      <c r="Y1133">
        <v>70</v>
      </c>
      <c r="Z1133">
        <v>0</v>
      </c>
      <c r="AA1133">
        <v>0</v>
      </c>
      <c r="AB1133">
        <v>1</v>
      </c>
      <c r="AC1133">
        <v>0</v>
      </c>
      <c r="AD1133">
        <v>900</v>
      </c>
      <c r="AE1133">
        <v>1.5</v>
      </c>
      <c r="AF1133">
        <v>0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-4.3144</v>
      </c>
      <c r="AV1133">
        <v>6.4550000000000001</v>
      </c>
      <c r="AW1133">
        <v>872.20299999999997</v>
      </c>
      <c r="AY1133">
        <v>783.63800000000003</v>
      </c>
      <c r="AZ1133">
        <v>901.572</v>
      </c>
      <c r="BA1133">
        <v>18.001799999999999</v>
      </c>
      <c r="BC1133" t="s">
        <v>328</v>
      </c>
      <c r="BD1133" t="s">
        <v>108</v>
      </c>
    </row>
    <row r="1134" spans="1:56" x14ac:dyDescent="0.3">
      <c r="A1134">
        <v>11133</v>
      </c>
      <c r="B1134">
        <v>1</v>
      </c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</v>
      </c>
      <c r="X1134">
        <v>940</v>
      </c>
      <c r="Y1134">
        <v>70</v>
      </c>
      <c r="Z1134">
        <v>0</v>
      </c>
      <c r="AA1134">
        <v>0</v>
      </c>
      <c r="AB1134">
        <v>1</v>
      </c>
      <c r="AC1134">
        <v>0</v>
      </c>
      <c r="AD1134">
        <v>800</v>
      </c>
      <c r="AE1134">
        <v>1.5</v>
      </c>
      <c r="AF1134">
        <v>0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-4.3144</v>
      </c>
      <c r="AV1134">
        <v>6.4550000000000001</v>
      </c>
      <c r="AW1134">
        <v>872.20299999999997</v>
      </c>
      <c r="AY1134">
        <v>795.87599999999998</v>
      </c>
      <c r="AZ1134">
        <v>919.58799999999997</v>
      </c>
      <c r="BA1134">
        <v>15.9739</v>
      </c>
      <c r="BC1134" t="s">
        <v>329</v>
      </c>
      <c r="BD1134" t="s">
        <v>108</v>
      </c>
    </row>
    <row r="1135" spans="1:56" x14ac:dyDescent="0.3">
      <c r="A1135">
        <v>11134</v>
      </c>
      <c r="B1135">
        <v>1</v>
      </c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1</v>
      </c>
      <c r="X1135">
        <v>940</v>
      </c>
      <c r="Y1135">
        <v>70</v>
      </c>
      <c r="Z1135">
        <v>0</v>
      </c>
      <c r="AA1135">
        <v>0</v>
      </c>
      <c r="AB1135">
        <v>1</v>
      </c>
      <c r="AC1135">
        <v>0</v>
      </c>
      <c r="AD1135">
        <v>960</v>
      </c>
      <c r="AE1135">
        <v>1.5</v>
      </c>
      <c r="AF1135">
        <v>0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-4.3144</v>
      </c>
      <c r="AV1135">
        <v>6.4550000000000001</v>
      </c>
      <c r="AW1135">
        <v>872.20299999999997</v>
      </c>
      <c r="AY1135">
        <v>744.33</v>
      </c>
      <c r="AZ1135">
        <v>880.41200000000003</v>
      </c>
      <c r="BA1135">
        <v>17.083200000000001</v>
      </c>
      <c r="BC1135" t="s">
        <v>330</v>
      </c>
      <c r="BD1135" t="s">
        <v>108</v>
      </c>
    </row>
    <row r="1136" spans="1:56" x14ac:dyDescent="0.3">
      <c r="A1136">
        <v>11135</v>
      </c>
      <c r="B1136">
        <v>1</v>
      </c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</v>
      </c>
      <c r="X1136">
        <v>940</v>
      </c>
      <c r="Y1136">
        <v>70</v>
      </c>
      <c r="Z1136">
        <v>0</v>
      </c>
      <c r="AA1136">
        <v>0</v>
      </c>
      <c r="AB1136">
        <v>1</v>
      </c>
      <c r="AC1136">
        <v>0</v>
      </c>
      <c r="AD1136">
        <v>1020</v>
      </c>
      <c r="AE1136">
        <v>1.5</v>
      </c>
      <c r="AF1136">
        <v>0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-4.3144</v>
      </c>
      <c r="AV1136">
        <v>6.4550000000000001</v>
      </c>
      <c r="AW1136">
        <v>872.20299999999997</v>
      </c>
      <c r="AY1136">
        <v>777.32</v>
      </c>
      <c r="AZ1136">
        <v>880.41200000000003</v>
      </c>
      <c r="BA1136">
        <v>10.9894</v>
      </c>
      <c r="BC1136" t="s">
        <v>331</v>
      </c>
      <c r="BD1136" t="s">
        <v>108</v>
      </c>
    </row>
    <row r="1137" spans="1:56" x14ac:dyDescent="0.3">
      <c r="A1137">
        <v>11136</v>
      </c>
      <c r="B1137">
        <v>1</v>
      </c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1</v>
      </c>
      <c r="X1137">
        <v>940</v>
      </c>
      <c r="Y1137">
        <v>70</v>
      </c>
      <c r="Z1137">
        <v>0</v>
      </c>
      <c r="AA1137">
        <v>0</v>
      </c>
      <c r="AB1137">
        <v>1</v>
      </c>
      <c r="AC1137">
        <v>0</v>
      </c>
      <c r="AD1137">
        <v>970</v>
      </c>
      <c r="AE1137">
        <v>1.5</v>
      </c>
      <c r="AF1137">
        <v>0</v>
      </c>
      <c r="AG1137">
        <v>1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-4.3144</v>
      </c>
      <c r="AV1137">
        <v>6.4550000000000001</v>
      </c>
      <c r="AW1137">
        <v>872.20299999999997</v>
      </c>
      <c r="AY1137">
        <v>793.81399999999996</v>
      </c>
      <c r="AZ1137">
        <v>903.09299999999996</v>
      </c>
      <c r="BA1137">
        <v>18.148900000000001</v>
      </c>
      <c r="BC1137" t="s">
        <v>332</v>
      </c>
      <c r="BD1137" t="s">
        <v>108</v>
      </c>
    </row>
    <row r="1138" spans="1:56" x14ac:dyDescent="0.3">
      <c r="A1138">
        <v>11137</v>
      </c>
      <c r="B1138">
        <v>1</v>
      </c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1</v>
      </c>
      <c r="X1138">
        <v>940</v>
      </c>
      <c r="Y1138">
        <v>70</v>
      </c>
      <c r="Z1138">
        <v>0</v>
      </c>
      <c r="AA1138">
        <v>0</v>
      </c>
      <c r="AB1138">
        <v>1</v>
      </c>
      <c r="AC1138">
        <v>0</v>
      </c>
      <c r="AD1138">
        <v>970</v>
      </c>
      <c r="AE1138">
        <v>1.5</v>
      </c>
      <c r="AF1138">
        <v>1</v>
      </c>
      <c r="AG1138">
        <v>0</v>
      </c>
      <c r="AH1138">
        <v>0</v>
      </c>
      <c r="AI1138">
        <v>600</v>
      </c>
      <c r="AJ1138">
        <v>4</v>
      </c>
      <c r="AK1138">
        <v>0</v>
      </c>
      <c r="AL1138">
        <v>1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-4.3144</v>
      </c>
      <c r="AV1138">
        <v>6.4550000000000001</v>
      </c>
      <c r="AW1138">
        <v>872.20299999999997</v>
      </c>
      <c r="AY1138">
        <v>859.79399999999998</v>
      </c>
      <c r="AZ1138">
        <v>983.505</v>
      </c>
      <c r="BA1138">
        <v>16.833200000000001</v>
      </c>
      <c r="BC1138" t="s">
        <v>333</v>
      </c>
      <c r="BD1138" t="s">
        <v>108</v>
      </c>
    </row>
    <row r="1139" spans="1:56" x14ac:dyDescent="0.3">
      <c r="A1139">
        <v>11138</v>
      </c>
      <c r="B1139">
        <v>1</v>
      </c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1</v>
      </c>
      <c r="X1139">
        <v>940</v>
      </c>
      <c r="Y1139">
        <v>60</v>
      </c>
      <c r="Z1139">
        <v>0</v>
      </c>
      <c r="AA1139">
        <v>0</v>
      </c>
      <c r="AB1139">
        <v>1</v>
      </c>
      <c r="AC1139">
        <v>0</v>
      </c>
      <c r="AD1139">
        <v>900</v>
      </c>
      <c r="AE1139">
        <v>1.5</v>
      </c>
      <c r="AF1139">
        <v>0</v>
      </c>
      <c r="AG1139">
        <v>1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-4.3144</v>
      </c>
      <c r="AV1139">
        <v>6.4550000000000001</v>
      </c>
      <c r="AW1139">
        <v>872.20299999999997</v>
      </c>
      <c r="AY1139">
        <v>777.18299999999999</v>
      </c>
      <c r="AZ1139">
        <v>899.50099999999998</v>
      </c>
      <c r="BA1139">
        <v>17.545300000000001</v>
      </c>
      <c r="BC1139" t="s">
        <v>334</v>
      </c>
      <c r="BD1139" t="s">
        <v>108</v>
      </c>
    </row>
    <row r="1140" spans="1:56" x14ac:dyDescent="0.3">
      <c r="A1140">
        <v>11139</v>
      </c>
      <c r="B1140">
        <v>1</v>
      </c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1</v>
      </c>
      <c r="X1140">
        <v>940</v>
      </c>
      <c r="Y1140">
        <v>50</v>
      </c>
      <c r="Z1140">
        <v>0</v>
      </c>
      <c r="AA1140">
        <v>0</v>
      </c>
      <c r="AB1140">
        <v>1</v>
      </c>
      <c r="AC1140">
        <v>0</v>
      </c>
      <c r="AD1140">
        <v>900</v>
      </c>
      <c r="AE1140">
        <v>1.5</v>
      </c>
      <c r="AF1140">
        <v>0</v>
      </c>
      <c r="AG1140">
        <v>1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-4.3144</v>
      </c>
      <c r="AV1140">
        <v>6.4550000000000001</v>
      </c>
      <c r="AW1140">
        <v>872.20299999999997</v>
      </c>
      <c r="AY1140">
        <v>770.72400000000005</v>
      </c>
      <c r="AZ1140">
        <v>887.19500000000005</v>
      </c>
      <c r="BA1140">
        <v>16.174199999999999</v>
      </c>
      <c r="BD1140" t="s">
        <v>108</v>
      </c>
    </row>
    <row r="1141" spans="1:56" x14ac:dyDescent="0.3">
      <c r="A1141">
        <v>11140</v>
      </c>
      <c r="B1141">
        <v>1</v>
      </c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1</v>
      </c>
      <c r="X1141">
        <v>0</v>
      </c>
      <c r="Y1141">
        <v>0</v>
      </c>
      <c r="Z1141">
        <v>0</v>
      </c>
      <c r="AA1141">
        <v>0</v>
      </c>
      <c r="AB1141">
        <v>1</v>
      </c>
      <c r="AC1141">
        <v>0</v>
      </c>
      <c r="AD1141">
        <v>990</v>
      </c>
      <c r="AE1141">
        <v>1</v>
      </c>
      <c r="AF1141">
        <v>0</v>
      </c>
      <c r="AG1141">
        <v>0</v>
      </c>
      <c r="AH1141">
        <v>1</v>
      </c>
      <c r="AI1141">
        <v>700</v>
      </c>
      <c r="AJ1141">
        <v>2</v>
      </c>
      <c r="AK1141">
        <v>0</v>
      </c>
      <c r="AL1141">
        <v>1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-0.66500000000000004</v>
      </c>
      <c r="AV1141">
        <v>6.666666666666667</v>
      </c>
      <c r="AW1141">
        <v>849.6</v>
      </c>
      <c r="AY1141">
        <v>927</v>
      </c>
      <c r="AZ1141">
        <v>1125</v>
      </c>
      <c r="BA1141">
        <v>12.5</v>
      </c>
      <c r="BD1141" t="s">
        <v>189</v>
      </c>
    </row>
    <row r="1142" spans="1:56" x14ac:dyDescent="0.3">
      <c r="A1142">
        <v>11141</v>
      </c>
      <c r="B1142">
        <v>1</v>
      </c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1</v>
      </c>
      <c r="X1142">
        <v>0</v>
      </c>
      <c r="Y1142">
        <v>0</v>
      </c>
      <c r="Z1142">
        <v>0</v>
      </c>
      <c r="AA1142">
        <v>0</v>
      </c>
      <c r="AB1142">
        <v>1</v>
      </c>
      <c r="AC1142">
        <v>0</v>
      </c>
      <c r="AD1142">
        <v>600</v>
      </c>
      <c r="AE1142">
        <v>2</v>
      </c>
      <c r="AF1142">
        <v>0</v>
      </c>
      <c r="AG1142">
        <v>1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-0.66500000000000004</v>
      </c>
      <c r="AV1142">
        <v>6.666666666666667</v>
      </c>
      <c r="AW1142">
        <v>849.6</v>
      </c>
      <c r="AY1142">
        <v>1060</v>
      </c>
      <c r="AZ1142">
        <v>1231</v>
      </c>
      <c r="BA1142">
        <v>19.3</v>
      </c>
      <c r="BD1142" t="s">
        <v>189</v>
      </c>
    </row>
    <row r="1143" spans="1:56" x14ac:dyDescent="0.3">
      <c r="A1143">
        <v>11142</v>
      </c>
      <c r="B1143">
        <v>1</v>
      </c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1</v>
      </c>
      <c r="X1143">
        <v>0</v>
      </c>
      <c r="Y1143">
        <v>0</v>
      </c>
      <c r="Z1143">
        <v>0</v>
      </c>
      <c r="AA1143">
        <v>0</v>
      </c>
      <c r="AB1143">
        <v>1</v>
      </c>
      <c r="AC1143">
        <v>0</v>
      </c>
      <c r="AD1143">
        <v>955</v>
      </c>
      <c r="AE1143">
        <v>1</v>
      </c>
      <c r="AF1143">
        <v>1</v>
      </c>
      <c r="AG1143">
        <v>0</v>
      </c>
      <c r="AH1143">
        <v>0</v>
      </c>
      <c r="AI1143">
        <v>910</v>
      </c>
      <c r="AJ1143">
        <v>1</v>
      </c>
      <c r="AK1143">
        <v>0</v>
      </c>
      <c r="AL1143">
        <v>1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-0.66500000000000004</v>
      </c>
      <c r="AV1143">
        <v>6.666666666666667</v>
      </c>
      <c r="AW1143">
        <v>849.6</v>
      </c>
      <c r="AY1143">
        <v>1055</v>
      </c>
      <c r="AZ1143">
        <v>1197</v>
      </c>
      <c r="BA1143">
        <v>14.9</v>
      </c>
      <c r="BD1143" t="s">
        <v>189</v>
      </c>
    </row>
    <row r="1144" spans="1:56" x14ac:dyDescent="0.3">
      <c r="A1144">
        <v>11143</v>
      </c>
      <c r="B1144">
        <v>0</v>
      </c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1</v>
      </c>
      <c r="X1144">
        <v>0</v>
      </c>
      <c r="Y1144">
        <v>50</v>
      </c>
      <c r="Z1144">
        <v>0</v>
      </c>
      <c r="AA1144">
        <v>0</v>
      </c>
      <c r="AB1144">
        <v>1</v>
      </c>
      <c r="AC1144">
        <v>0</v>
      </c>
      <c r="AD1144">
        <v>950</v>
      </c>
      <c r="AE1144">
        <v>1</v>
      </c>
      <c r="AF1144">
        <v>0</v>
      </c>
      <c r="AG1144">
        <v>1</v>
      </c>
      <c r="AH1144">
        <v>0</v>
      </c>
      <c r="AI1144">
        <v>590</v>
      </c>
      <c r="AJ1144">
        <v>8</v>
      </c>
      <c r="AK1144">
        <v>0</v>
      </c>
      <c r="AL1144">
        <v>1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-2.8</v>
      </c>
      <c r="AV1144">
        <v>6.2666666666666666</v>
      </c>
      <c r="AW1144">
        <v>853.76</v>
      </c>
      <c r="BD1144" t="s">
        <v>190</v>
      </c>
    </row>
    <row r="1145" spans="1:56" x14ac:dyDescent="0.3">
      <c r="A1145">
        <v>11144</v>
      </c>
      <c r="B1145">
        <v>0</v>
      </c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1</v>
      </c>
      <c r="X1145">
        <v>0</v>
      </c>
      <c r="Y1145">
        <v>50</v>
      </c>
      <c r="Z1145">
        <v>0</v>
      </c>
      <c r="AA1145">
        <v>0</v>
      </c>
      <c r="AB1145">
        <v>1</v>
      </c>
      <c r="AC1145">
        <v>0</v>
      </c>
      <c r="AD1145">
        <v>950</v>
      </c>
      <c r="AE1145">
        <v>1</v>
      </c>
      <c r="AF1145">
        <v>0</v>
      </c>
      <c r="AG1145">
        <v>1</v>
      </c>
      <c r="AH1145">
        <v>0</v>
      </c>
      <c r="AI1145">
        <v>590</v>
      </c>
      <c r="AJ1145">
        <v>8</v>
      </c>
      <c r="AK1145">
        <v>0</v>
      </c>
      <c r="AL1145">
        <v>1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-2.8</v>
      </c>
      <c r="AV1145">
        <v>6.2166666666666668</v>
      </c>
      <c r="AW1145">
        <v>854.03000000000009</v>
      </c>
      <c r="BD1145" t="s">
        <v>190</v>
      </c>
    </row>
    <row r="1146" spans="1:56" x14ac:dyDescent="0.3">
      <c r="A1146">
        <v>11145</v>
      </c>
      <c r="B1146">
        <v>0</v>
      </c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1</v>
      </c>
      <c r="X1146">
        <v>0</v>
      </c>
      <c r="Y1146">
        <v>50</v>
      </c>
      <c r="Z1146">
        <v>0</v>
      </c>
      <c r="AA1146">
        <v>0</v>
      </c>
      <c r="AB1146">
        <v>1</v>
      </c>
      <c r="AC1146">
        <v>0</v>
      </c>
      <c r="AD1146">
        <v>950</v>
      </c>
      <c r="AE1146">
        <v>1</v>
      </c>
      <c r="AF1146">
        <v>0</v>
      </c>
      <c r="AG1146">
        <v>1</v>
      </c>
      <c r="AH1146">
        <v>0</v>
      </c>
      <c r="AI1146">
        <v>590</v>
      </c>
      <c r="AJ1146">
        <v>8</v>
      </c>
      <c r="AK1146">
        <v>0</v>
      </c>
      <c r="AL1146">
        <v>1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-2.9</v>
      </c>
      <c r="AV1146">
        <v>6.4666666666666668</v>
      </c>
      <c r="AW1146">
        <v>855.03</v>
      </c>
      <c r="BD1146" t="s">
        <v>190</v>
      </c>
    </row>
    <row r="1147" spans="1:56" x14ac:dyDescent="0.3">
      <c r="A1147">
        <v>11146</v>
      </c>
      <c r="B1147">
        <v>1</v>
      </c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1</v>
      </c>
      <c r="X1147">
        <v>0</v>
      </c>
      <c r="Y1147">
        <v>0</v>
      </c>
      <c r="Z1147">
        <v>0</v>
      </c>
      <c r="AA1147">
        <v>0</v>
      </c>
      <c r="AB1147">
        <v>1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-2.855</v>
      </c>
      <c r="AV1147">
        <v>6.2033333333333331</v>
      </c>
      <c r="AW1147">
        <v>841.67799999999988</v>
      </c>
      <c r="AY1147">
        <v>1180</v>
      </c>
      <c r="AZ1147">
        <v>1220</v>
      </c>
      <c r="BA1147">
        <v>16</v>
      </c>
      <c r="BD1147" t="s">
        <v>193</v>
      </c>
    </row>
    <row r="1148" spans="1:56" x14ac:dyDescent="0.3">
      <c r="A1148">
        <v>11147</v>
      </c>
      <c r="B1148">
        <v>1</v>
      </c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1</v>
      </c>
      <c r="X1148">
        <v>883</v>
      </c>
      <c r="Y1148">
        <v>30</v>
      </c>
      <c r="Z1148">
        <v>0</v>
      </c>
      <c r="AA1148">
        <v>0</v>
      </c>
      <c r="AB1148">
        <v>1</v>
      </c>
      <c r="AC1148">
        <v>0</v>
      </c>
      <c r="AD1148">
        <v>800</v>
      </c>
      <c r="AE1148">
        <v>4</v>
      </c>
      <c r="AF1148">
        <v>1</v>
      </c>
      <c r="AG1148">
        <v>0</v>
      </c>
      <c r="AH1148">
        <v>0</v>
      </c>
      <c r="AI1148">
        <v>640</v>
      </c>
      <c r="AJ1148">
        <v>8</v>
      </c>
      <c r="AK1148">
        <v>0</v>
      </c>
      <c r="AL1148">
        <v>1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5.3299999999999992</v>
      </c>
      <c r="AV1148">
        <v>5.8966666666666665</v>
      </c>
      <c r="AW1148">
        <v>814.01800000000014</v>
      </c>
      <c r="AY1148">
        <v>1230.5</v>
      </c>
      <c r="AZ1148">
        <v>1265</v>
      </c>
      <c r="BA1148">
        <v>9.5</v>
      </c>
      <c r="BD1148" t="s">
        <v>108</v>
      </c>
    </row>
    <row r="1149" spans="1:56" x14ac:dyDescent="0.3">
      <c r="A1149">
        <v>11148</v>
      </c>
      <c r="B1149">
        <v>1</v>
      </c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1</v>
      </c>
      <c r="X1149">
        <v>883</v>
      </c>
      <c r="Y1149">
        <v>30</v>
      </c>
      <c r="Z1149">
        <v>0</v>
      </c>
      <c r="AA1149">
        <v>0</v>
      </c>
      <c r="AB1149">
        <v>1</v>
      </c>
      <c r="AC1149">
        <v>0</v>
      </c>
      <c r="AD1149">
        <v>800</v>
      </c>
      <c r="AE1149">
        <v>4</v>
      </c>
      <c r="AF1149">
        <v>1</v>
      </c>
      <c r="AG1149">
        <v>0</v>
      </c>
      <c r="AH1149">
        <v>0</v>
      </c>
      <c r="AI1149">
        <v>640</v>
      </c>
      <c r="AJ1149">
        <v>8</v>
      </c>
      <c r="AK1149">
        <v>0</v>
      </c>
      <c r="AL1149">
        <v>1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5.3299999999999992</v>
      </c>
      <c r="AV1149">
        <v>5.8966666666666665</v>
      </c>
      <c r="AW1149">
        <v>814.01800000000014</v>
      </c>
      <c r="AY1149">
        <v>1250</v>
      </c>
      <c r="AZ1149">
        <v>1287.5</v>
      </c>
      <c r="BA1149">
        <v>9.25</v>
      </c>
      <c r="BD1149" t="s">
        <v>108</v>
      </c>
    </row>
    <row r="1150" spans="1:56" x14ac:dyDescent="0.3">
      <c r="A1150">
        <v>11149</v>
      </c>
      <c r="B1150">
        <v>1</v>
      </c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1</v>
      </c>
      <c r="X1150">
        <v>0</v>
      </c>
      <c r="Y1150">
        <v>0</v>
      </c>
      <c r="Z1150">
        <v>0</v>
      </c>
      <c r="AA1150">
        <v>0</v>
      </c>
      <c r="AB1150">
        <v>1</v>
      </c>
      <c r="AC1150">
        <v>0</v>
      </c>
      <c r="AD1150">
        <v>710</v>
      </c>
      <c r="AE1150">
        <v>2</v>
      </c>
      <c r="AF1150">
        <v>0</v>
      </c>
      <c r="AG1150">
        <v>1</v>
      </c>
      <c r="AH1150">
        <v>0</v>
      </c>
      <c r="AI1150">
        <v>500</v>
      </c>
      <c r="AJ1150">
        <v>3</v>
      </c>
      <c r="AK1150">
        <v>0</v>
      </c>
      <c r="AL1150">
        <v>1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8.2706999999999979</v>
      </c>
      <c r="AV1150">
        <v>5.47</v>
      </c>
      <c r="AW1150">
        <v>758.226</v>
      </c>
      <c r="AZ1150">
        <v>1219.1500000000001</v>
      </c>
      <c r="BA1150">
        <v>12.67</v>
      </c>
      <c r="BD1150" t="s">
        <v>194</v>
      </c>
    </row>
    <row r="1151" spans="1:56" x14ac:dyDescent="0.3">
      <c r="A1151">
        <v>11150</v>
      </c>
      <c r="B1151">
        <v>1</v>
      </c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1</v>
      </c>
      <c r="X1151">
        <v>0</v>
      </c>
      <c r="Y1151">
        <v>0</v>
      </c>
      <c r="Z1151">
        <v>0</v>
      </c>
      <c r="AA1151">
        <v>0</v>
      </c>
      <c r="AB1151">
        <v>1</v>
      </c>
      <c r="AC1151">
        <v>0</v>
      </c>
      <c r="AD1151">
        <v>720</v>
      </c>
      <c r="AE1151">
        <v>2</v>
      </c>
      <c r="AF1151">
        <v>0</v>
      </c>
      <c r="AG1151">
        <v>1</v>
      </c>
      <c r="AH1151">
        <v>0</v>
      </c>
      <c r="AI1151">
        <v>500</v>
      </c>
      <c r="AJ1151">
        <v>3</v>
      </c>
      <c r="AK1151">
        <v>0</v>
      </c>
      <c r="AL1151">
        <v>1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8.2706999999999979</v>
      </c>
      <c r="AV1151">
        <v>5.47</v>
      </c>
      <c r="AW1151">
        <v>758.226</v>
      </c>
      <c r="AZ1151">
        <v>1234.01</v>
      </c>
      <c r="BA1151">
        <v>10.44</v>
      </c>
      <c r="BD1151" t="s">
        <v>194</v>
      </c>
    </row>
    <row r="1152" spans="1:56" x14ac:dyDescent="0.3">
      <c r="A1152">
        <v>11151</v>
      </c>
      <c r="B1152">
        <v>1</v>
      </c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1</v>
      </c>
      <c r="AC1152">
        <v>0</v>
      </c>
      <c r="AD1152">
        <v>730</v>
      </c>
      <c r="AE1152">
        <v>2</v>
      </c>
      <c r="AF1152">
        <v>0</v>
      </c>
      <c r="AG1152">
        <v>1</v>
      </c>
      <c r="AH1152">
        <v>0</v>
      </c>
      <c r="AI1152">
        <v>500</v>
      </c>
      <c r="AJ1152">
        <v>3</v>
      </c>
      <c r="AK1152">
        <v>0</v>
      </c>
      <c r="AL1152">
        <v>1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8.2706999999999979</v>
      </c>
      <c r="AV1152">
        <v>5.47</v>
      </c>
      <c r="AW1152">
        <v>758.226</v>
      </c>
      <c r="AZ1152">
        <v>1241.76</v>
      </c>
      <c r="BA1152">
        <v>9.75</v>
      </c>
      <c r="BD1152" t="s">
        <v>194</v>
      </c>
    </row>
    <row r="1153" spans="1:56" x14ac:dyDescent="0.3">
      <c r="A1153">
        <v>11152</v>
      </c>
      <c r="B1153">
        <v>1</v>
      </c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1</v>
      </c>
      <c r="X1153">
        <v>0</v>
      </c>
      <c r="Y1153">
        <v>0</v>
      </c>
      <c r="Z1153">
        <v>0</v>
      </c>
      <c r="AA1153">
        <v>0</v>
      </c>
      <c r="AB1153">
        <v>1</v>
      </c>
      <c r="AC1153">
        <v>0</v>
      </c>
      <c r="AD1153">
        <v>740</v>
      </c>
      <c r="AE1153">
        <v>2</v>
      </c>
      <c r="AF1153">
        <v>0</v>
      </c>
      <c r="AG1153">
        <v>1</v>
      </c>
      <c r="AH1153">
        <v>0</v>
      </c>
      <c r="AI1153">
        <v>500</v>
      </c>
      <c r="AJ1153">
        <v>3</v>
      </c>
      <c r="AK1153">
        <v>0</v>
      </c>
      <c r="AL1153">
        <v>1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8.2706999999999979</v>
      </c>
      <c r="AV1153">
        <v>5.47</v>
      </c>
      <c r="AW1153">
        <v>758.226</v>
      </c>
      <c r="AZ1153">
        <v>1276.29</v>
      </c>
      <c r="BA1153">
        <v>9</v>
      </c>
      <c r="BD1153" t="s">
        <v>194</v>
      </c>
    </row>
    <row r="1154" spans="1:56" x14ac:dyDescent="0.3">
      <c r="A1154">
        <v>11153</v>
      </c>
      <c r="B1154">
        <v>1</v>
      </c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1</v>
      </c>
      <c r="X1154">
        <v>0</v>
      </c>
      <c r="Y1154">
        <v>0</v>
      </c>
      <c r="Z1154">
        <v>0</v>
      </c>
      <c r="AA1154">
        <v>0</v>
      </c>
      <c r="AB1154">
        <v>1</v>
      </c>
      <c r="AC1154">
        <v>0</v>
      </c>
      <c r="AD1154">
        <v>750</v>
      </c>
      <c r="AE1154">
        <v>2</v>
      </c>
      <c r="AF1154">
        <v>0</v>
      </c>
      <c r="AG1154">
        <v>1</v>
      </c>
      <c r="AH1154">
        <v>0</v>
      </c>
      <c r="AI1154">
        <v>500</v>
      </c>
      <c r="AJ1154">
        <v>3</v>
      </c>
      <c r="AK1154">
        <v>0</v>
      </c>
      <c r="AL1154">
        <v>1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8.2706999999999979</v>
      </c>
      <c r="AV1154">
        <v>5.47</v>
      </c>
      <c r="AW1154">
        <v>758.226</v>
      </c>
      <c r="AZ1154">
        <v>1309.5899999999999</v>
      </c>
      <c r="BA1154">
        <v>6.75</v>
      </c>
      <c r="BD1154" t="s">
        <v>194</v>
      </c>
    </row>
    <row r="1155" spans="1:56" x14ac:dyDescent="0.3">
      <c r="A1155">
        <v>11154</v>
      </c>
      <c r="B1155">
        <v>1</v>
      </c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0</v>
      </c>
      <c r="AB1155">
        <v>1</v>
      </c>
      <c r="AC1155">
        <v>0</v>
      </c>
      <c r="AD1155">
        <v>760</v>
      </c>
      <c r="AE1155">
        <v>2</v>
      </c>
      <c r="AF1155">
        <v>0</v>
      </c>
      <c r="AG1155">
        <v>1</v>
      </c>
      <c r="AH1155">
        <v>0</v>
      </c>
      <c r="AI1155">
        <v>500</v>
      </c>
      <c r="AJ1155">
        <v>3</v>
      </c>
      <c r="AK1155">
        <v>0</v>
      </c>
      <c r="AL1155">
        <v>1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8.2706999999999979</v>
      </c>
      <c r="AV1155">
        <v>5.47</v>
      </c>
      <c r="AW1155">
        <v>758.226</v>
      </c>
      <c r="AZ1155">
        <v>1362.37</v>
      </c>
      <c r="BA1155">
        <v>4.97</v>
      </c>
      <c r="BD1155" t="s">
        <v>194</v>
      </c>
    </row>
    <row r="1156" spans="1:56" x14ac:dyDescent="0.3">
      <c r="A1156">
        <v>11155</v>
      </c>
      <c r="B1156">
        <v>1</v>
      </c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</v>
      </c>
      <c r="X1156">
        <v>0</v>
      </c>
      <c r="Y1156">
        <v>0</v>
      </c>
      <c r="Z1156">
        <v>0</v>
      </c>
      <c r="AA1156">
        <v>0</v>
      </c>
      <c r="AB1156">
        <v>1</v>
      </c>
      <c r="AC1156">
        <v>0</v>
      </c>
      <c r="AD1156">
        <v>770</v>
      </c>
      <c r="AE1156">
        <v>2</v>
      </c>
      <c r="AF1156">
        <v>0</v>
      </c>
      <c r="AG1156">
        <v>1</v>
      </c>
      <c r="AH1156">
        <v>0</v>
      </c>
      <c r="AI1156">
        <v>500</v>
      </c>
      <c r="AJ1156">
        <v>3</v>
      </c>
      <c r="AK1156">
        <v>0</v>
      </c>
      <c r="AL1156">
        <v>1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8.2706999999999979</v>
      </c>
      <c r="AV1156">
        <v>5.47</v>
      </c>
      <c r="AW1156">
        <v>758.226</v>
      </c>
      <c r="AZ1156">
        <v>1415.95</v>
      </c>
      <c r="BA1156">
        <v>4.38</v>
      </c>
      <c r="BD1156" t="s">
        <v>194</v>
      </c>
    </row>
    <row r="1157" spans="1:56" x14ac:dyDescent="0.3">
      <c r="A1157">
        <v>11156</v>
      </c>
      <c r="B1157">
        <v>1</v>
      </c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1</v>
      </c>
      <c r="X1157">
        <v>0</v>
      </c>
      <c r="Y1157">
        <v>0</v>
      </c>
      <c r="Z1157">
        <v>0</v>
      </c>
      <c r="AA1157">
        <v>0</v>
      </c>
      <c r="AB1157">
        <v>1</v>
      </c>
      <c r="AC1157">
        <v>0</v>
      </c>
      <c r="AD1157">
        <v>780</v>
      </c>
      <c r="AE1157">
        <v>2</v>
      </c>
      <c r="AF1157">
        <v>0</v>
      </c>
      <c r="AG1157">
        <v>1</v>
      </c>
      <c r="AH1157">
        <v>0</v>
      </c>
      <c r="AI1157">
        <v>500</v>
      </c>
      <c r="AJ1157">
        <v>3</v>
      </c>
      <c r="AK1157">
        <v>0</v>
      </c>
      <c r="AL1157">
        <v>1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8.2706999999999979</v>
      </c>
      <c r="AV1157">
        <v>5.47</v>
      </c>
      <c r="AW1157">
        <v>758.226</v>
      </c>
      <c r="AZ1157">
        <v>1436.27</v>
      </c>
      <c r="BA1157">
        <v>3.46</v>
      </c>
      <c r="BD1157" t="s">
        <v>194</v>
      </c>
    </row>
    <row r="1158" spans="1:56" x14ac:dyDescent="0.3">
      <c r="A1158">
        <v>11157</v>
      </c>
      <c r="B1158">
        <v>1</v>
      </c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1</v>
      </c>
      <c r="X1158">
        <v>0</v>
      </c>
      <c r="Y1158">
        <v>0</v>
      </c>
      <c r="Z1158">
        <v>0</v>
      </c>
      <c r="AA1158">
        <v>0</v>
      </c>
      <c r="AB1158">
        <v>1</v>
      </c>
      <c r="AC1158">
        <v>0</v>
      </c>
      <c r="AD1158">
        <v>790</v>
      </c>
      <c r="AE1158">
        <v>2</v>
      </c>
      <c r="AF1158">
        <v>0</v>
      </c>
      <c r="AG1158">
        <v>1</v>
      </c>
      <c r="AH1158">
        <v>0</v>
      </c>
      <c r="AI1158">
        <v>500</v>
      </c>
      <c r="AJ1158">
        <v>3</v>
      </c>
      <c r="AK1158">
        <v>0</v>
      </c>
      <c r="AL1158">
        <v>1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8.2706999999999979</v>
      </c>
      <c r="AV1158">
        <v>5.47</v>
      </c>
      <c r="AW1158">
        <v>758.226</v>
      </c>
      <c r="AZ1158">
        <v>1446.05</v>
      </c>
      <c r="BA1158">
        <v>3.27</v>
      </c>
      <c r="BD1158" t="s">
        <v>194</v>
      </c>
    </row>
    <row r="1159" spans="1:56" x14ac:dyDescent="0.3">
      <c r="A1159">
        <v>11158</v>
      </c>
      <c r="B1159">
        <v>1</v>
      </c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1</v>
      </c>
      <c r="AC1159">
        <v>0</v>
      </c>
      <c r="AD1159">
        <v>800</v>
      </c>
      <c r="AE1159">
        <v>2</v>
      </c>
      <c r="AF1159">
        <v>0</v>
      </c>
      <c r="AG1159">
        <v>1</v>
      </c>
      <c r="AH1159">
        <v>0</v>
      </c>
      <c r="AI1159">
        <v>500</v>
      </c>
      <c r="AJ1159">
        <v>3</v>
      </c>
      <c r="AK1159">
        <v>0</v>
      </c>
      <c r="AL1159">
        <v>1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8.2706999999999979</v>
      </c>
      <c r="AV1159">
        <v>5.47</v>
      </c>
      <c r="AW1159">
        <v>758.226</v>
      </c>
      <c r="AZ1159">
        <v>1454.21</v>
      </c>
      <c r="BA1159">
        <v>3.54</v>
      </c>
      <c r="BD1159" t="s">
        <v>194</v>
      </c>
    </row>
    <row r="1160" spans="1:56" x14ac:dyDescent="0.3">
      <c r="A1160">
        <v>11159</v>
      </c>
      <c r="B1160">
        <v>1</v>
      </c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1</v>
      </c>
      <c r="AC1160">
        <v>0</v>
      </c>
      <c r="AD1160">
        <v>810</v>
      </c>
      <c r="AE1160">
        <v>2</v>
      </c>
      <c r="AF1160">
        <v>0</v>
      </c>
      <c r="AG1160">
        <v>1</v>
      </c>
      <c r="AH1160">
        <v>0</v>
      </c>
      <c r="AI1160">
        <v>500</v>
      </c>
      <c r="AJ1160">
        <v>3</v>
      </c>
      <c r="AK1160">
        <v>0</v>
      </c>
      <c r="AL1160">
        <v>1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8.2706999999999979</v>
      </c>
      <c r="AV1160">
        <v>5.47</v>
      </c>
      <c r="AW1160">
        <v>758.226</v>
      </c>
      <c r="AZ1160">
        <v>1460.74</v>
      </c>
      <c r="BA1160">
        <v>3.58</v>
      </c>
      <c r="BD1160" t="s">
        <v>194</v>
      </c>
    </row>
    <row r="1161" spans="1:56" x14ac:dyDescent="0.3">
      <c r="A1161">
        <v>11160</v>
      </c>
      <c r="B1161">
        <v>1</v>
      </c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1</v>
      </c>
      <c r="AC1161">
        <v>0</v>
      </c>
      <c r="AD1161">
        <v>820</v>
      </c>
      <c r="AE1161">
        <v>2</v>
      </c>
      <c r="AF1161">
        <v>0</v>
      </c>
      <c r="AG1161">
        <v>1</v>
      </c>
      <c r="AH1161">
        <v>0</v>
      </c>
      <c r="AI1161">
        <v>500</v>
      </c>
      <c r="AJ1161">
        <v>3</v>
      </c>
      <c r="AK1161">
        <v>0</v>
      </c>
      <c r="AL1161">
        <v>1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8.2706999999999979</v>
      </c>
      <c r="AV1161">
        <v>5.47</v>
      </c>
      <c r="AW1161">
        <v>758.226</v>
      </c>
      <c r="AZ1161">
        <v>1460.8</v>
      </c>
      <c r="BA1161">
        <v>3.31</v>
      </c>
      <c r="BD1161" t="s">
        <v>194</v>
      </c>
    </row>
    <row r="1162" spans="1:56" x14ac:dyDescent="0.3">
      <c r="A1162">
        <v>11161</v>
      </c>
      <c r="B1162">
        <v>1</v>
      </c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1</v>
      </c>
      <c r="AC1162">
        <v>0</v>
      </c>
      <c r="AD1162">
        <v>830</v>
      </c>
      <c r="AE1162">
        <v>2</v>
      </c>
      <c r="AF1162">
        <v>0</v>
      </c>
      <c r="AG1162">
        <v>1</v>
      </c>
      <c r="AH1162">
        <v>0</v>
      </c>
      <c r="AI1162">
        <v>500</v>
      </c>
      <c r="AJ1162">
        <v>3</v>
      </c>
      <c r="AK1162">
        <v>0</v>
      </c>
      <c r="AL1162">
        <v>1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8.2706999999999979</v>
      </c>
      <c r="AV1162">
        <v>5.47</v>
      </c>
      <c r="AW1162">
        <v>758.226</v>
      </c>
      <c r="AZ1162">
        <v>1469.76</v>
      </c>
      <c r="BA1162">
        <v>3.53</v>
      </c>
      <c r="BD1162" t="s">
        <v>194</v>
      </c>
    </row>
    <row r="1163" spans="1:56" x14ac:dyDescent="0.3">
      <c r="A1163">
        <v>11162</v>
      </c>
      <c r="B1163">
        <v>1</v>
      </c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1</v>
      </c>
      <c r="AC1163">
        <v>0</v>
      </c>
      <c r="AD1163">
        <v>840</v>
      </c>
      <c r="AE1163">
        <v>2</v>
      </c>
      <c r="AF1163">
        <v>0</v>
      </c>
      <c r="AG1163">
        <v>1</v>
      </c>
      <c r="AH1163">
        <v>0</v>
      </c>
      <c r="AI1163">
        <v>500</v>
      </c>
      <c r="AJ1163">
        <v>3</v>
      </c>
      <c r="AK1163">
        <v>0</v>
      </c>
      <c r="AL1163">
        <v>1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8.2706999999999979</v>
      </c>
      <c r="AV1163">
        <v>5.47</v>
      </c>
      <c r="AW1163">
        <v>758.226</v>
      </c>
      <c r="AZ1163">
        <v>1473.05</v>
      </c>
      <c r="BA1163">
        <v>3.41</v>
      </c>
      <c r="BD1163" t="s">
        <v>194</v>
      </c>
    </row>
    <row r="1164" spans="1:56" x14ac:dyDescent="0.3">
      <c r="A1164">
        <v>11163</v>
      </c>
      <c r="B1164">
        <v>1</v>
      </c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1</v>
      </c>
      <c r="AC1164">
        <v>0</v>
      </c>
      <c r="AD1164">
        <v>850</v>
      </c>
      <c r="AE1164">
        <v>2</v>
      </c>
      <c r="AF1164">
        <v>0</v>
      </c>
      <c r="AG1164">
        <v>1</v>
      </c>
      <c r="AH1164">
        <v>0</v>
      </c>
      <c r="AI1164">
        <v>500</v>
      </c>
      <c r="AJ1164">
        <v>3</v>
      </c>
      <c r="AK1164">
        <v>0</v>
      </c>
      <c r="AL1164">
        <v>1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8.2706999999999979</v>
      </c>
      <c r="AV1164">
        <v>5.47</v>
      </c>
      <c r="AW1164">
        <v>758.226</v>
      </c>
      <c r="AZ1164">
        <v>1482.83</v>
      </c>
      <c r="BA1164">
        <v>3.3</v>
      </c>
      <c r="BD1164" t="s">
        <v>194</v>
      </c>
    </row>
    <row r="1165" spans="1:56" x14ac:dyDescent="0.3">
      <c r="A1165">
        <v>11164</v>
      </c>
      <c r="B1165">
        <v>1</v>
      </c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1</v>
      </c>
      <c r="X1165">
        <v>0</v>
      </c>
      <c r="Y1165">
        <v>0</v>
      </c>
      <c r="Z1165">
        <v>0</v>
      </c>
      <c r="AA1165">
        <v>0</v>
      </c>
      <c r="AB1165">
        <v>1</v>
      </c>
      <c r="AC1165">
        <v>0</v>
      </c>
      <c r="AD1165">
        <v>860</v>
      </c>
      <c r="AE1165">
        <v>2</v>
      </c>
      <c r="AF1165">
        <v>0</v>
      </c>
      <c r="AG1165">
        <v>1</v>
      </c>
      <c r="AH1165">
        <v>0</v>
      </c>
      <c r="AI1165">
        <v>500</v>
      </c>
      <c r="AJ1165">
        <v>3</v>
      </c>
      <c r="AK1165">
        <v>0</v>
      </c>
      <c r="AL1165">
        <v>1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8.2706999999999979</v>
      </c>
      <c r="AV1165">
        <v>5.47</v>
      </c>
      <c r="AW1165">
        <v>758.226</v>
      </c>
      <c r="AZ1165">
        <v>1492.81</v>
      </c>
      <c r="BA1165">
        <v>3.32</v>
      </c>
      <c r="BD1165" t="s">
        <v>194</v>
      </c>
    </row>
    <row r="1166" spans="1:56" x14ac:dyDescent="0.3">
      <c r="A1166">
        <v>11165</v>
      </c>
      <c r="B1166">
        <v>1</v>
      </c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1</v>
      </c>
      <c r="X1166">
        <v>0</v>
      </c>
      <c r="Y1166">
        <v>0</v>
      </c>
      <c r="Z1166">
        <v>0</v>
      </c>
      <c r="AA1166">
        <v>0</v>
      </c>
      <c r="AB1166">
        <v>1</v>
      </c>
      <c r="AC1166">
        <v>0</v>
      </c>
      <c r="AD1166">
        <v>710</v>
      </c>
      <c r="AE1166">
        <v>2</v>
      </c>
      <c r="AF1166">
        <v>0</v>
      </c>
      <c r="AG1166">
        <v>1</v>
      </c>
      <c r="AH1166">
        <v>0</v>
      </c>
      <c r="AI1166">
        <v>550</v>
      </c>
      <c r="AJ1166">
        <v>3</v>
      </c>
      <c r="AK1166">
        <v>0</v>
      </c>
      <c r="AL1166">
        <v>1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8.2706999999999979</v>
      </c>
      <c r="AV1166">
        <v>5.47</v>
      </c>
      <c r="AW1166">
        <v>758.226</v>
      </c>
      <c r="AZ1166">
        <v>1056.45</v>
      </c>
      <c r="BA1166">
        <v>13.14</v>
      </c>
      <c r="BD1166" t="s">
        <v>194</v>
      </c>
    </row>
    <row r="1167" spans="1:56" x14ac:dyDescent="0.3">
      <c r="A1167">
        <v>11166</v>
      </c>
      <c r="B1167">
        <v>1</v>
      </c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1</v>
      </c>
      <c r="X1167">
        <v>0</v>
      </c>
      <c r="Y1167">
        <v>0</v>
      </c>
      <c r="Z1167">
        <v>0</v>
      </c>
      <c r="AA1167">
        <v>0</v>
      </c>
      <c r="AB1167">
        <v>1</v>
      </c>
      <c r="AC1167">
        <v>0</v>
      </c>
      <c r="AD1167">
        <v>720</v>
      </c>
      <c r="AE1167">
        <v>2</v>
      </c>
      <c r="AF1167">
        <v>0</v>
      </c>
      <c r="AG1167">
        <v>1</v>
      </c>
      <c r="AH1167">
        <v>0</v>
      </c>
      <c r="AI1167">
        <v>550</v>
      </c>
      <c r="AJ1167">
        <v>3</v>
      </c>
      <c r="AK1167">
        <v>0</v>
      </c>
      <c r="AL1167">
        <v>1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8.2706999999999979</v>
      </c>
      <c r="AV1167">
        <v>5.47</v>
      </c>
      <c r="AW1167">
        <v>758.226</v>
      </c>
      <c r="AZ1167">
        <v>1113</v>
      </c>
      <c r="BA1167">
        <v>12.59</v>
      </c>
      <c r="BD1167" t="s">
        <v>194</v>
      </c>
    </row>
    <row r="1168" spans="1:56" x14ac:dyDescent="0.3">
      <c r="A1168">
        <v>11167</v>
      </c>
      <c r="B1168">
        <v>1</v>
      </c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1</v>
      </c>
      <c r="X1168">
        <v>0</v>
      </c>
      <c r="Y1168">
        <v>0</v>
      </c>
      <c r="Z1168">
        <v>0</v>
      </c>
      <c r="AA1168">
        <v>0</v>
      </c>
      <c r="AB1168">
        <v>1</v>
      </c>
      <c r="AC1168">
        <v>0</v>
      </c>
      <c r="AD1168">
        <v>730</v>
      </c>
      <c r="AE1168">
        <v>2</v>
      </c>
      <c r="AF1168">
        <v>0</v>
      </c>
      <c r="AG1168">
        <v>1</v>
      </c>
      <c r="AH1168">
        <v>0</v>
      </c>
      <c r="AI1168">
        <v>550</v>
      </c>
      <c r="AJ1168">
        <v>3</v>
      </c>
      <c r="AK1168">
        <v>0</v>
      </c>
      <c r="AL1168">
        <v>1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8.2706999999999979</v>
      </c>
      <c r="AV1168">
        <v>5.47</v>
      </c>
      <c r="AW1168">
        <v>758.226</v>
      </c>
      <c r="AZ1168">
        <v>1160.26</v>
      </c>
      <c r="BA1168">
        <v>11.55</v>
      </c>
      <c r="BD1168" t="s">
        <v>194</v>
      </c>
    </row>
    <row r="1169" spans="1:56" x14ac:dyDescent="0.3">
      <c r="A1169">
        <v>11168</v>
      </c>
      <c r="B1169">
        <v>1</v>
      </c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X1169">
        <v>0</v>
      </c>
      <c r="Y1169">
        <v>0</v>
      </c>
      <c r="Z1169">
        <v>0</v>
      </c>
      <c r="AA1169">
        <v>0</v>
      </c>
      <c r="AB1169">
        <v>1</v>
      </c>
      <c r="AC1169">
        <v>0</v>
      </c>
      <c r="AD1169">
        <v>740</v>
      </c>
      <c r="AE1169">
        <v>2</v>
      </c>
      <c r="AF1169">
        <v>0</v>
      </c>
      <c r="AG1169">
        <v>1</v>
      </c>
      <c r="AH1169">
        <v>0</v>
      </c>
      <c r="AI1169">
        <v>550</v>
      </c>
      <c r="AJ1169">
        <v>3</v>
      </c>
      <c r="AK1169">
        <v>0</v>
      </c>
      <c r="AL1169">
        <v>1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8.2706999999999979</v>
      </c>
      <c r="AV1169">
        <v>5.47</v>
      </c>
      <c r="AW1169">
        <v>758.226</v>
      </c>
      <c r="AZ1169">
        <v>1200.71</v>
      </c>
      <c r="BA1169">
        <v>10.38</v>
      </c>
      <c r="BD1169" t="s">
        <v>194</v>
      </c>
    </row>
    <row r="1170" spans="1:56" x14ac:dyDescent="0.3">
      <c r="A1170">
        <v>11169</v>
      </c>
      <c r="B1170">
        <v>1</v>
      </c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1</v>
      </c>
      <c r="X1170">
        <v>0</v>
      </c>
      <c r="Y1170">
        <v>0</v>
      </c>
      <c r="Z1170">
        <v>0</v>
      </c>
      <c r="AA1170">
        <v>0</v>
      </c>
      <c r="AB1170">
        <v>1</v>
      </c>
      <c r="AC1170">
        <v>0</v>
      </c>
      <c r="AD1170">
        <v>750</v>
      </c>
      <c r="AE1170">
        <v>2</v>
      </c>
      <c r="AF1170">
        <v>0</v>
      </c>
      <c r="AG1170">
        <v>1</v>
      </c>
      <c r="AH1170">
        <v>0</v>
      </c>
      <c r="AI1170">
        <v>550</v>
      </c>
      <c r="AJ1170">
        <v>3</v>
      </c>
      <c r="AK1170">
        <v>0</v>
      </c>
      <c r="AL1170">
        <v>1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8.2706999999999979</v>
      </c>
      <c r="AV1170">
        <v>5.47</v>
      </c>
      <c r="AW1170">
        <v>758.226</v>
      </c>
      <c r="AZ1170">
        <v>1251.8499999999999</v>
      </c>
      <c r="BA1170">
        <v>8.42</v>
      </c>
      <c r="BD1170" t="s">
        <v>194</v>
      </c>
    </row>
    <row r="1171" spans="1:56" x14ac:dyDescent="0.3">
      <c r="A1171">
        <v>11170</v>
      </c>
      <c r="B1171">
        <v>1</v>
      </c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1</v>
      </c>
      <c r="X1171">
        <v>0</v>
      </c>
      <c r="Y1171">
        <v>0</v>
      </c>
      <c r="Z1171">
        <v>0</v>
      </c>
      <c r="AA1171">
        <v>0</v>
      </c>
      <c r="AB1171">
        <v>1</v>
      </c>
      <c r="AC1171">
        <v>0</v>
      </c>
      <c r="AD1171">
        <v>760</v>
      </c>
      <c r="AE1171">
        <v>2</v>
      </c>
      <c r="AF1171">
        <v>0</v>
      </c>
      <c r="AG1171">
        <v>1</v>
      </c>
      <c r="AH1171">
        <v>0</v>
      </c>
      <c r="AI1171">
        <v>550</v>
      </c>
      <c r="AJ1171">
        <v>3</v>
      </c>
      <c r="AK1171">
        <v>0</v>
      </c>
      <c r="AL1171">
        <v>1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8.2706999999999979</v>
      </c>
      <c r="AV1171">
        <v>5.47</v>
      </c>
      <c r="AW1171">
        <v>758.226</v>
      </c>
      <c r="AZ1171">
        <v>1253.9000000000001</v>
      </c>
      <c r="BA1171">
        <v>5.91</v>
      </c>
      <c r="BD1171" t="s">
        <v>194</v>
      </c>
    </row>
    <row r="1172" spans="1:56" x14ac:dyDescent="0.3">
      <c r="A1172">
        <v>11171</v>
      </c>
      <c r="B1172">
        <v>1</v>
      </c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1</v>
      </c>
      <c r="X1172">
        <v>0</v>
      </c>
      <c r="Y1172">
        <v>0</v>
      </c>
      <c r="Z1172">
        <v>0</v>
      </c>
      <c r="AA1172">
        <v>0</v>
      </c>
      <c r="AB1172">
        <v>1</v>
      </c>
      <c r="AC1172">
        <v>0</v>
      </c>
      <c r="AD1172">
        <v>770</v>
      </c>
      <c r="AE1172">
        <v>2</v>
      </c>
      <c r="AF1172">
        <v>0</v>
      </c>
      <c r="AG1172">
        <v>1</v>
      </c>
      <c r="AH1172">
        <v>0</v>
      </c>
      <c r="AI1172">
        <v>550</v>
      </c>
      <c r="AJ1172">
        <v>3</v>
      </c>
      <c r="AK1172">
        <v>0</v>
      </c>
      <c r="AL1172">
        <v>1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8.2706999999999979</v>
      </c>
      <c r="AV1172">
        <v>5.47</v>
      </c>
      <c r="AW1172">
        <v>758.226</v>
      </c>
      <c r="AZ1172">
        <v>1284.99</v>
      </c>
      <c r="BA1172">
        <v>5.1100000000000003</v>
      </c>
      <c r="BD1172" t="s">
        <v>194</v>
      </c>
    </row>
    <row r="1173" spans="1:56" x14ac:dyDescent="0.3">
      <c r="A1173">
        <v>11172</v>
      </c>
      <c r="B1173">
        <v>1</v>
      </c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1</v>
      </c>
      <c r="AC1173">
        <v>0</v>
      </c>
      <c r="AD1173">
        <v>780</v>
      </c>
      <c r="AE1173">
        <v>2</v>
      </c>
      <c r="AF1173">
        <v>0</v>
      </c>
      <c r="AG1173">
        <v>1</v>
      </c>
      <c r="AH1173">
        <v>0</v>
      </c>
      <c r="AI1173">
        <v>550</v>
      </c>
      <c r="AJ1173">
        <v>3</v>
      </c>
      <c r="AK1173">
        <v>0</v>
      </c>
      <c r="AL1173">
        <v>1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8.2706999999999979</v>
      </c>
      <c r="AV1173">
        <v>5.47</v>
      </c>
      <c r="AW1173">
        <v>758.226</v>
      </c>
      <c r="AZ1173">
        <v>1300.6099999999999</v>
      </c>
      <c r="BA1173">
        <v>4.05</v>
      </c>
      <c r="BD1173" t="s">
        <v>194</v>
      </c>
    </row>
    <row r="1174" spans="1:56" x14ac:dyDescent="0.3">
      <c r="A1174">
        <v>11173</v>
      </c>
      <c r="B1174">
        <v>1</v>
      </c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1</v>
      </c>
      <c r="AC1174">
        <v>0</v>
      </c>
      <c r="AD1174">
        <v>790</v>
      </c>
      <c r="AE1174">
        <v>2</v>
      </c>
      <c r="AF1174">
        <v>0</v>
      </c>
      <c r="AG1174">
        <v>1</v>
      </c>
      <c r="AH1174">
        <v>0</v>
      </c>
      <c r="AI1174">
        <v>550</v>
      </c>
      <c r="AJ1174">
        <v>3</v>
      </c>
      <c r="AK1174">
        <v>0</v>
      </c>
      <c r="AL1174">
        <v>1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8.2706999999999979</v>
      </c>
      <c r="AV1174">
        <v>5.47</v>
      </c>
      <c r="AW1174">
        <v>758.226</v>
      </c>
      <c r="AZ1174">
        <v>1336.48</v>
      </c>
      <c r="BA1174">
        <v>3.76</v>
      </c>
      <c r="BC1174" t="s">
        <v>353</v>
      </c>
      <c r="BD1174" t="s">
        <v>194</v>
      </c>
    </row>
    <row r="1175" spans="1:56" x14ac:dyDescent="0.3">
      <c r="A1175">
        <v>11174</v>
      </c>
      <c r="B1175">
        <v>1</v>
      </c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1</v>
      </c>
      <c r="AC1175">
        <v>0</v>
      </c>
      <c r="AD1175">
        <v>800</v>
      </c>
      <c r="AE1175">
        <v>2</v>
      </c>
      <c r="AF1175">
        <v>0</v>
      </c>
      <c r="AG1175">
        <v>1</v>
      </c>
      <c r="AH1175">
        <v>0</v>
      </c>
      <c r="AI1175">
        <v>550</v>
      </c>
      <c r="AJ1175">
        <v>3</v>
      </c>
      <c r="AK1175">
        <v>0</v>
      </c>
      <c r="AL1175">
        <v>1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8.2706999999999979</v>
      </c>
      <c r="AV1175">
        <v>5.47</v>
      </c>
      <c r="AW1175">
        <v>758.226</v>
      </c>
      <c r="AZ1175">
        <v>1377.68</v>
      </c>
      <c r="BA1175">
        <v>3.7</v>
      </c>
      <c r="BC1175" t="s">
        <v>353</v>
      </c>
      <c r="BD1175" t="s">
        <v>194</v>
      </c>
    </row>
    <row r="1176" spans="1:56" x14ac:dyDescent="0.3">
      <c r="A1176">
        <v>11175</v>
      </c>
      <c r="B1176">
        <v>1</v>
      </c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1</v>
      </c>
      <c r="AC1176">
        <v>0</v>
      </c>
      <c r="AD1176">
        <v>810</v>
      </c>
      <c r="AE1176">
        <v>2</v>
      </c>
      <c r="AF1176">
        <v>0</v>
      </c>
      <c r="AG1176">
        <v>1</v>
      </c>
      <c r="AH1176">
        <v>0</v>
      </c>
      <c r="AI1176">
        <v>550</v>
      </c>
      <c r="AJ1176">
        <v>3</v>
      </c>
      <c r="AK1176">
        <v>0</v>
      </c>
      <c r="AL1176">
        <v>1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8.2706999999999979</v>
      </c>
      <c r="AV1176">
        <v>5.47</v>
      </c>
      <c r="AW1176">
        <v>758.226</v>
      </c>
      <c r="AZ1176">
        <v>1354.34</v>
      </c>
      <c r="BA1176">
        <v>3.61</v>
      </c>
      <c r="BC1176" t="s">
        <v>353</v>
      </c>
      <c r="BD1176" t="s">
        <v>194</v>
      </c>
    </row>
    <row r="1177" spans="1:56" x14ac:dyDescent="0.3">
      <c r="A1177">
        <v>11176</v>
      </c>
      <c r="B1177">
        <v>1</v>
      </c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1</v>
      </c>
      <c r="AC1177">
        <v>0</v>
      </c>
      <c r="AD1177">
        <v>820</v>
      </c>
      <c r="AE1177">
        <v>2</v>
      </c>
      <c r="AF1177">
        <v>0</v>
      </c>
      <c r="AG1177">
        <v>1</v>
      </c>
      <c r="AH1177">
        <v>0</v>
      </c>
      <c r="AI1177">
        <v>550</v>
      </c>
      <c r="AJ1177">
        <v>3</v>
      </c>
      <c r="AK1177">
        <v>0</v>
      </c>
      <c r="AL1177">
        <v>1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8.2706999999999979</v>
      </c>
      <c r="AV1177">
        <v>5.47</v>
      </c>
      <c r="AW1177">
        <v>758.226</v>
      </c>
      <c r="AZ1177">
        <v>1361.94</v>
      </c>
      <c r="BA1177">
        <v>3.52</v>
      </c>
      <c r="BC1177" t="s">
        <v>353</v>
      </c>
      <c r="BD1177" t="s">
        <v>194</v>
      </c>
    </row>
    <row r="1178" spans="1:56" x14ac:dyDescent="0.3">
      <c r="A1178">
        <v>11177</v>
      </c>
      <c r="B1178">
        <v>1</v>
      </c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1</v>
      </c>
      <c r="AC1178">
        <v>0</v>
      </c>
      <c r="AD1178">
        <v>830</v>
      </c>
      <c r="AE1178">
        <v>2</v>
      </c>
      <c r="AF1178">
        <v>0</v>
      </c>
      <c r="AG1178">
        <v>1</v>
      </c>
      <c r="AH1178">
        <v>0</v>
      </c>
      <c r="AI1178">
        <v>550</v>
      </c>
      <c r="AJ1178">
        <v>3</v>
      </c>
      <c r="AK1178">
        <v>0</v>
      </c>
      <c r="AL1178">
        <v>1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8.2706999999999979</v>
      </c>
      <c r="AV1178">
        <v>5.47</v>
      </c>
      <c r="AW1178">
        <v>758.226</v>
      </c>
      <c r="AZ1178">
        <v>1370.3</v>
      </c>
      <c r="BA1178">
        <v>3.44</v>
      </c>
      <c r="BC1178" t="s">
        <v>353</v>
      </c>
      <c r="BD1178" t="s">
        <v>194</v>
      </c>
    </row>
    <row r="1179" spans="1:56" x14ac:dyDescent="0.3">
      <c r="A1179">
        <v>11178</v>
      </c>
      <c r="B1179">
        <v>1</v>
      </c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1</v>
      </c>
      <c r="AC1179">
        <v>0</v>
      </c>
      <c r="AD1179">
        <v>840</v>
      </c>
      <c r="AE1179">
        <v>2</v>
      </c>
      <c r="AF1179">
        <v>0</v>
      </c>
      <c r="AG1179">
        <v>1</v>
      </c>
      <c r="AH1179">
        <v>0</v>
      </c>
      <c r="AI1179">
        <v>550</v>
      </c>
      <c r="AJ1179">
        <v>3</v>
      </c>
      <c r="AK1179">
        <v>0</v>
      </c>
      <c r="AL1179">
        <v>1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8.2706999999999979</v>
      </c>
      <c r="AV1179">
        <v>5.47</v>
      </c>
      <c r="AW1179">
        <v>758.226</v>
      </c>
      <c r="AZ1179">
        <v>1390.12</v>
      </c>
      <c r="BA1179">
        <v>3.4</v>
      </c>
      <c r="BC1179" t="s">
        <v>353</v>
      </c>
      <c r="BD1179" t="s">
        <v>194</v>
      </c>
    </row>
    <row r="1180" spans="1:56" x14ac:dyDescent="0.3">
      <c r="A1180">
        <v>11179</v>
      </c>
      <c r="B1180">
        <v>1</v>
      </c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1</v>
      </c>
      <c r="AC1180">
        <v>0</v>
      </c>
      <c r="AD1180">
        <v>850</v>
      </c>
      <c r="AE1180">
        <v>2</v>
      </c>
      <c r="AF1180">
        <v>0</v>
      </c>
      <c r="AG1180">
        <v>1</v>
      </c>
      <c r="AH1180">
        <v>0</v>
      </c>
      <c r="AI1180">
        <v>550</v>
      </c>
      <c r="AJ1180">
        <v>3</v>
      </c>
      <c r="AK1180">
        <v>0</v>
      </c>
      <c r="AL1180">
        <v>1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8.2706999999999979</v>
      </c>
      <c r="AV1180">
        <v>5.47</v>
      </c>
      <c r="AW1180">
        <v>758.226</v>
      </c>
      <c r="AZ1180">
        <v>1409.56</v>
      </c>
      <c r="BA1180">
        <v>3.39</v>
      </c>
      <c r="BC1180" t="s">
        <v>353</v>
      </c>
      <c r="BD1180" t="s">
        <v>194</v>
      </c>
    </row>
    <row r="1181" spans="1:56" x14ac:dyDescent="0.3">
      <c r="A1181">
        <v>11180</v>
      </c>
      <c r="B1181">
        <v>1</v>
      </c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0</v>
      </c>
      <c r="Y1181">
        <v>0</v>
      </c>
      <c r="Z1181">
        <v>0</v>
      </c>
      <c r="AA1181">
        <v>0</v>
      </c>
      <c r="AB1181">
        <v>1</v>
      </c>
      <c r="AC1181">
        <v>0</v>
      </c>
      <c r="AD1181">
        <v>860</v>
      </c>
      <c r="AE1181">
        <v>2</v>
      </c>
      <c r="AF1181">
        <v>0</v>
      </c>
      <c r="AG1181">
        <v>1</v>
      </c>
      <c r="AH1181">
        <v>0</v>
      </c>
      <c r="AI1181">
        <v>550</v>
      </c>
      <c r="AJ1181">
        <v>3</v>
      </c>
      <c r="AK1181">
        <v>0</v>
      </c>
      <c r="AL1181">
        <v>1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8.2706999999999979</v>
      </c>
      <c r="AV1181">
        <v>5.47</v>
      </c>
      <c r="AW1181">
        <v>758.226</v>
      </c>
      <c r="AZ1181">
        <v>1423.7</v>
      </c>
      <c r="BA1181">
        <v>3.33</v>
      </c>
      <c r="BC1181" t="s">
        <v>353</v>
      </c>
      <c r="BD1181" t="s">
        <v>194</v>
      </c>
    </row>
    <row r="1182" spans="1:56" x14ac:dyDescent="0.3">
      <c r="A1182">
        <v>11181</v>
      </c>
      <c r="B1182">
        <v>1</v>
      </c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0</v>
      </c>
      <c r="Y1182">
        <v>0</v>
      </c>
      <c r="Z1182">
        <v>0</v>
      </c>
      <c r="AA1182">
        <v>0</v>
      </c>
      <c r="AB1182">
        <v>1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1.1560000000000006</v>
      </c>
      <c r="AV1182">
        <v>6.6333333333333337</v>
      </c>
      <c r="AW1182">
        <v>819.03</v>
      </c>
      <c r="AY1182">
        <v>1073</v>
      </c>
      <c r="AZ1182">
        <v>1097</v>
      </c>
      <c r="BA1182">
        <v>14</v>
      </c>
      <c r="BC1182" t="s">
        <v>353</v>
      </c>
      <c r="BD1182" t="s">
        <v>196</v>
      </c>
    </row>
    <row r="1183" spans="1:56" x14ac:dyDescent="0.3">
      <c r="A1183">
        <v>11182</v>
      </c>
      <c r="B1183">
        <v>1</v>
      </c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0</v>
      </c>
      <c r="Y1183">
        <v>0</v>
      </c>
      <c r="Z1183">
        <v>0</v>
      </c>
      <c r="AA1183">
        <v>0</v>
      </c>
      <c r="AB1183">
        <v>1</v>
      </c>
      <c r="AC1183">
        <v>0</v>
      </c>
      <c r="AD1183">
        <v>910</v>
      </c>
      <c r="AE1183">
        <v>1</v>
      </c>
      <c r="AF1183">
        <v>0</v>
      </c>
      <c r="AG1183">
        <v>1</v>
      </c>
      <c r="AH1183">
        <v>0</v>
      </c>
      <c r="AI1183">
        <v>590</v>
      </c>
      <c r="AJ1183">
        <v>4</v>
      </c>
      <c r="AK1183">
        <v>0</v>
      </c>
      <c r="AL1183">
        <v>1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1.1560000000000006</v>
      </c>
      <c r="AV1183">
        <v>6.6333333333333337</v>
      </c>
      <c r="AW1183">
        <v>819.03</v>
      </c>
      <c r="AY1183">
        <v>1258</v>
      </c>
      <c r="AZ1183">
        <v>1331</v>
      </c>
      <c r="BA1183">
        <v>9.8000000000000007</v>
      </c>
      <c r="BC1183" t="s">
        <v>353</v>
      </c>
      <c r="BD1183" t="s">
        <v>196</v>
      </c>
    </row>
    <row r="1184" spans="1:56" x14ac:dyDescent="0.3">
      <c r="A1184">
        <v>11183</v>
      </c>
      <c r="B1184">
        <v>1</v>
      </c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0</v>
      </c>
      <c r="Y1184">
        <v>0</v>
      </c>
      <c r="Z1184">
        <v>0</v>
      </c>
      <c r="AA1184">
        <v>0</v>
      </c>
      <c r="AB1184">
        <v>1</v>
      </c>
      <c r="AC1184">
        <v>0</v>
      </c>
      <c r="AD1184">
        <v>910</v>
      </c>
      <c r="AE1184">
        <v>1</v>
      </c>
      <c r="AF1184">
        <v>0</v>
      </c>
      <c r="AG1184">
        <v>0</v>
      </c>
      <c r="AH1184">
        <v>0</v>
      </c>
      <c r="AI1184">
        <v>590</v>
      </c>
      <c r="AJ1184">
        <v>4</v>
      </c>
      <c r="AK1184">
        <v>0</v>
      </c>
      <c r="AL1184">
        <v>1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1.1560000000000006</v>
      </c>
      <c r="AV1184">
        <v>6.6333333333333337</v>
      </c>
      <c r="AW1184">
        <v>819.03</v>
      </c>
      <c r="AY1184">
        <v>1113</v>
      </c>
      <c r="AZ1184">
        <v>1188</v>
      </c>
      <c r="BA1184">
        <v>13</v>
      </c>
      <c r="BC1184" t="s">
        <v>353</v>
      </c>
      <c r="BD1184" t="s">
        <v>196</v>
      </c>
    </row>
    <row r="1185" spans="1:56" x14ac:dyDescent="0.3">
      <c r="A1185">
        <v>11184</v>
      </c>
      <c r="B1185">
        <v>1</v>
      </c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0</v>
      </c>
      <c r="Y1185">
        <v>0</v>
      </c>
      <c r="Z1185">
        <v>0</v>
      </c>
      <c r="AA1185">
        <v>0</v>
      </c>
      <c r="AB1185">
        <v>1</v>
      </c>
      <c r="AC1185">
        <v>0</v>
      </c>
      <c r="AD1185">
        <v>910</v>
      </c>
      <c r="AE1185">
        <v>1</v>
      </c>
      <c r="AF1185">
        <v>0</v>
      </c>
      <c r="AG1185">
        <v>0</v>
      </c>
      <c r="AH1185">
        <v>1</v>
      </c>
      <c r="AI1185">
        <v>590</v>
      </c>
      <c r="AJ1185">
        <v>4</v>
      </c>
      <c r="AK1185">
        <v>0</v>
      </c>
      <c r="AL1185">
        <v>1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1.1560000000000006</v>
      </c>
      <c r="AV1185">
        <v>6.6333333333333337</v>
      </c>
      <c r="AW1185">
        <v>819.03</v>
      </c>
      <c r="AY1185">
        <v>1001</v>
      </c>
      <c r="AZ1185">
        <v>1048</v>
      </c>
      <c r="BA1185">
        <v>20.3</v>
      </c>
      <c r="BC1185" t="s">
        <v>353</v>
      </c>
      <c r="BD1185" t="s">
        <v>196</v>
      </c>
    </row>
    <row r="1186" spans="1:56" x14ac:dyDescent="0.3">
      <c r="A1186">
        <v>11185</v>
      </c>
      <c r="B1186">
        <v>0</v>
      </c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0</v>
      </c>
      <c r="Y1186">
        <v>0</v>
      </c>
      <c r="Z1186">
        <v>0</v>
      </c>
      <c r="AA1186">
        <v>0</v>
      </c>
      <c r="AB1186">
        <v>1</v>
      </c>
      <c r="AC1186">
        <v>0</v>
      </c>
      <c r="AD1186">
        <v>860</v>
      </c>
      <c r="AE1186">
        <v>2</v>
      </c>
      <c r="AF1186">
        <v>0</v>
      </c>
      <c r="AG1186">
        <v>0</v>
      </c>
      <c r="AH1186">
        <v>1</v>
      </c>
      <c r="AI1186">
        <v>610</v>
      </c>
      <c r="AJ1186">
        <v>3</v>
      </c>
      <c r="AK1186">
        <v>0</v>
      </c>
      <c r="AL1186">
        <v>1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8.0806000000000004</v>
      </c>
      <c r="AV1186">
        <v>5.1766666666666667</v>
      </c>
      <c r="AW1186">
        <v>743.46299999999997</v>
      </c>
      <c r="BC1186" t="s">
        <v>353</v>
      </c>
      <c r="BD1186" t="s">
        <v>199</v>
      </c>
    </row>
    <row r="1187" spans="1:56" x14ac:dyDescent="0.3">
      <c r="A1187">
        <v>11186</v>
      </c>
      <c r="B1187">
        <v>0</v>
      </c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1</v>
      </c>
      <c r="AC1187">
        <v>0</v>
      </c>
      <c r="AD1187">
        <v>860</v>
      </c>
      <c r="AE1187">
        <v>2</v>
      </c>
      <c r="AF1187">
        <v>0</v>
      </c>
      <c r="AG1187">
        <v>0</v>
      </c>
      <c r="AH1187">
        <v>1</v>
      </c>
      <c r="AI1187">
        <v>640</v>
      </c>
      <c r="AJ1187">
        <v>3</v>
      </c>
      <c r="AK1187">
        <v>0</v>
      </c>
      <c r="AL1187">
        <v>1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8.0806000000000004</v>
      </c>
      <c r="AV1187">
        <v>5.1766666666666667</v>
      </c>
      <c r="AW1187">
        <v>743.46299999999997</v>
      </c>
      <c r="BC1187" t="s">
        <v>353</v>
      </c>
      <c r="BD1187" t="s">
        <v>199</v>
      </c>
    </row>
    <row r="1188" spans="1:56" x14ac:dyDescent="0.3">
      <c r="A1188">
        <v>11187</v>
      </c>
      <c r="B1188">
        <v>0</v>
      </c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1</v>
      </c>
      <c r="AC1188">
        <v>0</v>
      </c>
      <c r="AD1188">
        <v>860</v>
      </c>
      <c r="AE1188">
        <v>2</v>
      </c>
      <c r="AF1188">
        <v>0</v>
      </c>
      <c r="AG1188">
        <v>0</v>
      </c>
      <c r="AH1188">
        <v>1</v>
      </c>
      <c r="AI1188">
        <v>670</v>
      </c>
      <c r="AJ1188">
        <v>3</v>
      </c>
      <c r="AK1188">
        <v>0</v>
      </c>
      <c r="AL1188">
        <v>1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8.0806000000000004</v>
      </c>
      <c r="AV1188">
        <v>5.1766666666666667</v>
      </c>
      <c r="AW1188">
        <v>743.46299999999997</v>
      </c>
      <c r="BC1188" t="s">
        <v>353</v>
      </c>
      <c r="BD1188" t="s">
        <v>199</v>
      </c>
    </row>
    <row r="1189" spans="1:56" x14ac:dyDescent="0.3">
      <c r="A1189">
        <v>11188</v>
      </c>
      <c r="B1189">
        <v>0</v>
      </c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1050</v>
      </c>
      <c r="Y1189">
        <v>0</v>
      </c>
      <c r="Z1189">
        <v>0</v>
      </c>
      <c r="AA1189">
        <v>0</v>
      </c>
      <c r="AB1189">
        <v>1</v>
      </c>
      <c r="AC1189">
        <v>0</v>
      </c>
      <c r="AD1189">
        <v>950</v>
      </c>
      <c r="AE1189">
        <v>1</v>
      </c>
      <c r="AF1189">
        <v>0</v>
      </c>
      <c r="AG1189">
        <v>0</v>
      </c>
      <c r="AH1189">
        <v>1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-1.6950999999999998</v>
      </c>
      <c r="AV1189">
        <v>3.1216666666666666</v>
      </c>
      <c r="AW1189">
        <v>857.86620000000005</v>
      </c>
      <c r="BD1189" t="s">
        <v>202</v>
      </c>
    </row>
    <row r="1190" spans="1:56" x14ac:dyDescent="0.3">
      <c r="A1190">
        <v>11189</v>
      </c>
      <c r="B1190">
        <v>0</v>
      </c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1050</v>
      </c>
      <c r="Y1190">
        <v>0</v>
      </c>
      <c r="Z1190">
        <v>0</v>
      </c>
      <c r="AA1190">
        <v>0</v>
      </c>
      <c r="AB1190">
        <v>1</v>
      </c>
      <c r="AC1190">
        <v>0</v>
      </c>
      <c r="AD1190">
        <v>950</v>
      </c>
      <c r="AE1190">
        <v>1</v>
      </c>
      <c r="AF1190">
        <v>0</v>
      </c>
      <c r="AG1190">
        <v>0</v>
      </c>
      <c r="AH1190">
        <v>1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-1.6950999999999998</v>
      </c>
      <c r="AV1190">
        <v>3.1216666666666666</v>
      </c>
      <c r="AW1190">
        <v>857.86620000000005</v>
      </c>
      <c r="BD1190" t="s">
        <v>202</v>
      </c>
    </row>
    <row r="1191" spans="1:56" x14ac:dyDescent="0.3">
      <c r="A1191">
        <v>11190</v>
      </c>
      <c r="B1191">
        <v>0</v>
      </c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1050</v>
      </c>
      <c r="Y1191">
        <v>0</v>
      </c>
      <c r="Z1191">
        <v>0</v>
      </c>
      <c r="AA1191">
        <v>0</v>
      </c>
      <c r="AB1191">
        <v>1</v>
      </c>
      <c r="AC1191">
        <v>0</v>
      </c>
      <c r="AD1191">
        <v>950</v>
      </c>
      <c r="AE1191">
        <v>1</v>
      </c>
      <c r="AF1191">
        <v>0</v>
      </c>
      <c r="AG1191">
        <v>0</v>
      </c>
      <c r="AH1191">
        <v>1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-1.6950999999999998</v>
      </c>
      <c r="AV1191">
        <v>3.1216666666666666</v>
      </c>
      <c r="AW1191">
        <v>857.86620000000005</v>
      </c>
      <c r="BD1191" t="s">
        <v>202</v>
      </c>
    </row>
    <row r="1192" spans="1:56" x14ac:dyDescent="0.3">
      <c r="A1192">
        <v>11191</v>
      </c>
      <c r="B1192">
        <v>0</v>
      </c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1050</v>
      </c>
      <c r="Y1192">
        <v>0</v>
      </c>
      <c r="Z1192">
        <v>0</v>
      </c>
      <c r="AA1192">
        <v>0</v>
      </c>
      <c r="AB1192">
        <v>1</v>
      </c>
      <c r="AC1192">
        <v>0</v>
      </c>
      <c r="AD1192">
        <v>950</v>
      </c>
      <c r="AE1192">
        <v>1</v>
      </c>
      <c r="AF1192">
        <v>0</v>
      </c>
      <c r="AG1192">
        <v>0</v>
      </c>
      <c r="AH1192">
        <v>1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-1.6950999999999998</v>
      </c>
      <c r="AV1192">
        <v>3.1216666666666666</v>
      </c>
      <c r="AW1192">
        <v>857.86620000000005</v>
      </c>
      <c r="BD1192" t="s">
        <v>202</v>
      </c>
    </row>
    <row r="1193" spans="1:56" x14ac:dyDescent="0.3">
      <c r="A1193">
        <v>11192</v>
      </c>
      <c r="B1193">
        <v>0</v>
      </c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1</v>
      </c>
      <c r="X1193">
        <v>1050</v>
      </c>
      <c r="Y1193">
        <v>0</v>
      </c>
      <c r="Z1193">
        <v>0</v>
      </c>
      <c r="AA1193">
        <v>0</v>
      </c>
      <c r="AB1193">
        <v>1</v>
      </c>
      <c r="AC1193">
        <v>0</v>
      </c>
      <c r="AD1193">
        <v>950</v>
      </c>
      <c r="AE1193">
        <v>1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-1.6950999999999998</v>
      </c>
      <c r="AV1193">
        <v>3.1216666666666666</v>
      </c>
      <c r="AW1193">
        <v>857.86620000000005</v>
      </c>
      <c r="BD1193" t="s">
        <v>202</v>
      </c>
    </row>
    <row r="1194" spans="1:56" x14ac:dyDescent="0.3">
      <c r="A1194">
        <v>11193</v>
      </c>
      <c r="B1194">
        <v>1</v>
      </c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1</v>
      </c>
      <c r="X1194">
        <v>0</v>
      </c>
      <c r="Y1194">
        <v>0</v>
      </c>
      <c r="Z1194">
        <v>0</v>
      </c>
      <c r="AA1194">
        <v>0</v>
      </c>
      <c r="AB1194">
        <v>1</v>
      </c>
      <c r="AC1194">
        <v>0</v>
      </c>
      <c r="AD1194">
        <v>910</v>
      </c>
      <c r="AE1194">
        <v>2</v>
      </c>
      <c r="AF1194">
        <v>1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-0.98559999999999981</v>
      </c>
      <c r="AV1194">
        <v>6.5883333333333329</v>
      </c>
      <c r="AW1194">
        <v>851.12699999999984</v>
      </c>
      <c r="AZ1194">
        <v>1144</v>
      </c>
      <c r="BA1194">
        <v>15</v>
      </c>
      <c r="BD1194" t="s">
        <v>203</v>
      </c>
    </row>
    <row r="1195" spans="1:56" x14ac:dyDescent="0.3">
      <c r="A1195">
        <v>11194</v>
      </c>
      <c r="B1195">
        <v>1</v>
      </c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1</v>
      </c>
      <c r="X1195">
        <v>0</v>
      </c>
      <c r="Y1195">
        <v>0</v>
      </c>
      <c r="Z1195">
        <v>0</v>
      </c>
      <c r="AA1195">
        <v>0</v>
      </c>
      <c r="AB1195">
        <v>1</v>
      </c>
      <c r="AC1195">
        <v>0</v>
      </c>
      <c r="AD1195">
        <v>930</v>
      </c>
      <c r="AE1195">
        <v>2</v>
      </c>
      <c r="AF1195">
        <v>1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-0.98559999999999981</v>
      </c>
      <c r="AV1195">
        <v>6.5883333333333329</v>
      </c>
      <c r="AW1195">
        <v>851.12699999999984</v>
      </c>
      <c r="AZ1195">
        <v>1205</v>
      </c>
      <c r="BA1195">
        <v>11</v>
      </c>
      <c r="BD1195" t="s">
        <v>203</v>
      </c>
    </row>
    <row r="1196" spans="1:56" x14ac:dyDescent="0.3">
      <c r="A1196">
        <v>11195</v>
      </c>
      <c r="B1196">
        <v>1</v>
      </c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1</v>
      </c>
      <c r="X1196">
        <v>0</v>
      </c>
      <c r="Y1196">
        <v>0</v>
      </c>
      <c r="Z1196">
        <v>0</v>
      </c>
      <c r="AA1196">
        <v>0</v>
      </c>
      <c r="AB1196">
        <v>1</v>
      </c>
      <c r="AC1196">
        <v>0</v>
      </c>
      <c r="AD1196">
        <v>950</v>
      </c>
      <c r="AE1196">
        <v>2</v>
      </c>
      <c r="AF1196">
        <v>1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-0.98559999999999981</v>
      </c>
      <c r="AV1196">
        <v>6.5883333333333329</v>
      </c>
      <c r="AW1196">
        <v>851.12699999999984</v>
      </c>
      <c r="AZ1196">
        <v>1322</v>
      </c>
      <c r="BA1196">
        <v>7</v>
      </c>
      <c r="BD1196" t="s">
        <v>203</v>
      </c>
    </row>
    <row r="1197" spans="1:56" x14ac:dyDescent="0.3">
      <c r="A1197">
        <v>11196</v>
      </c>
      <c r="B1197">
        <v>1</v>
      </c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1</v>
      </c>
      <c r="X1197">
        <v>0</v>
      </c>
      <c r="Y1197">
        <v>0</v>
      </c>
      <c r="Z1197">
        <v>0</v>
      </c>
      <c r="AA1197">
        <v>0</v>
      </c>
      <c r="AB1197">
        <v>1</v>
      </c>
      <c r="AC1197">
        <v>0</v>
      </c>
      <c r="AD1197">
        <v>970</v>
      </c>
      <c r="AE1197">
        <v>2</v>
      </c>
      <c r="AF1197">
        <v>1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-0.98559999999999981</v>
      </c>
      <c r="AV1197">
        <v>6.5883333333333329</v>
      </c>
      <c r="AW1197">
        <v>851.12699999999984</v>
      </c>
      <c r="AZ1197">
        <v>1215</v>
      </c>
      <c r="BA1197">
        <v>2.4500000000000002</v>
      </c>
      <c r="BD1197" t="s">
        <v>203</v>
      </c>
    </row>
    <row r="1198" spans="1:56" x14ac:dyDescent="0.3">
      <c r="A1198">
        <v>11197</v>
      </c>
      <c r="B1198">
        <v>1</v>
      </c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1</v>
      </c>
      <c r="X1198">
        <v>0</v>
      </c>
      <c r="Y1198">
        <v>0</v>
      </c>
      <c r="Z1198">
        <v>0</v>
      </c>
      <c r="AA1198">
        <v>0</v>
      </c>
      <c r="AB1198">
        <v>1</v>
      </c>
      <c r="AC1198">
        <v>0</v>
      </c>
      <c r="AD1198">
        <v>990</v>
      </c>
      <c r="AE1198">
        <v>2</v>
      </c>
      <c r="AF1198">
        <v>1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-0.98559999999999981</v>
      </c>
      <c r="AV1198">
        <v>6.5883333333333329</v>
      </c>
      <c r="AW1198">
        <v>851.12699999999984</v>
      </c>
      <c r="AZ1198">
        <v>1213</v>
      </c>
      <c r="BA1198">
        <v>2.4500000000000002</v>
      </c>
      <c r="BD1198" t="s">
        <v>203</v>
      </c>
    </row>
    <row r="1199" spans="1:56" x14ac:dyDescent="0.3">
      <c r="A1199">
        <v>11198</v>
      </c>
      <c r="B1199">
        <v>1</v>
      </c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1</v>
      </c>
      <c r="X1199">
        <v>0</v>
      </c>
      <c r="Y1199">
        <v>0</v>
      </c>
      <c r="Z1199">
        <v>0</v>
      </c>
      <c r="AA1199">
        <v>0</v>
      </c>
      <c r="AB1199">
        <v>1</v>
      </c>
      <c r="AC1199">
        <v>0</v>
      </c>
      <c r="AD1199">
        <v>1010</v>
      </c>
      <c r="AE1199">
        <v>2</v>
      </c>
      <c r="AF1199">
        <v>1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-0.98559999999999981</v>
      </c>
      <c r="AV1199">
        <v>6.5883333333333329</v>
      </c>
      <c r="AW1199">
        <v>851.12699999999984</v>
      </c>
      <c r="AZ1199">
        <v>1210</v>
      </c>
      <c r="BA1199">
        <v>1.98</v>
      </c>
      <c r="BD1199" t="s">
        <v>203</v>
      </c>
    </row>
    <row r="1200" spans="1:56" x14ac:dyDescent="0.3">
      <c r="A1200">
        <v>11199</v>
      </c>
      <c r="B1200">
        <v>1</v>
      </c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1</v>
      </c>
      <c r="X1200">
        <v>0</v>
      </c>
      <c r="Y1200">
        <v>0</v>
      </c>
      <c r="Z1200">
        <v>0</v>
      </c>
      <c r="AA1200">
        <v>0</v>
      </c>
      <c r="AB1200">
        <v>1</v>
      </c>
      <c r="AC1200">
        <v>0</v>
      </c>
      <c r="AD1200">
        <v>760</v>
      </c>
      <c r="AE1200">
        <v>0.5</v>
      </c>
      <c r="AF1200">
        <v>0</v>
      </c>
      <c r="AG1200">
        <v>1</v>
      </c>
      <c r="AH1200">
        <v>0</v>
      </c>
      <c r="AI1200">
        <v>600</v>
      </c>
      <c r="AJ1200">
        <v>6</v>
      </c>
      <c r="AK1200">
        <v>0</v>
      </c>
      <c r="AL1200">
        <v>1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9.1536000000000008</v>
      </c>
      <c r="AV1200">
        <v>5.1766666666666667</v>
      </c>
      <c r="AW1200">
        <v>737.76499999999999</v>
      </c>
      <c r="AY1200">
        <v>1028</v>
      </c>
      <c r="AZ1200">
        <v>1274</v>
      </c>
      <c r="BA1200">
        <v>4</v>
      </c>
      <c r="BD1200" t="s">
        <v>208</v>
      </c>
    </row>
    <row r="1201" spans="1:56" x14ac:dyDescent="0.3">
      <c r="A1201">
        <v>11200</v>
      </c>
      <c r="B1201">
        <v>1</v>
      </c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1</v>
      </c>
      <c r="X1201">
        <v>0</v>
      </c>
      <c r="Y1201">
        <v>0</v>
      </c>
      <c r="Z1201">
        <v>0</v>
      </c>
      <c r="AA1201">
        <v>0</v>
      </c>
      <c r="AB1201">
        <v>1</v>
      </c>
      <c r="AC1201">
        <v>0</v>
      </c>
      <c r="AD1201">
        <v>730</v>
      </c>
      <c r="AE1201">
        <v>0.5</v>
      </c>
      <c r="AF1201">
        <v>0</v>
      </c>
      <c r="AG1201">
        <v>1</v>
      </c>
      <c r="AH1201">
        <v>0</v>
      </c>
      <c r="AI1201">
        <v>600</v>
      </c>
      <c r="AJ1201">
        <v>6</v>
      </c>
      <c r="AK1201">
        <v>0</v>
      </c>
      <c r="AL1201">
        <v>1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9.1536000000000008</v>
      </c>
      <c r="AV1201">
        <v>5.1766666666666667</v>
      </c>
      <c r="AW1201">
        <v>737.76499999999999</v>
      </c>
      <c r="AY1201">
        <v>1175</v>
      </c>
      <c r="AZ1201">
        <v>1240</v>
      </c>
      <c r="BA1201">
        <v>4.5999999999999996</v>
      </c>
      <c r="BD1201" t="s">
        <v>208</v>
      </c>
    </row>
    <row r="1202" spans="1:56" x14ac:dyDescent="0.3">
      <c r="A1202">
        <v>11201</v>
      </c>
      <c r="B1202">
        <v>1</v>
      </c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</v>
      </c>
      <c r="X1202">
        <v>0</v>
      </c>
      <c r="Y1202">
        <v>0</v>
      </c>
      <c r="Z1202">
        <v>0</v>
      </c>
      <c r="AA1202">
        <v>0</v>
      </c>
      <c r="AB1202">
        <v>1</v>
      </c>
      <c r="AC1202">
        <v>0</v>
      </c>
      <c r="AD1202">
        <v>700</v>
      </c>
      <c r="AE1202">
        <v>0.5</v>
      </c>
      <c r="AF1202">
        <v>0</v>
      </c>
      <c r="AG1202">
        <v>1</v>
      </c>
      <c r="AH1202">
        <v>0</v>
      </c>
      <c r="AI1202">
        <v>600</v>
      </c>
      <c r="AJ1202">
        <v>6</v>
      </c>
      <c r="AK1202">
        <v>0</v>
      </c>
      <c r="AL1202">
        <v>1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9.1536000000000008</v>
      </c>
      <c r="AV1202">
        <v>5.1766666666666667</v>
      </c>
      <c r="AW1202">
        <v>737.76499999999999</v>
      </c>
      <c r="AY1202">
        <v>1128</v>
      </c>
      <c r="AZ1202">
        <v>1194</v>
      </c>
      <c r="BA1202">
        <v>7.3</v>
      </c>
      <c r="BD1202" t="s">
        <v>208</v>
      </c>
    </row>
    <row r="1203" spans="1:56" x14ac:dyDescent="0.3">
      <c r="A1203">
        <v>11202</v>
      </c>
      <c r="B1203">
        <v>0</v>
      </c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</v>
      </c>
      <c r="X1203">
        <v>820</v>
      </c>
      <c r="Y1203">
        <v>20</v>
      </c>
      <c r="Z1203">
        <v>0</v>
      </c>
      <c r="AA1203">
        <v>0</v>
      </c>
      <c r="AB1203">
        <v>1</v>
      </c>
      <c r="AC1203">
        <v>0</v>
      </c>
      <c r="AD1203">
        <v>820</v>
      </c>
      <c r="AE1203">
        <v>4</v>
      </c>
      <c r="AF1203">
        <v>1</v>
      </c>
      <c r="AG1203">
        <v>0</v>
      </c>
      <c r="AH1203">
        <v>0</v>
      </c>
      <c r="AI1203">
        <v>630</v>
      </c>
      <c r="AJ1203">
        <v>8</v>
      </c>
      <c r="AK1203">
        <v>0</v>
      </c>
      <c r="AL1203">
        <v>1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5.2929999999999993</v>
      </c>
      <c r="AV1203">
        <v>6.1349999999999998</v>
      </c>
      <c r="AW1203">
        <v>803.85799999999995</v>
      </c>
      <c r="BD1203" t="s">
        <v>211</v>
      </c>
    </row>
    <row r="1204" spans="1:56" x14ac:dyDescent="0.3">
      <c r="A1204">
        <v>11203</v>
      </c>
      <c r="B1204">
        <v>0</v>
      </c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1</v>
      </c>
      <c r="X1204">
        <v>820</v>
      </c>
      <c r="Y1204">
        <v>40</v>
      </c>
      <c r="Z1204">
        <v>0</v>
      </c>
      <c r="AA1204">
        <v>0</v>
      </c>
      <c r="AB1204">
        <v>1</v>
      </c>
      <c r="AC1204">
        <v>0</v>
      </c>
      <c r="AD1204">
        <v>820</v>
      </c>
      <c r="AE1204">
        <v>4</v>
      </c>
      <c r="AF1204">
        <v>1</v>
      </c>
      <c r="AG1204">
        <v>0</v>
      </c>
      <c r="AH1204">
        <v>0</v>
      </c>
      <c r="AI1204">
        <v>630</v>
      </c>
      <c r="AJ1204">
        <v>8</v>
      </c>
      <c r="AK1204">
        <v>0</v>
      </c>
      <c r="AL1204">
        <v>1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5.2929999999999993</v>
      </c>
      <c r="AV1204">
        <v>6.1349999999999998</v>
      </c>
      <c r="AW1204">
        <v>803.85799999999995</v>
      </c>
      <c r="BD1204" t="s">
        <v>211</v>
      </c>
    </row>
    <row r="1205" spans="1:56" x14ac:dyDescent="0.3">
      <c r="A1205">
        <v>11204</v>
      </c>
      <c r="B1205">
        <v>0</v>
      </c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1</v>
      </c>
      <c r="X1205">
        <v>820</v>
      </c>
      <c r="Y1205">
        <v>60</v>
      </c>
      <c r="Z1205">
        <v>0</v>
      </c>
      <c r="AA1205">
        <v>0</v>
      </c>
      <c r="AB1205">
        <v>1</v>
      </c>
      <c r="AC1205">
        <v>0</v>
      </c>
      <c r="AD1205">
        <v>820</v>
      </c>
      <c r="AE1205">
        <v>4</v>
      </c>
      <c r="AF1205">
        <v>1</v>
      </c>
      <c r="AG1205">
        <v>0</v>
      </c>
      <c r="AH1205">
        <v>0</v>
      </c>
      <c r="AI1205">
        <v>630</v>
      </c>
      <c r="AJ1205">
        <v>8</v>
      </c>
      <c r="AK1205">
        <v>0</v>
      </c>
      <c r="AL1205">
        <v>1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5.2929999999999993</v>
      </c>
      <c r="AV1205">
        <v>6.1349999999999998</v>
      </c>
      <c r="AW1205">
        <v>803.85799999999995</v>
      </c>
      <c r="BD1205" t="s">
        <v>211</v>
      </c>
    </row>
    <row r="1206" spans="1:56" x14ac:dyDescent="0.3">
      <c r="A1206">
        <v>20001</v>
      </c>
      <c r="B1206">
        <v>1</v>
      </c>
      <c r="C1206">
        <v>93</v>
      </c>
      <c r="D1206">
        <v>0</v>
      </c>
      <c r="E1206">
        <v>0</v>
      </c>
      <c r="F1206">
        <v>0</v>
      </c>
      <c r="G1206">
        <v>0</v>
      </c>
      <c r="H1206">
        <v>7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1</v>
      </c>
      <c r="W1206">
        <v>0</v>
      </c>
      <c r="X1206">
        <v>0</v>
      </c>
      <c r="Y1206">
        <v>0</v>
      </c>
      <c r="Z1206">
        <v>1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20.3</v>
      </c>
      <c r="AV1206">
        <v>0</v>
      </c>
      <c r="AW1206">
        <v>774.2</v>
      </c>
      <c r="AX1206">
        <v>130</v>
      </c>
      <c r="AY1206">
        <v>1874</v>
      </c>
      <c r="AZ1206">
        <v>1990</v>
      </c>
      <c r="BA1206">
        <v>7.9</v>
      </c>
      <c r="BD1206" t="s">
        <v>359</v>
      </c>
    </row>
    <row r="1207" spans="1:56" x14ac:dyDescent="0.3">
      <c r="A1207">
        <v>20002</v>
      </c>
      <c r="B1207">
        <v>1</v>
      </c>
      <c r="C1207">
        <v>92</v>
      </c>
      <c r="D1207">
        <v>0</v>
      </c>
      <c r="E1207">
        <v>0</v>
      </c>
      <c r="F1207">
        <v>0</v>
      </c>
      <c r="G1207">
        <v>0</v>
      </c>
      <c r="H1207">
        <v>7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1</v>
      </c>
      <c r="W1207">
        <v>0</v>
      </c>
      <c r="X1207">
        <v>0</v>
      </c>
      <c r="Y1207">
        <v>0</v>
      </c>
      <c r="Z1207">
        <v>1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20.580000000000002</v>
      </c>
      <c r="AV1207">
        <v>0</v>
      </c>
      <c r="AW1207">
        <v>774.2</v>
      </c>
      <c r="AX1207">
        <v>124</v>
      </c>
      <c r="AY1207">
        <v>1785</v>
      </c>
      <c r="AZ1207">
        <v>1972</v>
      </c>
      <c r="BA1207">
        <v>10</v>
      </c>
      <c r="BD1207" t="s">
        <v>360</v>
      </c>
    </row>
    <row r="1208" spans="1:56" x14ac:dyDescent="0.3">
      <c r="A1208">
        <v>20003</v>
      </c>
      <c r="B1208">
        <v>1</v>
      </c>
      <c r="C1208">
        <v>89</v>
      </c>
      <c r="D1208">
        <v>0</v>
      </c>
      <c r="E1208">
        <v>0</v>
      </c>
      <c r="F1208">
        <v>0</v>
      </c>
      <c r="G1208">
        <v>0</v>
      </c>
      <c r="H1208">
        <v>7</v>
      </c>
      <c r="I1208">
        <v>0</v>
      </c>
      <c r="J1208">
        <v>0</v>
      </c>
      <c r="K1208">
        <v>4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1</v>
      </c>
      <c r="W1208">
        <v>0</v>
      </c>
      <c r="X1208">
        <v>0</v>
      </c>
      <c r="Y1208">
        <v>0</v>
      </c>
      <c r="Z1208">
        <v>1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21.42</v>
      </c>
      <c r="AV1208">
        <v>0</v>
      </c>
      <c r="AW1208">
        <v>774.2</v>
      </c>
      <c r="AX1208">
        <v>115</v>
      </c>
      <c r="AY1208">
        <v>1539</v>
      </c>
      <c r="AZ1208">
        <v>2093</v>
      </c>
      <c r="BA1208">
        <v>24.3</v>
      </c>
      <c r="BD1208" t="s">
        <v>359</v>
      </c>
    </row>
    <row r="1209" spans="1:56" x14ac:dyDescent="0.3">
      <c r="A1209">
        <v>20004</v>
      </c>
      <c r="B1209">
        <v>1</v>
      </c>
      <c r="C1209">
        <v>87</v>
      </c>
      <c r="D1209">
        <v>0</v>
      </c>
      <c r="E1209">
        <v>0</v>
      </c>
      <c r="F1209">
        <v>0</v>
      </c>
      <c r="G1209">
        <v>0</v>
      </c>
      <c r="H1209">
        <v>7</v>
      </c>
      <c r="I1209">
        <v>0</v>
      </c>
      <c r="J1209">
        <v>0</v>
      </c>
      <c r="K1209">
        <v>6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1</v>
      </c>
      <c r="W1209">
        <v>0</v>
      </c>
      <c r="X1209">
        <v>0</v>
      </c>
      <c r="Y1209">
        <v>0</v>
      </c>
      <c r="Z1209">
        <v>1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21.98</v>
      </c>
      <c r="AV1209">
        <v>0</v>
      </c>
      <c r="AW1209">
        <v>774.2</v>
      </c>
      <c r="AX1209">
        <v>97</v>
      </c>
      <c r="AY1209">
        <v>1144</v>
      </c>
      <c r="AZ1209">
        <v>2014</v>
      </c>
      <c r="BA1209">
        <v>32.1</v>
      </c>
      <c r="BD1209" t="s">
        <v>359</v>
      </c>
    </row>
    <row r="1210" spans="1:56" x14ac:dyDescent="0.3">
      <c r="A1210">
        <v>20005</v>
      </c>
      <c r="B1210">
        <v>0</v>
      </c>
      <c r="C1210">
        <v>88.238399999999999</v>
      </c>
      <c r="D1210">
        <v>0</v>
      </c>
      <c r="E1210">
        <v>0</v>
      </c>
      <c r="F1210">
        <v>0</v>
      </c>
      <c r="G1210">
        <v>11.5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9.5999999999999992E-3</v>
      </c>
      <c r="S1210">
        <v>9.5999999999999992E-3</v>
      </c>
      <c r="T1210">
        <v>0.252</v>
      </c>
      <c r="U1210">
        <v>0</v>
      </c>
      <c r="V1210">
        <v>1</v>
      </c>
      <c r="W1210">
        <v>0</v>
      </c>
      <c r="X1210">
        <v>0</v>
      </c>
      <c r="Y1210">
        <v>0</v>
      </c>
      <c r="Z1210">
        <v>1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19.55</v>
      </c>
      <c r="AV1210">
        <v>2.6159999999999999E-2</v>
      </c>
      <c r="AW1210">
        <v>912.99599999999998</v>
      </c>
      <c r="AX1210">
        <v>96</v>
      </c>
      <c r="AY1210">
        <v>932</v>
      </c>
      <c r="AZ1210">
        <v>973</v>
      </c>
      <c r="BA1210">
        <v>2.6</v>
      </c>
      <c r="BB1210">
        <v>291</v>
      </c>
      <c r="BD1210" t="s">
        <v>361</v>
      </c>
    </row>
    <row r="1211" spans="1:56" x14ac:dyDescent="0.3">
      <c r="A1211">
        <v>20006</v>
      </c>
      <c r="B1211">
        <v>0</v>
      </c>
      <c r="C1211">
        <v>86.421899999999994</v>
      </c>
      <c r="D1211">
        <v>0</v>
      </c>
      <c r="E1211">
        <v>0</v>
      </c>
      <c r="F1211">
        <v>0</v>
      </c>
      <c r="G1211">
        <v>13.3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8.0999999999999996E-3</v>
      </c>
      <c r="S1211">
        <v>8.0999999999999996E-3</v>
      </c>
      <c r="T1211">
        <v>0.27</v>
      </c>
      <c r="U1211">
        <v>0</v>
      </c>
      <c r="V1211">
        <v>1</v>
      </c>
      <c r="W1211">
        <v>0</v>
      </c>
      <c r="X1211">
        <v>0</v>
      </c>
      <c r="Y1211">
        <v>0</v>
      </c>
      <c r="Z1211">
        <v>1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22.61</v>
      </c>
      <c r="AV1211">
        <v>2.7810000000000001E-2</v>
      </c>
      <c r="AW1211">
        <v>915.21</v>
      </c>
      <c r="AX1211">
        <v>99</v>
      </c>
      <c r="AZ1211">
        <v>938</v>
      </c>
      <c r="BA1211">
        <v>0.65</v>
      </c>
      <c r="BD1211" t="s">
        <v>361</v>
      </c>
    </row>
    <row r="1212" spans="1:56" x14ac:dyDescent="0.3">
      <c r="A1212">
        <v>20007</v>
      </c>
      <c r="B1212">
        <v>0</v>
      </c>
      <c r="C1212">
        <v>87.271000000000001</v>
      </c>
      <c r="D1212">
        <v>0</v>
      </c>
      <c r="E1212">
        <v>0</v>
      </c>
      <c r="F1212">
        <v>0</v>
      </c>
      <c r="G1212">
        <v>12.65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2.3999999999999998E-3</v>
      </c>
      <c r="S1212">
        <v>4.3E-3</v>
      </c>
      <c r="T1212">
        <v>7.4700000000000003E-2</v>
      </c>
      <c r="U1212">
        <v>0</v>
      </c>
      <c r="V1212">
        <v>1</v>
      </c>
      <c r="W1212">
        <v>0</v>
      </c>
      <c r="X1212">
        <v>0</v>
      </c>
      <c r="Y1212">
        <v>0</v>
      </c>
      <c r="Z1212">
        <v>1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21.504999999999999</v>
      </c>
      <c r="AV1212">
        <v>7.9000000000000008E-3</v>
      </c>
      <c r="AW1212">
        <v>891.18809999999996</v>
      </c>
      <c r="AX1212">
        <v>100</v>
      </c>
      <c r="AZ1212">
        <v>939</v>
      </c>
      <c r="BA1212">
        <v>13</v>
      </c>
      <c r="BB1212">
        <v>312</v>
      </c>
      <c r="BD1212" t="s">
        <v>362</v>
      </c>
    </row>
    <row r="1213" spans="1:56" x14ac:dyDescent="0.3">
      <c r="A1213">
        <v>20008</v>
      </c>
      <c r="B1213">
        <v>0</v>
      </c>
      <c r="C1213">
        <v>84.312700000000007</v>
      </c>
      <c r="D1213">
        <v>0</v>
      </c>
      <c r="E1213">
        <v>0</v>
      </c>
      <c r="F1213">
        <v>0</v>
      </c>
      <c r="G1213">
        <v>15.4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1.23E-2</v>
      </c>
      <c r="S1213">
        <v>1.23E-2</v>
      </c>
      <c r="T1213">
        <v>0.27500000000000002</v>
      </c>
      <c r="U1213">
        <v>0</v>
      </c>
      <c r="V1213">
        <v>1</v>
      </c>
      <c r="W1213">
        <v>0</v>
      </c>
      <c r="X1213">
        <v>0</v>
      </c>
      <c r="Y1213">
        <v>0</v>
      </c>
      <c r="Z1213">
        <v>1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26.18</v>
      </c>
      <c r="AV1213">
        <v>2.8729999999999999E-2</v>
      </c>
      <c r="AW1213">
        <v>915.82500000000005</v>
      </c>
      <c r="AX1213">
        <v>98</v>
      </c>
      <c r="AZ1213">
        <v>677</v>
      </c>
      <c r="BD1213" t="s">
        <v>363</v>
      </c>
    </row>
    <row r="1214" spans="1:56" x14ac:dyDescent="0.3">
      <c r="A1214">
        <v>20009</v>
      </c>
      <c r="B1214">
        <v>0</v>
      </c>
      <c r="C1214">
        <v>82.576499999999996</v>
      </c>
      <c r="D1214">
        <v>0</v>
      </c>
      <c r="E1214">
        <v>0</v>
      </c>
      <c r="F1214">
        <v>0</v>
      </c>
      <c r="G1214">
        <v>17.100000000000001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7.4999999999999997E-3</v>
      </c>
      <c r="S1214">
        <v>7.4999999999999997E-3</v>
      </c>
      <c r="T1214">
        <v>0.316</v>
      </c>
      <c r="U1214">
        <v>0</v>
      </c>
      <c r="V1214">
        <v>1</v>
      </c>
      <c r="W1214">
        <v>0</v>
      </c>
      <c r="X1214">
        <v>0</v>
      </c>
      <c r="Y1214">
        <v>0</v>
      </c>
      <c r="Z1214">
        <v>1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29.07</v>
      </c>
      <c r="AV1214">
        <v>3.2350000000000004E-2</v>
      </c>
      <c r="AW1214">
        <v>920.86800000000005</v>
      </c>
      <c r="AX1214">
        <v>103</v>
      </c>
      <c r="AZ1214">
        <v>339</v>
      </c>
      <c r="BB1214">
        <v>317</v>
      </c>
      <c r="BD1214" t="s">
        <v>363</v>
      </c>
    </row>
    <row r="1215" spans="1:56" x14ac:dyDescent="0.3">
      <c r="A1215">
        <v>20010</v>
      </c>
      <c r="B1215">
        <v>0</v>
      </c>
      <c r="C1215">
        <v>82.288800000000009</v>
      </c>
      <c r="D1215">
        <v>0</v>
      </c>
      <c r="E1215">
        <v>0</v>
      </c>
      <c r="F1215">
        <v>0</v>
      </c>
      <c r="G1215">
        <v>17.649999999999999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7.3000000000000001E-3</v>
      </c>
      <c r="S1215">
        <v>2.0999999999999999E-3</v>
      </c>
      <c r="T1215">
        <v>5.91E-2</v>
      </c>
      <c r="U1215">
        <v>0</v>
      </c>
      <c r="V1215">
        <v>1</v>
      </c>
      <c r="W1215">
        <v>0</v>
      </c>
      <c r="X1215">
        <v>0</v>
      </c>
      <c r="Y1215">
        <v>0</v>
      </c>
      <c r="Z1215">
        <v>1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30.004999999999995</v>
      </c>
      <c r="AV1215">
        <v>6.1199999999999996E-3</v>
      </c>
      <c r="AW1215">
        <v>889.26930000000004</v>
      </c>
      <c r="AX1215">
        <v>105</v>
      </c>
      <c r="AZ1215">
        <v>246</v>
      </c>
      <c r="BA1215">
        <v>0.1</v>
      </c>
      <c r="BB1215">
        <v>336</v>
      </c>
      <c r="BD1215" t="s">
        <v>362</v>
      </c>
    </row>
    <row r="1216" spans="1:56" x14ac:dyDescent="0.3">
      <c r="A1216">
        <v>20011</v>
      </c>
      <c r="B1216">
        <v>0</v>
      </c>
      <c r="C1216">
        <v>94.321899999999999</v>
      </c>
      <c r="D1216">
        <v>0</v>
      </c>
      <c r="E1216">
        <v>0</v>
      </c>
      <c r="F1216">
        <v>0</v>
      </c>
      <c r="G1216">
        <v>5.6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3.5999999999999999E-3</v>
      </c>
      <c r="S1216">
        <v>4.4999999999999997E-3</v>
      </c>
      <c r="T1216">
        <v>7.3599999999999999E-2</v>
      </c>
      <c r="U1216">
        <v>0</v>
      </c>
      <c r="V1216">
        <v>0</v>
      </c>
      <c r="W1216">
        <v>1</v>
      </c>
      <c r="X1216">
        <v>900</v>
      </c>
      <c r="Y1216">
        <v>0</v>
      </c>
      <c r="Z1216">
        <v>0</v>
      </c>
      <c r="AA1216">
        <v>1</v>
      </c>
      <c r="AB1216">
        <v>1</v>
      </c>
      <c r="AC1216">
        <v>0</v>
      </c>
      <c r="AD1216">
        <v>1000</v>
      </c>
      <c r="AE1216">
        <v>6</v>
      </c>
      <c r="AF1216">
        <v>0</v>
      </c>
      <c r="AG1216">
        <v>0</v>
      </c>
      <c r="AH1216">
        <v>0</v>
      </c>
      <c r="AI1216">
        <v>900</v>
      </c>
      <c r="AJ1216">
        <v>1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9.52</v>
      </c>
      <c r="AV1216">
        <v>7.8100000000000001E-3</v>
      </c>
      <c r="AW1216">
        <v>891.05280000000005</v>
      </c>
      <c r="AX1216">
        <v>129</v>
      </c>
      <c r="BB1216">
        <v>469</v>
      </c>
      <c r="BD1216" t="s">
        <v>362</v>
      </c>
    </row>
    <row r="1217" spans="1:56" x14ac:dyDescent="0.3">
      <c r="A1217">
        <v>20012</v>
      </c>
      <c r="B1217">
        <v>0</v>
      </c>
      <c r="C1217">
        <v>92.200599999999994</v>
      </c>
      <c r="D1217">
        <v>0</v>
      </c>
      <c r="E1217">
        <v>0</v>
      </c>
      <c r="F1217">
        <v>0</v>
      </c>
      <c r="G1217">
        <v>7.56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6.4000000000000003E-3</v>
      </c>
      <c r="S1217">
        <v>6.4000000000000003E-3</v>
      </c>
      <c r="T1217">
        <v>0.23300000000000001</v>
      </c>
      <c r="U1217">
        <v>0</v>
      </c>
      <c r="V1217">
        <v>1</v>
      </c>
      <c r="W1217">
        <v>0</v>
      </c>
      <c r="X1217">
        <v>0</v>
      </c>
      <c r="Y1217">
        <v>0</v>
      </c>
      <c r="Z1217">
        <v>1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12.851999999999999</v>
      </c>
      <c r="AV1217">
        <v>2.3939999999999999E-2</v>
      </c>
      <c r="AW1217">
        <v>910.65899999999999</v>
      </c>
      <c r="AX1217">
        <v>87</v>
      </c>
      <c r="AY1217">
        <v>1094</v>
      </c>
      <c r="AZ1217">
        <v>1162</v>
      </c>
      <c r="BA1217">
        <v>1.5</v>
      </c>
      <c r="BD1217" t="s">
        <v>363</v>
      </c>
    </row>
    <row r="1218" spans="1:56" x14ac:dyDescent="0.3">
      <c r="A1218">
        <v>20013</v>
      </c>
      <c r="B1218">
        <v>0</v>
      </c>
      <c r="C1218">
        <v>90.453699999999998</v>
      </c>
      <c r="D1218">
        <v>0</v>
      </c>
      <c r="E1218">
        <v>0</v>
      </c>
      <c r="F1218">
        <v>0</v>
      </c>
      <c r="G1218">
        <v>9.4700000000000006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3.0999999999999999E-3</v>
      </c>
      <c r="S1218">
        <v>3.5999999999999999E-3</v>
      </c>
      <c r="T1218">
        <v>7.2700000000000001E-2</v>
      </c>
      <c r="U1218">
        <v>0</v>
      </c>
      <c r="V1218">
        <v>1</v>
      </c>
      <c r="W1218">
        <v>0</v>
      </c>
      <c r="X1218">
        <v>0</v>
      </c>
      <c r="Y1218">
        <v>0</v>
      </c>
      <c r="Z1218">
        <v>1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16.099</v>
      </c>
      <c r="AV1218">
        <v>7.6300000000000005E-3</v>
      </c>
      <c r="AW1218">
        <v>890.94209999999998</v>
      </c>
      <c r="AX1218">
        <v>94</v>
      </c>
      <c r="AZ1218">
        <v>1048</v>
      </c>
      <c r="BA1218">
        <v>19</v>
      </c>
      <c r="BB1218">
        <v>338</v>
      </c>
      <c r="BD1218" t="s">
        <v>362</v>
      </c>
    </row>
    <row r="1219" spans="1:56" x14ac:dyDescent="0.3">
      <c r="A1219">
        <v>20014</v>
      </c>
      <c r="B1219">
        <v>0</v>
      </c>
      <c r="C1219">
        <v>90.457899999999995</v>
      </c>
      <c r="D1219">
        <v>0</v>
      </c>
      <c r="E1219">
        <v>0</v>
      </c>
      <c r="F1219">
        <v>0</v>
      </c>
      <c r="G1219">
        <v>9.2899999999999991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8.0999999999999996E-3</v>
      </c>
      <c r="S1219">
        <v>8.0999999999999996E-3</v>
      </c>
      <c r="T1219">
        <v>0.24399999999999999</v>
      </c>
      <c r="U1219">
        <v>0</v>
      </c>
      <c r="V1219">
        <v>1</v>
      </c>
      <c r="W1219">
        <v>0</v>
      </c>
      <c r="X1219">
        <v>0</v>
      </c>
      <c r="Y1219">
        <v>0</v>
      </c>
      <c r="Z1219">
        <v>1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15.792999999999997</v>
      </c>
      <c r="AV1219">
        <v>2.521E-2</v>
      </c>
      <c r="AW1219">
        <v>912.01199999999994</v>
      </c>
      <c r="AX1219">
        <v>89</v>
      </c>
      <c r="AY1219">
        <v>992</v>
      </c>
      <c r="AZ1219">
        <v>1046</v>
      </c>
      <c r="BA1219">
        <v>4.7</v>
      </c>
      <c r="BD1219" t="s">
        <v>363</v>
      </c>
    </row>
    <row r="1220" spans="1:56" x14ac:dyDescent="0.3">
      <c r="A1220">
        <v>20015</v>
      </c>
      <c r="B1220">
        <v>0</v>
      </c>
      <c r="C1220">
        <v>91.942999999999998</v>
      </c>
      <c r="D1220">
        <v>0</v>
      </c>
      <c r="E1220">
        <v>0</v>
      </c>
      <c r="F1220">
        <v>0</v>
      </c>
      <c r="G1220">
        <v>5.07</v>
      </c>
      <c r="H1220">
        <v>0</v>
      </c>
      <c r="I1220">
        <v>0</v>
      </c>
      <c r="J1220">
        <v>0</v>
      </c>
      <c r="K1220">
        <v>0</v>
      </c>
      <c r="L1220">
        <v>2.92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1.54E-2</v>
      </c>
      <c r="S1220">
        <v>0</v>
      </c>
      <c r="T1220">
        <v>6.7000000000000004E-2</v>
      </c>
      <c r="U1220">
        <v>0</v>
      </c>
      <c r="V1220">
        <v>0</v>
      </c>
      <c r="W1220">
        <v>1</v>
      </c>
      <c r="X1220">
        <v>900</v>
      </c>
      <c r="Y1220">
        <v>0</v>
      </c>
      <c r="Z1220">
        <v>0</v>
      </c>
      <c r="AA1220">
        <v>1</v>
      </c>
      <c r="AB1220">
        <v>1</v>
      </c>
      <c r="AC1220">
        <v>0</v>
      </c>
      <c r="AD1220">
        <v>1000</v>
      </c>
      <c r="AE1220">
        <v>6</v>
      </c>
      <c r="AF1220">
        <v>1</v>
      </c>
      <c r="AG1220">
        <v>0</v>
      </c>
      <c r="AH1220">
        <v>0</v>
      </c>
      <c r="AI1220">
        <v>900</v>
      </c>
      <c r="AJ1220">
        <v>6</v>
      </c>
      <c r="AK1220">
        <v>1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11.539</v>
      </c>
      <c r="AV1220">
        <v>6.7000000000000002E-3</v>
      </c>
      <c r="AW1220">
        <v>862.50099999999998</v>
      </c>
      <c r="AX1220">
        <v>100</v>
      </c>
      <c r="AY1220">
        <v>855</v>
      </c>
      <c r="AZ1220">
        <v>920</v>
      </c>
      <c r="BA1220">
        <v>18</v>
      </c>
      <c r="BB1220">
        <v>372</v>
      </c>
      <c r="BD1220" t="s">
        <v>364</v>
      </c>
    </row>
    <row r="1221" spans="1:56" x14ac:dyDescent="0.3">
      <c r="A1221">
        <v>20016</v>
      </c>
      <c r="B1221">
        <v>0</v>
      </c>
      <c r="C1221">
        <v>91.0154</v>
      </c>
      <c r="D1221">
        <v>0</v>
      </c>
      <c r="E1221">
        <v>0</v>
      </c>
      <c r="F1221">
        <v>0</v>
      </c>
      <c r="G1221">
        <v>4.99</v>
      </c>
      <c r="H1221">
        <v>0</v>
      </c>
      <c r="I1221">
        <v>0</v>
      </c>
      <c r="J1221">
        <v>0</v>
      </c>
      <c r="K1221">
        <v>0</v>
      </c>
      <c r="L1221">
        <v>3.98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1.46E-2</v>
      </c>
      <c r="S1221">
        <v>0</v>
      </c>
      <c r="T1221">
        <v>1.46E-2</v>
      </c>
      <c r="U1221">
        <v>0</v>
      </c>
      <c r="V1221">
        <v>0</v>
      </c>
      <c r="W1221">
        <v>1</v>
      </c>
      <c r="X1221">
        <v>900</v>
      </c>
      <c r="Y1221">
        <v>0</v>
      </c>
      <c r="Z1221">
        <v>0</v>
      </c>
      <c r="AA1221">
        <v>1</v>
      </c>
      <c r="AB1221">
        <v>1</v>
      </c>
      <c r="AC1221">
        <v>0</v>
      </c>
      <c r="AD1221">
        <v>1000</v>
      </c>
      <c r="AE1221">
        <v>6</v>
      </c>
      <c r="AF1221">
        <v>1</v>
      </c>
      <c r="AG1221">
        <v>0</v>
      </c>
      <c r="AH1221">
        <v>0</v>
      </c>
      <c r="AI1221">
        <v>900</v>
      </c>
      <c r="AJ1221">
        <v>6</v>
      </c>
      <c r="AK1221">
        <v>1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12.463000000000001</v>
      </c>
      <c r="AV1221">
        <v>1.4599999999999999E-3</v>
      </c>
      <c r="AW1221">
        <v>845.98580000000004</v>
      </c>
      <c r="AX1221">
        <v>91</v>
      </c>
      <c r="AY1221">
        <v>815</v>
      </c>
      <c r="AZ1221">
        <v>815</v>
      </c>
      <c r="BA1221">
        <v>34</v>
      </c>
      <c r="BD1221" t="s">
        <v>364</v>
      </c>
    </row>
    <row r="1222" spans="1:56" x14ac:dyDescent="0.3">
      <c r="A1222">
        <v>20017</v>
      </c>
      <c r="B1222">
        <v>0</v>
      </c>
      <c r="C1222">
        <v>90.700299999999999</v>
      </c>
      <c r="D1222">
        <v>0</v>
      </c>
      <c r="E1222">
        <v>0</v>
      </c>
      <c r="F1222">
        <v>0</v>
      </c>
      <c r="G1222">
        <v>6.32</v>
      </c>
      <c r="H1222">
        <v>0</v>
      </c>
      <c r="I1222">
        <v>0</v>
      </c>
      <c r="J1222">
        <v>0</v>
      </c>
      <c r="K1222">
        <v>0</v>
      </c>
      <c r="L1222">
        <v>2.97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1.44E-2</v>
      </c>
      <c r="S1222">
        <v>0</v>
      </c>
      <c r="T1222">
        <v>9.7000000000000003E-3</v>
      </c>
      <c r="U1222">
        <v>0</v>
      </c>
      <c r="V1222">
        <v>0</v>
      </c>
      <c r="W1222">
        <v>1</v>
      </c>
      <c r="X1222">
        <v>900</v>
      </c>
      <c r="Y1222">
        <v>0</v>
      </c>
      <c r="Z1222">
        <v>0</v>
      </c>
      <c r="AA1222">
        <v>1</v>
      </c>
      <c r="AB1222">
        <v>1</v>
      </c>
      <c r="AC1222">
        <v>0</v>
      </c>
      <c r="AD1222">
        <v>1000</v>
      </c>
      <c r="AE1222">
        <v>6</v>
      </c>
      <c r="AF1222">
        <v>1</v>
      </c>
      <c r="AG1222">
        <v>0</v>
      </c>
      <c r="AH1222">
        <v>0</v>
      </c>
      <c r="AI1222">
        <v>900</v>
      </c>
      <c r="AJ1222">
        <v>6</v>
      </c>
      <c r="AK1222">
        <v>1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13.714</v>
      </c>
      <c r="AV1222">
        <v>9.7000000000000005E-4</v>
      </c>
      <c r="AW1222">
        <v>854.97809999999993</v>
      </c>
      <c r="AX1222">
        <v>91</v>
      </c>
      <c r="AY1222">
        <v>1200</v>
      </c>
      <c r="AZ1222">
        <v>1220</v>
      </c>
      <c r="BA1222">
        <v>14</v>
      </c>
      <c r="BD1222" t="s">
        <v>364</v>
      </c>
    </row>
    <row r="1223" spans="1:56" x14ac:dyDescent="0.3">
      <c r="A1223">
        <v>20018</v>
      </c>
      <c r="B1223">
        <v>0</v>
      </c>
      <c r="C1223">
        <v>89.915599999999998</v>
      </c>
      <c r="D1223">
        <v>0</v>
      </c>
      <c r="E1223">
        <v>0</v>
      </c>
      <c r="F1223">
        <v>0</v>
      </c>
      <c r="G1223">
        <v>6.27</v>
      </c>
      <c r="H1223">
        <v>0</v>
      </c>
      <c r="I1223">
        <v>0</v>
      </c>
      <c r="J1223">
        <v>0</v>
      </c>
      <c r="K1223">
        <v>0</v>
      </c>
      <c r="L1223">
        <v>3.8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1.44E-2</v>
      </c>
      <c r="S1223">
        <v>0</v>
      </c>
      <c r="T1223">
        <v>1.44E-2</v>
      </c>
      <c r="U1223">
        <v>0</v>
      </c>
      <c r="V1223">
        <v>0</v>
      </c>
      <c r="W1223">
        <v>1</v>
      </c>
      <c r="X1223">
        <v>900</v>
      </c>
      <c r="Y1223">
        <v>0</v>
      </c>
      <c r="Z1223">
        <v>0</v>
      </c>
      <c r="AA1223">
        <v>1</v>
      </c>
      <c r="AB1223">
        <v>1</v>
      </c>
      <c r="AC1223">
        <v>0</v>
      </c>
      <c r="AD1223">
        <v>1000</v>
      </c>
      <c r="AE1223">
        <v>6</v>
      </c>
      <c r="AF1223">
        <v>1</v>
      </c>
      <c r="AG1223">
        <v>0</v>
      </c>
      <c r="AH1223">
        <v>0</v>
      </c>
      <c r="AI1223">
        <v>900</v>
      </c>
      <c r="AJ1223">
        <v>6</v>
      </c>
      <c r="AK1223">
        <v>1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14.459</v>
      </c>
      <c r="AV1223">
        <v>1.4399999999999999E-3</v>
      </c>
      <c r="AW1223">
        <v>847.6712</v>
      </c>
      <c r="AX1223">
        <v>89</v>
      </c>
      <c r="AY1223">
        <v>1090</v>
      </c>
      <c r="AZ1223">
        <v>1105</v>
      </c>
      <c r="BA1223">
        <v>15</v>
      </c>
      <c r="BB1223">
        <v>336</v>
      </c>
      <c r="BD1223" t="s">
        <v>364</v>
      </c>
    </row>
    <row r="1224" spans="1:56" x14ac:dyDescent="0.3">
      <c r="A1224">
        <v>20019</v>
      </c>
      <c r="B1224">
        <v>1</v>
      </c>
      <c r="C1224">
        <v>89.98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10.02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1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10.02</v>
      </c>
      <c r="AV1224">
        <v>0</v>
      </c>
      <c r="AW1224">
        <v>786.81</v>
      </c>
      <c r="AX1224">
        <v>112.99</v>
      </c>
      <c r="AY1224">
        <v>741</v>
      </c>
      <c r="AZ1224">
        <v>663</v>
      </c>
      <c r="BA1224">
        <v>0.71</v>
      </c>
      <c r="BB1224">
        <v>474</v>
      </c>
      <c r="BD1224" t="s">
        <v>365</v>
      </c>
    </row>
    <row r="1225" spans="1:56" x14ac:dyDescent="0.3">
      <c r="A1225">
        <v>20020</v>
      </c>
      <c r="B1225">
        <v>1</v>
      </c>
      <c r="C1225">
        <v>89.17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10.83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1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10.83</v>
      </c>
      <c r="AV1225">
        <v>0</v>
      </c>
      <c r="AW1225">
        <v>779.11500000000001</v>
      </c>
      <c r="AX1225">
        <v>105.17</v>
      </c>
      <c r="AZ1225">
        <v>885</v>
      </c>
      <c r="BA1225">
        <v>0.35</v>
      </c>
      <c r="BB1225">
        <v>441</v>
      </c>
      <c r="BD1225" t="s">
        <v>365</v>
      </c>
    </row>
    <row r="1226" spans="1:56" x14ac:dyDescent="0.3">
      <c r="A1226">
        <v>20021</v>
      </c>
      <c r="B1226">
        <v>1</v>
      </c>
      <c r="C1226">
        <v>88.22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11.78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1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11.78</v>
      </c>
      <c r="AV1226">
        <v>0</v>
      </c>
      <c r="AW1226">
        <v>770.09</v>
      </c>
      <c r="AX1226">
        <v>133.15</v>
      </c>
      <c r="BB1226">
        <v>390</v>
      </c>
      <c r="BD1226" t="s">
        <v>366</v>
      </c>
    </row>
    <row r="1227" spans="1:56" x14ac:dyDescent="0.3">
      <c r="A1227">
        <v>20022</v>
      </c>
      <c r="B1227">
        <v>1</v>
      </c>
      <c r="C1227">
        <v>87.11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12.89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1</v>
      </c>
      <c r="W1227">
        <v>0</v>
      </c>
      <c r="X1227">
        <v>0</v>
      </c>
      <c r="Y1227">
        <v>0</v>
      </c>
      <c r="Z1227">
        <v>1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12.89</v>
      </c>
      <c r="AV1227">
        <v>0</v>
      </c>
      <c r="AW1227">
        <v>759.54499999999996</v>
      </c>
      <c r="AX1227">
        <v>104.47</v>
      </c>
      <c r="AZ1227">
        <v>643</v>
      </c>
      <c r="BA1227">
        <v>0.09</v>
      </c>
      <c r="BB1227">
        <v>413</v>
      </c>
      <c r="BD1227" t="s">
        <v>365</v>
      </c>
    </row>
    <row r="1228" spans="1:56" x14ac:dyDescent="0.3">
      <c r="A1228">
        <v>20023</v>
      </c>
      <c r="B1228">
        <v>1</v>
      </c>
      <c r="C1228">
        <v>84.95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15.05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1</v>
      </c>
      <c r="W1228">
        <v>0</v>
      </c>
      <c r="X1228">
        <v>0</v>
      </c>
      <c r="Y1228">
        <v>0</v>
      </c>
      <c r="Z1228">
        <v>1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15.05</v>
      </c>
      <c r="AV1228">
        <v>0</v>
      </c>
      <c r="AW1228">
        <v>739.02499999999998</v>
      </c>
      <c r="AX1228">
        <v>70.48</v>
      </c>
      <c r="AY1228">
        <v>542</v>
      </c>
      <c r="AZ1228">
        <v>593</v>
      </c>
      <c r="BA1228">
        <v>0.14000000000000001</v>
      </c>
      <c r="BB1228">
        <v>350</v>
      </c>
      <c r="BD1228" t="s">
        <v>365</v>
      </c>
    </row>
    <row r="1229" spans="1:56" x14ac:dyDescent="0.3">
      <c r="A1229">
        <v>20024</v>
      </c>
      <c r="B1229">
        <v>1</v>
      </c>
      <c r="C1229">
        <v>96.944599999999994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3.0554000000000001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X1229">
        <v>0</v>
      </c>
      <c r="Y1229">
        <v>0</v>
      </c>
      <c r="Z1229">
        <v>1</v>
      </c>
      <c r="AA1229">
        <v>0</v>
      </c>
      <c r="AB1229">
        <v>0</v>
      </c>
      <c r="AC1229">
        <v>0</v>
      </c>
      <c r="AD1229">
        <v>900</v>
      </c>
      <c r="AE1229">
        <v>8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3.0554000000000001</v>
      </c>
      <c r="AV1229">
        <v>0</v>
      </c>
      <c r="AW1229">
        <v>852.97370000000001</v>
      </c>
      <c r="AX1229">
        <v>83.8</v>
      </c>
      <c r="BD1229" t="s">
        <v>367</v>
      </c>
    </row>
    <row r="1230" spans="1:56" x14ac:dyDescent="0.3">
      <c r="A1230">
        <v>20025</v>
      </c>
      <c r="B1230">
        <v>1</v>
      </c>
      <c r="C1230">
        <v>92.5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7.5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1</v>
      </c>
      <c r="W1230">
        <v>0</v>
      </c>
      <c r="X1230">
        <v>0</v>
      </c>
      <c r="Y1230">
        <v>0</v>
      </c>
      <c r="Z1230">
        <v>1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7.5</v>
      </c>
      <c r="AV1230">
        <v>0</v>
      </c>
      <c r="AW1230">
        <v>810.75</v>
      </c>
      <c r="AX1230">
        <v>70</v>
      </c>
      <c r="AY1230">
        <v>737</v>
      </c>
      <c r="AZ1230">
        <v>1019</v>
      </c>
      <c r="BA1230">
        <v>16</v>
      </c>
      <c r="BB1230">
        <v>301</v>
      </c>
      <c r="BD1230" t="s">
        <v>368</v>
      </c>
    </row>
    <row r="1231" spans="1:56" x14ac:dyDescent="0.3">
      <c r="A1231">
        <v>20026</v>
      </c>
      <c r="B1231">
        <v>1</v>
      </c>
      <c r="C1231">
        <v>91.994399999999999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8.0055999999999994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</v>
      </c>
      <c r="W1231">
        <v>0</v>
      </c>
      <c r="X1231">
        <v>0</v>
      </c>
      <c r="Y1231">
        <v>0</v>
      </c>
      <c r="Z1231">
        <v>1</v>
      </c>
      <c r="AA1231">
        <v>0</v>
      </c>
      <c r="AB1231">
        <v>0</v>
      </c>
      <c r="AC1231">
        <v>0</v>
      </c>
      <c r="AD1231">
        <v>900</v>
      </c>
      <c r="AE1231">
        <v>8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8.0055999999999994</v>
      </c>
      <c r="AV1231">
        <v>0</v>
      </c>
      <c r="AW1231">
        <v>805.94680000000005</v>
      </c>
      <c r="AX1231">
        <v>82.98</v>
      </c>
      <c r="BD1231" t="s">
        <v>367</v>
      </c>
    </row>
    <row r="1232" spans="1:56" x14ac:dyDescent="0.3">
      <c r="A1232">
        <v>20027</v>
      </c>
      <c r="B1232">
        <v>1</v>
      </c>
      <c r="C1232">
        <v>92.5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7.5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1</v>
      </c>
      <c r="W1232">
        <v>0</v>
      </c>
      <c r="X1232">
        <v>0</v>
      </c>
      <c r="Y1232">
        <v>0</v>
      </c>
      <c r="Z1232">
        <v>1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7.5</v>
      </c>
      <c r="AV1232">
        <v>0</v>
      </c>
      <c r="AW1232">
        <v>810.75</v>
      </c>
      <c r="AX1232">
        <v>70</v>
      </c>
      <c r="AZ1232">
        <v>806</v>
      </c>
      <c r="BA1232">
        <v>42</v>
      </c>
      <c r="BD1232" t="s">
        <v>369</v>
      </c>
    </row>
    <row r="1233" spans="1:56" x14ac:dyDescent="0.3">
      <c r="A1233">
        <v>20028</v>
      </c>
      <c r="B1233">
        <v>1</v>
      </c>
      <c r="C1233">
        <v>78.099999999999994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10.8</v>
      </c>
      <c r="L1233">
        <v>11.1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1</v>
      </c>
      <c r="W1233">
        <v>0</v>
      </c>
      <c r="X1233">
        <v>0</v>
      </c>
      <c r="Y1233">
        <v>0</v>
      </c>
      <c r="Z1233">
        <v>1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14.124000000000001</v>
      </c>
      <c r="AV1233">
        <v>0</v>
      </c>
      <c r="AW1233">
        <v>776.55</v>
      </c>
      <c r="AX1233">
        <v>56.9</v>
      </c>
      <c r="BB1233">
        <v>312</v>
      </c>
      <c r="BD1233" t="s">
        <v>366</v>
      </c>
    </row>
    <row r="1234" spans="1:56" x14ac:dyDescent="0.3">
      <c r="A1234">
        <v>20029</v>
      </c>
      <c r="B1234">
        <v>1</v>
      </c>
      <c r="C1234">
        <v>78.099999999999994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10.8</v>
      </c>
      <c r="L1234">
        <v>11.1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</v>
      </c>
      <c r="W1234">
        <v>0</v>
      </c>
      <c r="X1234">
        <v>0</v>
      </c>
      <c r="Y1234">
        <v>0</v>
      </c>
      <c r="Z1234">
        <v>1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14.124000000000001</v>
      </c>
      <c r="AV1234">
        <v>0</v>
      </c>
      <c r="AW1234">
        <v>776.55</v>
      </c>
      <c r="AX1234">
        <v>57</v>
      </c>
      <c r="AY1234">
        <v>654</v>
      </c>
      <c r="AZ1234">
        <v>875</v>
      </c>
      <c r="BA1234">
        <v>0.61</v>
      </c>
      <c r="BD1234" t="s">
        <v>370</v>
      </c>
    </row>
    <row r="1235" spans="1:56" x14ac:dyDescent="0.3">
      <c r="A1235">
        <v>20030</v>
      </c>
      <c r="B1235">
        <v>1</v>
      </c>
      <c r="C1235">
        <v>80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8</v>
      </c>
      <c r="L1235">
        <v>12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1</v>
      </c>
      <c r="X1235">
        <v>0</v>
      </c>
      <c r="Y1235">
        <v>80</v>
      </c>
      <c r="Z1235">
        <v>0</v>
      </c>
      <c r="AA1235">
        <v>0</v>
      </c>
      <c r="AB1235">
        <v>1</v>
      </c>
      <c r="AC1235">
        <v>0</v>
      </c>
      <c r="AD1235">
        <v>780</v>
      </c>
      <c r="AE1235">
        <v>0</v>
      </c>
      <c r="AF1235">
        <v>1</v>
      </c>
      <c r="AG1235">
        <v>0</v>
      </c>
      <c r="AH1235">
        <v>0</v>
      </c>
      <c r="AI1235">
        <v>950</v>
      </c>
      <c r="AJ1235">
        <v>1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14.24</v>
      </c>
      <c r="AV1235">
        <v>0</v>
      </c>
      <c r="AW1235">
        <v>768</v>
      </c>
      <c r="AX1235">
        <v>91</v>
      </c>
      <c r="AY1235">
        <v>528</v>
      </c>
      <c r="AZ1235">
        <v>716</v>
      </c>
      <c r="BA1235">
        <v>33</v>
      </c>
      <c r="BD1235" t="s">
        <v>371</v>
      </c>
    </row>
    <row r="1236" spans="1:56" x14ac:dyDescent="0.3">
      <c r="A1236">
        <v>20031</v>
      </c>
      <c r="B1236">
        <v>0</v>
      </c>
      <c r="C1236">
        <v>93.2</v>
      </c>
      <c r="D1236">
        <v>0</v>
      </c>
      <c r="E1236">
        <v>0.45</v>
      </c>
      <c r="F1236">
        <v>0.02</v>
      </c>
      <c r="G1236">
        <v>0</v>
      </c>
      <c r="H1236">
        <v>0.05</v>
      </c>
      <c r="I1236">
        <v>0.09</v>
      </c>
      <c r="J1236">
        <v>0</v>
      </c>
      <c r="K1236">
        <v>2.79</v>
      </c>
      <c r="L1236">
        <v>3.15</v>
      </c>
      <c r="M1236">
        <v>0</v>
      </c>
      <c r="N1236">
        <v>0</v>
      </c>
      <c r="O1236">
        <v>0</v>
      </c>
      <c r="P1236">
        <v>0</v>
      </c>
      <c r="Q1236">
        <v>0.04</v>
      </c>
      <c r="R1236">
        <v>0</v>
      </c>
      <c r="S1236">
        <v>0</v>
      </c>
      <c r="T1236">
        <v>0</v>
      </c>
      <c r="U1236">
        <v>0</v>
      </c>
      <c r="V1236">
        <v>1</v>
      </c>
      <c r="W1236">
        <v>0</v>
      </c>
      <c r="X1236">
        <v>0</v>
      </c>
      <c r="Y1236">
        <v>0</v>
      </c>
      <c r="Z1236">
        <v>1</v>
      </c>
      <c r="AA1236">
        <v>0</v>
      </c>
      <c r="AB1236">
        <v>0</v>
      </c>
      <c r="AC1236">
        <v>0</v>
      </c>
      <c r="AD1236">
        <v>1100</v>
      </c>
      <c r="AE1236">
        <v>7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4.4096999999999991</v>
      </c>
      <c r="AV1236">
        <v>0</v>
      </c>
      <c r="AW1236">
        <v>846.68500000000017</v>
      </c>
      <c r="AX1236">
        <v>102.6</v>
      </c>
      <c r="BB1236">
        <v>354</v>
      </c>
      <c r="BD1236" t="s">
        <v>372</v>
      </c>
    </row>
    <row r="1237" spans="1:56" x14ac:dyDescent="0.3">
      <c r="A1237">
        <v>20032</v>
      </c>
      <c r="B1237">
        <v>0</v>
      </c>
      <c r="C1237">
        <v>81.739999999999995</v>
      </c>
      <c r="D1237">
        <v>0</v>
      </c>
      <c r="E1237">
        <v>0</v>
      </c>
      <c r="F1237">
        <v>0.26</v>
      </c>
      <c r="G1237">
        <v>0</v>
      </c>
      <c r="H1237">
        <v>0</v>
      </c>
      <c r="I1237">
        <v>0</v>
      </c>
      <c r="J1237">
        <v>0</v>
      </c>
      <c r="K1237">
        <v>2.8</v>
      </c>
      <c r="L1237">
        <v>15</v>
      </c>
      <c r="M1237">
        <v>0</v>
      </c>
      <c r="N1237">
        <v>0</v>
      </c>
      <c r="O1237">
        <v>0</v>
      </c>
      <c r="P1237">
        <v>0</v>
      </c>
      <c r="Q1237">
        <v>0.2</v>
      </c>
      <c r="R1237">
        <v>0</v>
      </c>
      <c r="S1237">
        <v>0</v>
      </c>
      <c r="T1237">
        <v>0</v>
      </c>
      <c r="U1237">
        <v>0</v>
      </c>
      <c r="V1237">
        <v>1</v>
      </c>
      <c r="W1237">
        <v>0</v>
      </c>
      <c r="X1237">
        <v>0</v>
      </c>
      <c r="Y1237">
        <v>0</v>
      </c>
      <c r="Z1237">
        <v>1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16.2</v>
      </c>
      <c r="AV1237">
        <v>0</v>
      </c>
      <c r="AW1237">
        <v>741.01400000000001</v>
      </c>
      <c r="AX1237">
        <v>80</v>
      </c>
      <c r="BD1237" t="s">
        <v>373</v>
      </c>
    </row>
    <row r="1238" spans="1:56" x14ac:dyDescent="0.3">
      <c r="A1238">
        <v>20033</v>
      </c>
      <c r="B1238">
        <v>0</v>
      </c>
      <c r="C1238">
        <v>84.8</v>
      </c>
      <c r="D1238">
        <v>0</v>
      </c>
      <c r="E1238">
        <v>0.59</v>
      </c>
      <c r="F1238">
        <v>0.03</v>
      </c>
      <c r="G1238">
        <v>0</v>
      </c>
      <c r="H1238">
        <v>0.05</v>
      </c>
      <c r="I1238">
        <v>0.11</v>
      </c>
      <c r="J1238">
        <v>0</v>
      </c>
      <c r="K1238">
        <v>4.55</v>
      </c>
      <c r="L1238">
        <v>5.75</v>
      </c>
      <c r="M1238">
        <v>3.93</v>
      </c>
      <c r="N1238">
        <v>0</v>
      </c>
      <c r="O1238">
        <v>0</v>
      </c>
      <c r="P1238">
        <v>0</v>
      </c>
      <c r="Q1238">
        <v>0.04</v>
      </c>
      <c r="R1238">
        <v>0</v>
      </c>
      <c r="S1238">
        <v>0</v>
      </c>
      <c r="T1238">
        <v>0</v>
      </c>
      <c r="U1238">
        <v>0</v>
      </c>
      <c r="V1238">
        <v>1</v>
      </c>
      <c r="W1238">
        <v>0</v>
      </c>
      <c r="X1238">
        <v>0</v>
      </c>
      <c r="Y1238">
        <v>0</v>
      </c>
      <c r="Z1238">
        <v>1</v>
      </c>
      <c r="AA1238">
        <v>0</v>
      </c>
      <c r="AB1238">
        <v>0</v>
      </c>
      <c r="AC1238">
        <v>0</v>
      </c>
      <c r="AD1238">
        <v>1100</v>
      </c>
      <c r="AE1238">
        <v>7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7.6122999999999994</v>
      </c>
      <c r="AV1238">
        <v>1.31</v>
      </c>
      <c r="AW1238">
        <v>836.71799999999996</v>
      </c>
      <c r="AX1238">
        <v>104.6</v>
      </c>
      <c r="BB1238">
        <v>296</v>
      </c>
      <c r="BD1238" t="s">
        <v>374</v>
      </c>
    </row>
    <row r="1239" spans="1:56" x14ac:dyDescent="0.3">
      <c r="A1239">
        <v>20034</v>
      </c>
      <c r="B1239">
        <v>0</v>
      </c>
      <c r="C1239">
        <v>81.5</v>
      </c>
      <c r="D1239">
        <v>0</v>
      </c>
      <c r="E1239">
        <v>0.5</v>
      </c>
      <c r="F1239">
        <v>0.04</v>
      </c>
      <c r="G1239">
        <v>0</v>
      </c>
      <c r="H1239">
        <v>0.04</v>
      </c>
      <c r="I1239">
        <v>0.01</v>
      </c>
      <c r="J1239">
        <v>0</v>
      </c>
      <c r="K1239">
        <v>3.92</v>
      </c>
      <c r="L1239">
        <v>5.0599999999999996</v>
      </c>
      <c r="M1239">
        <v>8.06</v>
      </c>
      <c r="N1239">
        <v>0</v>
      </c>
      <c r="O1239">
        <v>0</v>
      </c>
      <c r="P1239">
        <v>0</v>
      </c>
      <c r="Q1239">
        <v>0.04</v>
      </c>
      <c r="R1239">
        <v>0</v>
      </c>
      <c r="S1239">
        <v>0</v>
      </c>
      <c r="T1239">
        <v>0</v>
      </c>
      <c r="U1239">
        <v>0</v>
      </c>
      <c r="V1239">
        <v>1</v>
      </c>
      <c r="W1239">
        <v>0</v>
      </c>
      <c r="X1239">
        <v>0</v>
      </c>
      <c r="Y1239">
        <v>0</v>
      </c>
      <c r="Z1239">
        <v>1</v>
      </c>
      <c r="AA1239">
        <v>0</v>
      </c>
      <c r="AB1239">
        <v>0</v>
      </c>
      <c r="AC1239">
        <v>0</v>
      </c>
      <c r="AD1239">
        <v>1100</v>
      </c>
      <c r="AE1239">
        <v>7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6.6725999999999992</v>
      </c>
      <c r="AV1239">
        <v>2.686666666666667</v>
      </c>
      <c r="AW1239">
        <v>861.71400000000006</v>
      </c>
      <c r="AX1239">
        <v>98.2</v>
      </c>
      <c r="BB1239">
        <v>351</v>
      </c>
      <c r="BD1239" t="s">
        <v>374</v>
      </c>
    </row>
    <row r="1240" spans="1:56" x14ac:dyDescent="0.3">
      <c r="A1240">
        <v>20035</v>
      </c>
      <c r="B1240">
        <v>1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</v>
      </c>
      <c r="K1240">
        <v>6</v>
      </c>
      <c r="L1240">
        <v>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820</v>
      </c>
      <c r="Y1240">
        <v>80</v>
      </c>
      <c r="Z1240">
        <v>0</v>
      </c>
      <c r="AA1240">
        <v>0</v>
      </c>
      <c r="AB1240">
        <v>1</v>
      </c>
      <c r="AC1240">
        <v>0</v>
      </c>
      <c r="AD1240">
        <v>950</v>
      </c>
      <c r="AE1240">
        <v>2</v>
      </c>
      <c r="AF1240">
        <v>1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9.68</v>
      </c>
      <c r="AV1240">
        <v>0.66666666666666663</v>
      </c>
      <c r="AW1240">
        <v>778.4</v>
      </c>
      <c r="AX1240">
        <v>72</v>
      </c>
      <c r="AY1240">
        <v>899</v>
      </c>
      <c r="BA1240">
        <v>15</v>
      </c>
      <c r="BD1240" t="s">
        <v>375</v>
      </c>
    </row>
    <row r="1241" spans="1:56" x14ac:dyDescent="0.3">
      <c r="A1241">
        <v>20036</v>
      </c>
      <c r="B1241">
        <v>1</v>
      </c>
      <c r="C1241">
        <v>84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3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1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1000</v>
      </c>
      <c r="AE1241">
        <v>24</v>
      </c>
      <c r="AF1241">
        <v>1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1.4000000000000001</v>
      </c>
      <c r="AV1241">
        <v>0.5</v>
      </c>
      <c r="AW1241">
        <v>861.3</v>
      </c>
      <c r="AX1241">
        <v>69</v>
      </c>
      <c r="AY1241">
        <v>947</v>
      </c>
      <c r="BA1241">
        <v>21</v>
      </c>
      <c r="BD1241" t="s">
        <v>375</v>
      </c>
    </row>
    <row r="1242" spans="1:56" x14ac:dyDescent="0.3">
      <c r="A1242">
        <v>20037</v>
      </c>
      <c r="B1242">
        <v>1</v>
      </c>
      <c r="C1242">
        <v>86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2</v>
      </c>
      <c r="K1242">
        <v>4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1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1000</v>
      </c>
      <c r="AE1242">
        <v>24</v>
      </c>
      <c r="AF1242">
        <v>1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1.1200000000000001</v>
      </c>
      <c r="AV1242">
        <v>0.33333333333333331</v>
      </c>
      <c r="AW1242">
        <v>868.2</v>
      </c>
      <c r="AX1242">
        <v>35.4</v>
      </c>
      <c r="AY1242">
        <v>798</v>
      </c>
      <c r="BA1242">
        <v>15</v>
      </c>
      <c r="BD1242" t="s">
        <v>375</v>
      </c>
    </row>
    <row r="1243" spans="1:56" x14ac:dyDescent="0.3">
      <c r="A1243">
        <v>20038</v>
      </c>
      <c r="B1243">
        <v>1</v>
      </c>
      <c r="C1243">
        <v>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12</v>
      </c>
      <c r="M1243">
        <v>0</v>
      </c>
      <c r="N1243">
        <v>0</v>
      </c>
      <c r="O1243">
        <v>5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1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950</v>
      </c>
      <c r="AE1243">
        <v>1</v>
      </c>
      <c r="AF1243">
        <v>1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13.1</v>
      </c>
      <c r="AV1243">
        <v>0</v>
      </c>
      <c r="AW1243">
        <v>768</v>
      </c>
      <c r="AX1243">
        <v>74</v>
      </c>
      <c r="BB1243">
        <v>303</v>
      </c>
      <c r="BD1243" t="s">
        <v>376</v>
      </c>
    </row>
    <row r="1244" spans="1:56" x14ac:dyDescent="0.3">
      <c r="A1244">
        <v>20039</v>
      </c>
      <c r="B1244">
        <v>1</v>
      </c>
      <c r="C1244">
        <v>83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12</v>
      </c>
      <c r="M1244">
        <v>0</v>
      </c>
      <c r="N1244">
        <v>0</v>
      </c>
      <c r="O1244">
        <v>5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1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950</v>
      </c>
      <c r="AE1244">
        <v>1</v>
      </c>
      <c r="AF1244">
        <v>1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13.1</v>
      </c>
      <c r="AV1244">
        <v>0</v>
      </c>
      <c r="AW1244">
        <v>768</v>
      </c>
      <c r="AX1244">
        <v>74</v>
      </c>
      <c r="BB1244">
        <v>303</v>
      </c>
      <c r="BD1244" t="s">
        <v>377</v>
      </c>
    </row>
    <row r="1245" spans="1:56" x14ac:dyDescent="0.3">
      <c r="A1245">
        <v>20040</v>
      </c>
      <c r="B1245">
        <v>1</v>
      </c>
      <c r="C1245">
        <v>83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5</v>
      </c>
      <c r="K1245">
        <v>0</v>
      </c>
      <c r="L1245">
        <v>12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1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1000</v>
      </c>
      <c r="AE1245">
        <v>1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12</v>
      </c>
      <c r="AV1245">
        <v>0.83333333333333337</v>
      </c>
      <c r="AW1245">
        <v>733.5</v>
      </c>
      <c r="AX1245">
        <v>90.9</v>
      </c>
      <c r="AY1245">
        <v>956</v>
      </c>
      <c r="AZ1245">
        <v>1028</v>
      </c>
      <c r="BA1245">
        <v>4.0999999999999996</v>
      </c>
      <c r="BB1245">
        <v>396</v>
      </c>
      <c r="BD1245" t="s">
        <v>378</v>
      </c>
    </row>
    <row r="1246" spans="1:56" x14ac:dyDescent="0.3">
      <c r="A1246">
        <v>20041</v>
      </c>
      <c r="B1246">
        <v>1</v>
      </c>
      <c r="C1246">
        <v>83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5</v>
      </c>
      <c r="K1246">
        <v>0</v>
      </c>
      <c r="L1246">
        <v>12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1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1000</v>
      </c>
      <c r="AE1246">
        <v>1</v>
      </c>
      <c r="AF1246">
        <v>0</v>
      </c>
      <c r="AG1246">
        <v>0</v>
      </c>
      <c r="AH1246">
        <v>0</v>
      </c>
      <c r="AI1246">
        <v>780</v>
      </c>
      <c r="AJ1246">
        <v>1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12</v>
      </c>
      <c r="AV1246">
        <v>0.83333333333333337</v>
      </c>
      <c r="AW1246">
        <v>733.5</v>
      </c>
      <c r="AX1246">
        <v>78.599999999999994</v>
      </c>
      <c r="AY1246">
        <v>540</v>
      </c>
      <c r="AZ1246">
        <v>695</v>
      </c>
      <c r="BA1246">
        <v>3.9</v>
      </c>
      <c r="BB1246">
        <v>427</v>
      </c>
      <c r="BD1246" t="s">
        <v>378</v>
      </c>
    </row>
    <row r="1247" spans="1:56" x14ac:dyDescent="0.3">
      <c r="A1247">
        <v>20042</v>
      </c>
      <c r="B1247">
        <v>1</v>
      </c>
      <c r="C1247">
        <v>83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</v>
      </c>
      <c r="K1247">
        <v>0</v>
      </c>
      <c r="L1247">
        <v>12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1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1000</v>
      </c>
      <c r="AE1247">
        <v>1</v>
      </c>
      <c r="AF1247">
        <v>0</v>
      </c>
      <c r="AG1247">
        <v>0</v>
      </c>
      <c r="AH1247">
        <v>0</v>
      </c>
      <c r="AI1247">
        <v>860</v>
      </c>
      <c r="AJ1247">
        <v>1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12</v>
      </c>
      <c r="AV1247">
        <v>0.83333333333333337</v>
      </c>
      <c r="AW1247">
        <v>733.5</v>
      </c>
      <c r="AX1247">
        <v>64.5</v>
      </c>
      <c r="AY1247">
        <v>509</v>
      </c>
      <c r="AZ1247">
        <v>628</v>
      </c>
      <c r="BA1247">
        <v>4.7</v>
      </c>
      <c r="BB1247">
        <v>442</v>
      </c>
      <c r="BD1247" t="s">
        <v>378</v>
      </c>
    </row>
    <row r="1248" spans="1:56" x14ac:dyDescent="0.3">
      <c r="A1248">
        <v>20043</v>
      </c>
      <c r="B1248">
        <v>0</v>
      </c>
      <c r="C1248">
        <v>81.873099999999994</v>
      </c>
      <c r="D1248">
        <v>2.93</v>
      </c>
      <c r="E1248">
        <v>0</v>
      </c>
      <c r="F1248">
        <v>0</v>
      </c>
      <c r="G1248">
        <v>0</v>
      </c>
      <c r="H1248">
        <v>4.2999999999999997E-2</v>
      </c>
      <c r="I1248">
        <v>0</v>
      </c>
      <c r="J1248">
        <v>0</v>
      </c>
      <c r="K1248">
        <v>0</v>
      </c>
      <c r="L1248">
        <v>14.97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6.0000000000000001E-3</v>
      </c>
      <c r="S1248">
        <v>1.29E-2</v>
      </c>
      <c r="T1248">
        <v>0.16500000000000001</v>
      </c>
      <c r="U1248">
        <v>0</v>
      </c>
      <c r="V1248">
        <v>1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785</v>
      </c>
      <c r="AE1248">
        <v>1</v>
      </c>
      <c r="AF1248">
        <v>1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12.164700000000002</v>
      </c>
      <c r="AV1248">
        <v>2.9477900000000004</v>
      </c>
      <c r="AW1248">
        <v>765.57079999999996</v>
      </c>
      <c r="BA1248">
        <v>23</v>
      </c>
      <c r="BD1248" t="s">
        <v>379</v>
      </c>
    </row>
    <row r="1249" spans="1:56" x14ac:dyDescent="0.3">
      <c r="A1249">
        <v>20044</v>
      </c>
      <c r="B1249">
        <v>0</v>
      </c>
      <c r="C1249">
        <v>80.257199999999997</v>
      </c>
      <c r="D1249">
        <v>0</v>
      </c>
      <c r="E1249">
        <v>0</v>
      </c>
      <c r="F1249">
        <v>0</v>
      </c>
      <c r="G1249">
        <v>0</v>
      </c>
      <c r="H1249">
        <v>4.5999999999999999E-2</v>
      </c>
      <c r="I1249">
        <v>0</v>
      </c>
      <c r="J1249">
        <v>4.76</v>
      </c>
      <c r="K1249">
        <v>0</v>
      </c>
      <c r="L1249">
        <v>14.74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8.0000000000000002E-3</v>
      </c>
      <c r="S1249">
        <v>5.7999999999999996E-3</v>
      </c>
      <c r="T1249">
        <v>0.183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1</v>
      </c>
      <c r="AA1249">
        <v>0</v>
      </c>
      <c r="AB1249">
        <v>0</v>
      </c>
      <c r="AC1249">
        <v>0</v>
      </c>
      <c r="AD1249">
        <v>730</v>
      </c>
      <c r="AE1249">
        <v>1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14.8734</v>
      </c>
      <c r="AV1249">
        <v>0.81221333333333334</v>
      </c>
      <c r="AW1249">
        <v>730.92660000000001</v>
      </c>
      <c r="BA1249">
        <v>32</v>
      </c>
      <c r="BD1249" t="s">
        <v>379</v>
      </c>
    </row>
    <row r="1250" spans="1:56" x14ac:dyDescent="0.3">
      <c r="A1250">
        <v>20045</v>
      </c>
      <c r="B1250">
        <v>0</v>
      </c>
      <c r="C1250">
        <v>81.75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7</v>
      </c>
      <c r="K1250">
        <v>0</v>
      </c>
      <c r="L1250">
        <v>10</v>
      </c>
      <c r="M1250">
        <v>0</v>
      </c>
      <c r="N1250">
        <v>0</v>
      </c>
      <c r="O1250">
        <v>0</v>
      </c>
      <c r="P1250">
        <v>0</v>
      </c>
      <c r="Q1250">
        <v>1.25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1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10</v>
      </c>
      <c r="AV1250">
        <v>1.1666666666666667</v>
      </c>
      <c r="AW1250">
        <v>767.82500000000005</v>
      </c>
      <c r="AX1250">
        <v>29.533999999999999</v>
      </c>
      <c r="BD1250" t="s">
        <v>380</v>
      </c>
    </row>
    <row r="1251" spans="1:56" x14ac:dyDescent="0.3">
      <c r="A1251">
        <v>20046</v>
      </c>
      <c r="B1251">
        <v>1</v>
      </c>
      <c r="C1251">
        <v>80</v>
      </c>
      <c r="D1251">
        <v>0</v>
      </c>
      <c r="E1251">
        <v>0</v>
      </c>
      <c r="F1251">
        <v>0</v>
      </c>
      <c r="G1251">
        <v>0</v>
      </c>
      <c r="H1251">
        <v>2</v>
      </c>
      <c r="I1251">
        <v>0</v>
      </c>
      <c r="J1251">
        <v>6</v>
      </c>
      <c r="K1251">
        <v>0</v>
      </c>
      <c r="L1251">
        <v>12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1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17.8</v>
      </c>
      <c r="AV1251">
        <v>1</v>
      </c>
      <c r="AW1251">
        <v>695.80000000000007</v>
      </c>
      <c r="AX1251">
        <v>107.1</v>
      </c>
      <c r="AY1251">
        <v>1291</v>
      </c>
      <c r="BA1251">
        <v>1.3</v>
      </c>
      <c r="BB1251">
        <v>488</v>
      </c>
      <c r="BD1251" t="s">
        <v>381</v>
      </c>
    </row>
    <row r="1252" spans="1:56" x14ac:dyDescent="0.3">
      <c r="A1252">
        <v>20047</v>
      </c>
      <c r="B1252">
        <v>1</v>
      </c>
      <c r="C1252">
        <v>80</v>
      </c>
      <c r="D1252">
        <v>0</v>
      </c>
      <c r="E1252">
        <v>0</v>
      </c>
      <c r="F1252">
        <v>0</v>
      </c>
      <c r="G1252">
        <v>0</v>
      </c>
      <c r="H1252">
        <v>2</v>
      </c>
      <c r="I1252">
        <v>0</v>
      </c>
      <c r="J1252">
        <v>6</v>
      </c>
      <c r="K1252">
        <v>0</v>
      </c>
      <c r="L1252">
        <v>12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1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17.8</v>
      </c>
      <c r="AV1252">
        <v>1</v>
      </c>
      <c r="AW1252">
        <v>695.80000000000007</v>
      </c>
      <c r="AX1252">
        <v>85.7</v>
      </c>
      <c r="AY1252">
        <v>1026</v>
      </c>
      <c r="AZ1252">
        <v>1026</v>
      </c>
      <c r="BA1252">
        <v>12.7</v>
      </c>
      <c r="BB1252">
        <v>343</v>
      </c>
      <c r="BD1252" t="s">
        <v>381</v>
      </c>
    </row>
    <row r="1253" spans="1:56" x14ac:dyDescent="0.3">
      <c r="A1253">
        <v>20048</v>
      </c>
      <c r="B1253">
        <v>1</v>
      </c>
      <c r="C1253">
        <v>80</v>
      </c>
      <c r="D1253">
        <v>0</v>
      </c>
      <c r="E1253">
        <v>0</v>
      </c>
      <c r="F1253">
        <v>0</v>
      </c>
      <c r="G1253">
        <v>0</v>
      </c>
      <c r="H1253">
        <v>2</v>
      </c>
      <c r="I1253">
        <v>0</v>
      </c>
      <c r="J1253">
        <v>6</v>
      </c>
      <c r="K1253">
        <v>0</v>
      </c>
      <c r="L1253">
        <v>12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1</v>
      </c>
      <c r="AA1253">
        <v>0</v>
      </c>
      <c r="AB1253">
        <v>0</v>
      </c>
      <c r="AC1253">
        <v>0</v>
      </c>
      <c r="AD1253">
        <v>1000</v>
      </c>
      <c r="AE1253">
        <v>1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17.8</v>
      </c>
      <c r="AV1253">
        <v>1</v>
      </c>
      <c r="AW1253">
        <v>695.80000000000007</v>
      </c>
      <c r="AX1253">
        <v>70.900000000000006</v>
      </c>
      <c r="AY1253">
        <v>988</v>
      </c>
      <c r="AZ1253">
        <v>943</v>
      </c>
      <c r="BA1253">
        <v>12</v>
      </c>
      <c r="BB1253">
        <v>326</v>
      </c>
      <c r="BD1253" t="s">
        <v>381</v>
      </c>
    </row>
    <row r="1254" spans="1:56" x14ac:dyDescent="0.3">
      <c r="A1254">
        <v>20049</v>
      </c>
      <c r="B1254">
        <v>1</v>
      </c>
      <c r="C1254">
        <v>83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2</v>
      </c>
      <c r="K1254">
        <v>4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1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1.1200000000000001</v>
      </c>
      <c r="AV1254">
        <v>0.33333333333333331</v>
      </c>
      <c r="AW1254">
        <v>868.2</v>
      </c>
      <c r="AX1254">
        <v>52</v>
      </c>
      <c r="AY1254">
        <v>483</v>
      </c>
      <c r="BA1254">
        <v>26</v>
      </c>
      <c r="BD1254" t="s">
        <v>375</v>
      </c>
    </row>
    <row r="1255" spans="1:56" x14ac:dyDescent="0.3">
      <c r="A1255">
        <v>20050</v>
      </c>
      <c r="B1255">
        <v>0</v>
      </c>
      <c r="C1255">
        <v>84.75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4</v>
      </c>
      <c r="K1255">
        <v>0</v>
      </c>
      <c r="L1255">
        <v>10</v>
      </c>
      <c r="M1255">
        <v>0</v>
      </c>
      <c r="N1255">
        <v>0</v>
      </c>
      <c r="O1255">
        <v>0</v>
      </c>
      <c r="P1255">
        <v>0</v>
      </c>
      <c r="Q1255">
        <v>1.25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1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10</v>
      </c>
      <c r="AV1255">
        <v>0.66666666666666663</v>
      </c>
      <c r="AW1255">
        <v>788.52499999999998</v>
      </c>
      <c r="AX1255">
        <v>23.085999999999999</v>
      </c>
      <c r="AY1255">
        <v>825</v>
      </c>
      <c r="BD1255" t="s">
        <v>380</v>
      </c>
    </row>
    <row r="1256" spans="1:56" x14ac:dyDescent="0.3">
      <c r="A1256">
        <v>20051</v>
      </c>
      <c r="B1256">
        <v>0</v>
      </c>
      <c r="C1256">
        <v>78.75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10</v>
      </c>
      <c r="K1256">
        <v>0</v>
      </c>
      <c r="L1256">
        <v>10</v>
      </c>
      <c r="M1256">
        <v>0</v>
      </c>
      <c r="N1256">
        <v>0</v>
      </c>
      <c r="O1256">
        <v>0</v>
      </c>
      <c r="P1256">
        <v>0</v>
      </c>
      <c r="Q1256">
        <v>1.25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1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10</v>
      </c>
      <c r="AV1256">
        <v>1.6666666666666667</v>
      </c>
      <c r="AW1256">
        <v>747.125</v>
      </c>
      <c r="AX1256">
        <v>28.370999999999999</v>
      </c>
      <c r="BD1256" t="s">
        <v>380</v>
      </c>
    </row>
    <row r="1257" spans="1:56" x14ac:dyDescent="0.3">
      <c r="A1257">
        <v>20052</v>
      </c>
      <c r="B1257">
        <v>1</v>
      </c>
      <c r="C1257">
        <v>77.77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6</v>
      </c>
      <c r="K1257">
        <v>0</v>
      </c>
      <c r="L1257">
        <v>11.5</v>
      </c>
      <c r="M1257">
        <v>4.5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0.05</v>
      </c>
      <c r="T1257">
        <v>0.18</v>
      </c>
      <c r="U1257">
        <v>0</v>
      </c>
      <c r="V1257">
        <v>0</v>
      </c>
      <c r="W1257">
        <v>1</v>
      </c>
      <c r="X1257">
        <v>0</v>
      </c>
      <c r="Y1257">
        <v>43.333333333333336</v>
      </c>
      <c r="Z1257">
        <v>0</v>
      </c>
      <c r="AA1257">
        <v>1</v>
      </c>
      <c r="AB1257">
        <v>0</v>
      </c>
      <c r="AC1257">
        <v>0</v>
      </c>
      <c r="AD1257">
        <v>730</v>
      </c>
      <c r="AE1257">
        <v>0.25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11.5</v>
      </c>
      <c r="AV1257">
        <v>2.5230000000000001</v>
      </c>
      <c r="AW1257">
        <v>772.39</v>
      </c>
      <c r="AX1257">
        <v>79</v>
      </c>
      <c r="BD1257" t="s">
        <v>382</v>
      </c>
    </row>
    <row r="1258" spans="1:56" x14ac:dyDescent="0.3">
      <c r="A1258">
        <v>20053</v>
      </c>
      <c r="B1258">
        <v>1</v>
      </c>
      <c r="C1258">
        <v>77.77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6</v>
      </c>
      <c r="K1258">
        <v>0</v>
      </c>
      <c r="L1258">
        <v>11.5</v>
      </c>
      <c r="M1258">
        <v>4.5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0.05</v>
      </c>
      <c r="T1258">
        <v>0.18</v>
      </c>
      <c r="U1258">
        <v>0</v>
      </c>
      <c r="V1258">
        <v>0</v>
      </c>
      <c r="W1258">
        <v>1</v>
      </c>
      <c r="X1258">
        <v>0</v>
      </c>
      <c r="Y1258">
        <v>43.333333333333336</v>
      </c>
      <c r="Z1258">
        <v>0</v>
      </c>
      <c r="AA1258">
        <v>1</v>
      </c>
      <c r="AB1258">
        <v>0</v>
      </c>
      <c r="AC1258">
        <v>0</v>
      </c>
      <c r="AD1258">
        <v>730</v>
      </c>
      <c r="AE1258">
        <v>0.25</v>
      </c>
      <c r="AF1258">
        <v>0</v>
      </c>
      <c r="AG1258">
        <v>0</v>
      </c>
      <c r="AH1258">
        <v>0</v>
      </c>
      <c r="AI1258">
        <v>510</v>
      </c>
      <c r="AJ1258">
        <v>8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11.5</v>
      </c>
      <c r="AV1258">
        <v>2.5230000000000001</v>
      </c>
      <c r="AW1258">
        <v>772.39</v>
      </c>
      <c r="AX1258">
        <v>108</v>
      </c>
      <c r="BD1258" t="s">
        <v>382</v>
      </c>
    </row>
    <row r="1259" spans="1:56" x14ac:dyDescent="0.3">
      <c r="A1259">
        <v>20054</v>
      </c>
      <c r="B1259">
        <v>1</v>
      </c>
      <c r="C1259">
        <v>78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22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1</v>
      </c>
      <c r="X1259">
        <v>0</v>
      </c>
      <c r="Y1259">
        <v>85</v>
      </c>
      <c r="Z1259">
        <v>0</v>
      </c>
      <c r="AA1259">
        <v>1</v>
      </c>
      <c r="AB1259">
        <v>0</v>
      </c>
      <c r="AC1259">
        <v>0</v>
      </c>
      <c r="AD1259">
        <v>1000</v>
      </c>
      <c r="AE1259">
        <v>10</v>
      </c>
      <c r="AF1259">
        <v>0</v>
      </c>
      <c r="AG1259">
        <v>0</v>
      </c>
      <c r="AH1259">
        <v>0</v>
      </c>
      <c r="AI1259">
        <v>950</v>
      </c>
      <c r="AJ1259">
        <v>1</v>
      </c>
      <c r="AK1259">
        <v>1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6.16</v>
      </c>
      <c r="AV1259">
        <v>0</v>
      </c>
      <c r="AW1259">
        <v>882</v>
      </c>
      <c r="AX1259">
        <v>72</v>
      </c>
      <c r="AY1259">
        <v>400</v>
      </c>
      <c r="AZ1259">
        <v>600</v>
      </c>
      <c r="BA1259">
        <v>31.5</v>
      </c>
      <c r="BD1259" t="s">
        <v>383</v>
      </c>
    </row>
    <row r="1260" spans="1:56" x14ac:dyDescent="0.3">
      <c r="A1260">
        <v>20055</v>
      </c>
      <c r="B1260">
        <v>1</v>
      </c>
      <c r="C1260">
        <v>61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39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1</v>
      </c>
      <c r="X1260">
        <v>0</v>
      </c>
      <c r="Y1260">
        <v>89</v>
      </c>
      <c r="Z1260">
        <v>0</v>
      </c>
      <c r="AA1260">
        <v>1</v>
      </c>
      <c r="AB1260">
        <v>0</v>
      </c>
      <c r="AC1260">
        <v>0</v>
      </c>
      <c r="AD1260">
        <v>950</v>
      </c>
      <c r="AE1260">
        <v>5</v>
      </c>
      <c r="AF1260">
        <v>0</v>
      </c>
      <c r="AG1260">
        <v>0</v>
      </c>
      <c r="AH1260">
        <v>0</v>
      </c>
      <c r="AI1260">
        <v>800</v>
      </c>
      <c r="AJ1260">
        <v>1</v>
      </c>
      <c r="AK1260">
        <v>1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10.920000000000002</v>
      </c>
      <c r="AV1260">
        <v>0</v>
      </c>
      <c r="AW1260">
        <v>882</v>
      </c>
      <c r="AX1260">
        <v>45</v>
      </c>
      <c r="AY1260">
        <v>156</v>
      </c>
      <c r="AZ1260">
        <v>500</v>
      </c>
      <c r="BD1260" t="s">
        <v>384</v>
      </c>
    </row>
    <row r="1261" spans="1:56" x14ac:dyDescent="0.3">
      <c r="A1261">
        <v>20056</v>
      </c>
      <c r="B1261">
        <v>1</v>
      </c>
      <c r="C1261">
        <v>61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39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1</v>
      </c>
      <c r="X1261">
        <v>0</v>
      </c>
      <c r="Y1261">
        <v>89</v>
      </c>
      <c r="Z1261">
        <v>0</v>
      </c>
      <c r="AA1261">
        <v>1</v>
      </c>
      <c r="AB1261">
        <v>0</v>
      </c>
      <c r="AC1261">
        <v>0</v>
      </c>
      <c r="AD1261">
        <v>950</v>
      </c>
      <c r="AE1261">
        <v>5</v>
      </c>
      <c r="AF1261">
        <v>0</v>
      </c>
      <c r="AG1261">
        <v>0</v>
      </c>
      <c r="AH1261">
        <v>0</v>
      </c>
      <c r="AI1261">
        <v>250</v>
      </c>
      <c r="AJ1261">
        <v>0.5</v>
      </c>
      <c r="AK1261">
        <v>1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10.920000000000002</v>
      </c>
      <c r="AV1261">
        <v>0</v>
      </c>
      <c r="AW1261">
        <v>882</v>
      </c>
      <c r="AX1261">
        <v>39</v>
      </c>
      <c r="AY1261">
        <v>410</v>
      </c>
      <c r="AZ1261">
        <v>745</v>
      </c>
      <c r="BD1261" t="s">
        <v>385</v>
      </c>
    </row>
    <row r="1262" spans="1:56" x14ac:dyDescent="0.3">
      <c r="A1262">
        <v>20057</v>
      </c>
      <c r="B1262">
        <v>1</v>
      </c>
      <c r="C1262">
        <v>55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45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12.600000000000001</v>
      </c>
      <c r="AV1262">
        <v>0</v>
      </c>
      <c r="AW1262">
        <v>882</v>
      </c>
      <c r="AX1262">
        <v>65</v>
      </c>
      <c r="BD1262" t="s">
        <v>386</v>
      </c>
    </row>
    <row r="1263" spans="1:56" x14ac:dyDescent="0.3">
      <c r="A1263">
        <v>20058</v>
      </c>
      <c r="B1263">
        <v>1</v>
      </c>
      <c r="C1263">
        <v>88.5</v>
      </c>
      <c r="D1263">
        <v>0</v>
      </c>
      <c r="E1263">
        <v>0</v>
      </c>
      <c r="F1263">
        <v>0</v>
      </c>
      <c r="G1263">
        <v>0</v>
      </c>
      <c r="H1263">
        <v>0.5</v>
      </c>
      <c r="I1263">
        <v>0</v>
      </c>
      <c r="J1263">
        <v>0</v>
      </c>
      <c r="K1263">
        <v>11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1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4.53</v>
      </c>
      <c r="AV1263">
        <v>0</v>
      </c>
      <c r="AW1263">
        <v>874.3</v>
      </c>
      <c r="AX1263">
        <v>109</v>
      </c>
      <c r="AY1263">
        <v>796</v>
      </c>
      <c r="BA1263">
        <v>18</v>
      </c>
      <c r="BB1263">
        <v>278</v>
      </c>
      <c r="BD1263" t="s">
        <v>387</v>
      </c>
    </row>
    <row r="1264" spans="1:56" x14ac:dyDescent="0.3">
      <c r="A1264">
        <v>20059</v>
      </c>
      <c r="B1264">
        <v>1</v>
      </c>
      <c r="C1264">
        <v>85.5</v>
      </c>
      <c r="D1264">
        <v>0</v>
      </c>
      <c r="E1264">
        <v>0</v>
      </c>
      <c r="F1264">
        <v>0</v>
      </c>
      <c r="G1264">
        <v>0</v>
      </c>
      <c r="H1264">
        <v>3.5</v>
      </c>
      <c r="I1264">
        <v>0</v>
      </c>
      <c r="J1264">
        <v>0</v>
      </c>
      <c r="K1264">
        <v>11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1</v>
      </c>
      <c r="W1264">
        <v>0</v>
      </c>
      <c r="X1264">
        <v>0</v>
      </c>
      <c r="Y1264">
        <v>0</v>
      </c>
      <c r="Z1264">
        <v>1</v>
      </c>
      <c r="AA1264">
        <v>0</v>
      </c>
      <c r="AB1264">
        <v>0</v>
      </c>
      <c r="AC1264">
        <v>0</v>
      </c>
      <c r="AD1264">
        <v>750</v>
      </c>
      <c r="AE1264">
        <v>0.16666666666666666</v>
      </c>
      <c r="AF1264">
        <v>1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13.23</v>
      </c>
      <c r="AV1264">
        <v>0</v>
      </c>
      <c r="AW1264">
        <v>828.1</v>
      </c>
      <c r="AX1264">
        <v>101</v>
      </c>
      <c r="AY1264">
        <v>932</v>
      </c>
      <c r="BA1264">
        <v>29</v>
      </c>
      <c r="BB1264">
        <v>303</v>
      </c>
      <c r="BD1264" t="s">
        <v>387</v>
      </c>
    </row>
    <row r="1265" spans="1:56" x14ac:dyDescent="0.3">
      <c r="A1265">
        <v>20060</v>
      </c>
      <c r="B1265">
        <v>1</v>
      </c>
      <c r="C1265">
        <v>83</v>
      </c>
      <c r="D1265">
        <v>0</v>
      </c>
      <c r="E1265">
        <v>0</v>
      </c>
      <c r="F1265">
        <v>0</v>
      </c>
      <c r="G1265">
        <v>0</v>
      </c>
      <c r="H1265">
        <v>6</v>
      </c>
      <c r="I1265">
        <v>0</v>
      </c>
      <c r="J1265">
        <v>0</v>
      </c>
      <c r="K1265">
        <v>11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1</v>
      </c>
      <c r="W1265">
        <v>0</v>
      </c>
      <c r="X1265">
        <v>0</v>
      </c>
      <c r="Y1265">
        <v>0</v>
      </c>
      <c r="Z1265">
        <v>1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20.479999999999997</v>
      </c>
      <c r="AV1265">
        <v>0</v>
      </c>
      <c r="AW1265">
        <v>789.6</v>
      </c>
      <c r="AX1265">
        <v>89</v>
      </c>
      <c r="AY1265">
        <v>1137</v>
      </c>
      <c r="BA1265">
        <v>36</v>
      </c>
      <c r="BB1265">
        <v>357</v>
      </c>
      <c r="BD1265" t="s">
        <v>387</v>
      </c>
    </row>
    <row r="1266" spans="1:56" x14ac:dyDescent="0.3">
      <c r="A1266">
        <v>20061</v>
      </c>
      <c r="B1266">
        <v>1</v>
      </c>
      <c r="C1266">
        <v>80</v>
      </c>
      <c r="D1266">
        <v>0</v>
      </c>
      <c r="E1266">
        <v>0</v>
      </c>
      <c r="F1266">
        <v>0</v>
      </c>
      <c r="G1266">
        <v>0</v>
      </c>
      <c r="H1266">
        <v>9</v>
      </c>
      <c r="I1266">
        <v>0</v>
      </c>
      <c r="J1266">
        <v>0</v>
      </c>
      <c r="K1266">
        <v>11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0</v>
      </c>
      <c r="X1266">
        <v>0</v>
      </c>
      <c r="Y1266">
        <v>0</v>
      </c>
      <c r="Z1266">
        <v>1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29.18</v>
      </c>
      <c r="AV1266">
        <v>0</v>
      </c>
      <c r="AW1266">
        <v>743.4</v>
      </c>
      <c r="AX1266">
        <v>82</v>
      </c>
      <c r="AY1266">
        <v>1078</v>
      </c>
      <c r="BA1266">
        <v>38</v>
      </c>
      <c r="BB1266">
        <v>334</v>
      </c>
      <c r="BD1266" t="s">
        <v>387</v>
      </c>
    </row>
    <row r="1267" spans="1:56" x14ac:dyDescent="0.3">
      <c r="A1267">
        <v>20062</v>
      </c>
      <c r="B1267">
        <v>1</v>
      </c>
      <c r="C1267">
        <v>82</v>
      </c>
      <c r="D1267">
        <v>0</v>
      </c>
      <c r="E1267">
        <v>0</v>
      </c>
      <c r="F1267">
        <v>0</v>
      </c>
      <c r="G1267">
        <v>0</v>
      </c>
      <c r="H1267">
        <v>7</v>
      </c>
      <c r="I1267">
        <v>0</v>
      </c>
      <c r="J1267">
        <v>0</v>
      </c>
      <c r="K1267">
        <v>11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1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23.380000000000003</v>
      </c>
      <c r="AV1267">
        <v>0</v>
      </c>
      <c r="AW1267">
        <v>774.2</v>
      </c>
      <c r="AX1267">
        <v>86</v>
      </c>
      <c r="AY1267">
        <v>985</v>
      </c>
      <c r="AZ1267">
        <v>2006</v>
      </c>
      <c r="BA1267">
        <v>41.5</v>
      </c>
      <c r="BD1267" t="s">
        <v>359</v>
      </c>
    </row>
    <row r="1268" spans="1:56" x14ac:dyDescent="0.3">
      <c r="A1268">
        <v>20063</v>
      </c>
      <c r="B1268">
        <v>1</v>
      </c>
      <c r="C1268">
        <v>82</v>
      </c>
      <c r="D1268">
        <v>0</v>
      </c>
      <c r="E1268">
        <v>0</v>
      </c>
      <c r="F1268">
        <v>0</v>
      </c>
      <c r="G1268">
        <v>0</v>
      </c>
      <c r="H1268">
        <v>3</v>
      </c>
      <c r="I1268">
        <v>0</v>
      </c>
      <c r="J1268">
        <v>0</v>
      </c>
      <c r="K1268">
        <v>15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1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750</v>
      </c>
      <c r="AE1268">
        <v>0.16666666666666666</v>
      </c>
      <c r="AF1268">
        <v>1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12.899999999999999</v>
      </c>
      <c r="AV1268">
        <v>0</v>
      </c>
      <c r="AW1268">
        <v>835.8</v>
      </c>
      <c r="AX1268">
        <v>94</v>
      </c>
      <c r="AY1268">
        <v>695</v>
      </c>
      <c r="BD1268" t="s">
        <v>388</v>
      </c>
    </row>
    <row r="1269" spans="1:56" x14ac:dyDescent="0.3">
      <c r="A1269">
        <v>20064</v>
      </c>
      <c r="B1269">
        <v>1</v>
      </c>
      <c r="C1269">
        <v>78.5</v>
      </c>
      <c r="D1269">
        <v>0</v>
      </c>
      <c r="E1269">
        <v>0</v>
      </c>
      <c r="F1269">
        <v>0</v>
      </c>
      <c r="G1269">
        <v>0</v>
      </c>
      <c r="H1269">
        <v>2.5</v>
      </c>
      <c r="I1269">
        <v>0</v>
      </c>
      <c r="J1269">
        <v>0</v>
      </c>
      <c r="K1269">
        <v>19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1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750</v>
      </c>
      <c r="AE1269">
        <v>0.16666666666666666</v>
      </c>
      <c r="AF1269">
        <v>1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12.57</v>
      </c>
      <c r="AV1269">
        <v>0</v>
      </c>
      <c r="AW1269">
        <v>843.5</v>
      </c>
      <c r="AX1269">
        <v>90</v>
      </c>
      <c r="AY1269">
        <v>672</v>
      </c>
      <c r="BD1269" t="s">
        <v>388</v>
      </c>
    </row>
    <row r="1270" spans="1:56" x14ac:dyDescent="0.3">
      <c r="A1270">
        <v>20065</v>
      </c>
      <c r="B1270">
        <v>1</v>
      </c>
      <c r="C1270">
        <v>75</v>
      </c>
      <c r="D1270">
        <v>0</v>
      </c>
      <c r="E1270">
        <v>0</v>
      </c>
      <c r="F1270">
        <v>0</v>
      </c>
      <c r="G1270">
        <v>0</v>
      </c>
      <c r="H1270">
        <v>2</v>
      </c>
      <c r="I1270">
        <v>0</v>
      </c>
      <c r="J1270">
        <v>0</v>
      </c>
      <c r="K1270">
        <v>23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1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750</v>
      </c>
      <c r="AE1270">
        <v>0.16666666666666666</v>
      </c>
      <c r="AF1270">
        <v>1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12.24</v>
      </c>
      <c r="AV1270">
        <v>0</v>
      </c>
      <c r="AW1270">
        <v>851.2</v>
      </c>
      <c r="AX1270">
        <v>95</v>
      </c>
      <c r="AY1270">
        <v>604</v>
      </c>
      <c r="BD1270" t="s">
        <v>388</v>
      </c>
    </row>
    <row r="1271" spans="1:56" x14ac:dyDescent="0.3">
      <c r="A1271">
        <v>20066</v>
      </c>
      <c r="B1271">
        <v>1</v>
      </c>
      <c r="C1271">
        <v>70.7</v>
      </c>
      <c r="D1271">
        <v>0</v>
      </c>
      <c r="E1271">
        <v>0</v>
      </c>
      <c r="F1271">
        <v>0</v>
      </c>
      <c r="G1271">
        <v>0</v>
      </c>
      <c r="H1271">
        <v>2.12</v>
      </c>
      <c r="I1271">
        <v>0</v>
      </c>
      <c r="J1271">
        <v>0</v>
      </c>
      <c r="K1271">
        <v>27.18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1</v>
      </c>
      <c r="X1271">
        <v>0</v>
      </c>
      <c r="Y1271">
        <v>84</v>
      </c>
      <c r="Z1271">
        <v>0</v>
      </c>
      <c r="AA1271">
        <v>1</v>
      </c>
      <c r="AB1271">
        <v>0</v>
      </c>
      <c r="AC1271">
        <v>0</v>
      </c>
      <c r="AD1271">
        <v>1000</v>
      </c>
      <c r="AE1271">
        <v>1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13.7584</v>
      </c>
      <c r="AV1271">
        <v>0</v>
      </c>
      <c r="AW1271">
        <v>849.35199999999998</v>
      </c>
      <c r="AX1271">
        <v>83</v>
      </c>
      <c r="BD1271" t="s">
        <v>389</v>
      </c>
    </row>
    <row r="1272" spans="1:56" x14ac:dyDescent="0.3">
      <c r="A1272">
        <v>20067</v>
      </c>
      <c r="B1272">
        <v>1</v>
      </c>
      <c r="C1272">
        <v>71.5</v>
      </c>
      <c r="D1272">
        <v>0</v>
      </c>
      <c r="E1272">
        <v>0</v>
      </c>
      <c r="F1272">
        <v>0</v>
      </c>
      <c r="G1272">
        <v>0</v>
      </c>
      <c r="H1272">
        <v>1.5</v>
      </c>
      <c r="I1272">
        <v>0</v>
      </c>
      <c r="J1272">
        <v>0</v>
      </c>
      <c r="K1272">
        <v>27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750</v>
      </c>
      <c r="AE1272">
        <v>0.16666666666666666</v>
      </c>
      <c r="AF1272">
        <v>1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11.91</v>
      </c>
      <c r="AV1272">
        <v>0</v>
      </c>
      <c r="AW1272">
        <v>858.9</v>
      </c>
      <c r="AX1272">
        <v>81</v>
      </c>
      <c r="AY1272">
        <v>496</v>
      </c>
      <c r="BD1272" t="s">
        <v>388</v>
      </c>
    </row>
    <row r="1273" spans="1:56" x14ac:dyDescent="0.3">
      <c r="A1273">
        <v>20068</v>
      </c>
      <c r="B1273">
        <v>1</v>
      </c>
      <c r="C1273">
        <v>68</v>
      </c>
      <c r="D1273">
        <v>0</v>
      </c>
      <c r="E1273">
        <v>0</v>
      </c>
      <c r="F1273">
        <v>0</v>
      </c>
      <c r="G1273">
        <v>0</v>
      </c>
      <c r="H1273">
        <v>1</v>
      </c>
      <c r="I1273">
        <v>0</v>
      </c>
      <c r="J1273">
        <v>0</v>
      </c>
      <c r="K1273">
        <v>31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1</v>
      </c>
      <c r="W1273">
        <v>0</v>
      </c>
      <c r="X1273">
        <v>0</v>
      </c>
      <c r="Y1273">
        <v>0</v>
      </c>
      <c r="Z1273">
        <v>1</v>
      </c>
      <c r="AA1273">
        <v>0</v>
      </c>
      <c r="AB1273">
        <v>0</v>
      </c>
      <c r="AC1273">
        <v>0</v>
      </c>
      <c r="AD1273">
        <v>750</v>
      </c>
      <c r="AE1273">
        <v>0.16666666666666666</v>
      </c>
      <c r="AF1273">
        <v>1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11.580000000000002</v>
      </c>
      <c r="AV1273">
        <v>0</v>
      </c>
      <c r="AW1273">
        <v>866.6</v>
      </c>
      <c r="AX1273">
        <v>81</v>
      </c>
      <c r="AY1273">
        <v>477</v>
      </c>
      <c r="BD1273" t="s">
        <v>388</v>
      </c>
    </row>
    <row r="1274" spans="1:56" x14ac:dyDescent="0.3">
      <c r="A1274">
        <v>20069</v>
      </c>
      <c r="B1274">
        <v>1</v>
      </c>
      <c r="C1274">
        <v>84</v>
      </c>
      <c r="D1274">
        <v>0</v>
      </c>
      <c r="E1274">
        <v>0</v>
      </c>
      <c r="F1274">
        <v>0</v>
      </c>
      <c r="G1274">
        <v>0</v>
      </c>
      <c r="H1274">
        <v>7</v>
      </c>
      <c r="I1274">
        <v>0</v>
      </c>
      <c r="J1274">
        <v>0</v>
      </c>
      <c r="K1274">
        <v>9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1</v>
      </c>
      <c r="W1274">
        <v>0</v>
      </c>
      <c r="X1274">
        <v>0</v>
      </c>
      <c r="Y1274">
        <v>0</v>
      </c>
      <c r="Z1274">
        <v>1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22.82</v>
      </c>
      <c r="AV1274">
        <v>0</v>
      </c>
      <c r="AW1274">
        <v>774.2</v>
      </c>
      <c r="AX1274">
        <v>89</v>
      </c>
      <c r="AY1274">
        <v>1010</v>
      </c>
      <c r="AZ1274">
        <v>2007</v>
      </c>
      <c r="BA1274">
        <v>40.5</v>
      </c>
      <c r="BD1274" t="s">
        <v>387</v>
      </c>
    </row>
    <row r="1275" spans="1:56" x14ac:dyDescent="0.3">
      <c r="A1275">
        <v>20070</v>
      </c>
      <c r="B1275">
        <v>1</v>
      </c>
      <c r="C1275">
        <v>70.3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19.5</v>
      </c>
      <c r="L1275">
        <v>10.199999999999999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1</v>
      </c>
      <c r="W1275">
        <v>0</v>
      </c>
      <c r="X1275">
        <v>0</v>
      </c>
      <c r="Y1275">
        <v>0</v>
      </c>
      <c r="Z1275">
        <v>1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15.66</v>
      </c>
      <c r="AV1275">
        <v>0</v>
      </c>
      <c r="AW1275">
        <v>785.1</v>
      </c>
      <c r="AX1275">
        <v>62</v>
      </c>
      <c r="AY1275">
        <v>873</v>
      </c>
      <c r="AZ1275">
        <v>685</v>
      </c>
      <c r="BA1275">
        <v>0.44</v>
      </c>
      <c r="BD1275" t="s">
        <v>370</v>
      </c>
    </row>
    <row r="1276" spans="1:56" x14ac:dyDescent="0.3">
      <c r="A1276">
        <v>20071</v>
      </c>
      <c r="B1276">
        <v>1</v>
      </c>
      <c r="C1276">
        <v>64.099999999999994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26.7</v>
      </c>
      <c r="L1276">
        <v>9.1999999999999993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1</v>
      </c>
      <c r="W1276">
        <v>0</v>
      </c>
      <c r="X1276">
        <v>0</v>
      </c>
      <c r="Y1276">
        <v>0</v>
      </c>
      <c r="Z1276">
        <v>1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16.676000000000002</v>
      </c>
      <c r="AV1276">
        <v>0</v>
      </c>
      <c r="AW1276">
        <v>794.6</v>
      </c>
      <c r="AX1276">
        <v>71</v>
      </c>
      <c r="AY1276">
        <v>844</v>
      </c>
      <c r="AZ1276">
        <v>875</v>
      </c>
      <c r="BA1276">
        <v>3.1</v>
      </c>
      <c r="BD1276" t="s">
        <v>370</v>
      </c>
    </row>
    <row r="1277" spans="1:56" x14ac:dyDescent="0.3">
      <c r="A1277">
        <v>20072</v>
      </c>
      <c r="B1277">
        <v>1</v>
      </c>
      <c r="C1277">
        <v>49.8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38.1</v>
      </c>
      <c r="L1277">
        <v>12.1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22.768000000000001</v>
      </c>
      <c r="AV1277">
        <v>0</v>
      </c>
      <c r="AW1277">
        <v>767.05</v>
      </c>
      <c r="AX1277">
        <v>54.5</v>
      </c>
      <c r="AY1277">
        <v>581</v>
      </c>
      <c r="AZ1277">
        <v>663</v>
      </c>
      <c r="BB1277">
        <v>242</v>
      </c>
      <c r="BD1277" t="s">
        <v>390</v>
      </c>
    </row>
    <row r="1278" spans="1:56" x14ac:dyDescent="0.3">
      <c r="A1278">
        <v>20073</v>
      </c>
      <c r="B1278">
        <v>1</v>
      </c>
      <c r="C1278">
        <v>54.400000000000006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39.299999999999997</v>
      </c>
      <c r="L1278">
        <v>6.3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1</v>
      </c>
      <c r="W1278">
        <v>0</v>
      </c>
      <c r="X1278">
        <v>0</v>
      </c>
      <c r="Y1278">
        <v>0</v>
      </c>
      <c r="Z1278">
        <v>1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17.303999999999998</v>
      </c>
      <c r="AV1278">
        <v>0</v>
      </c>
      <c r="AW1278">
        <v>822.15</v>
      </c>
      <c r="AX1278">
        <v>63.6</v>
      </c>
      <c r="AY1278">
        <v>554</v>
      </c>
      <c r="AZ1278">
        <v>621</v>
      </c>
      <c r="BB1278">
        <v>211</v>
      </c>
      <c r="BD1278" t="s">
        <v>390</v>
      </c>
    </row>
    <row r="1279" spans="1:56" x14ac:dyDescent="0.3">
      <c r="A1279">
        <v>20074</v>
      </c>
      <c r="B1279">
        <v>1</v>
      </c>
      <c r="C1279">
        <v>52.099999999999994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38.700000000000003</v>
      </c>
      <c r="L1279">
        <v>9.1999999999999993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1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20.036000000000001</v>
      </c>
      <c r="AV1279">
        <v>0</v>
      </c>
      <c r="AW1279">
        <v>794.6</v>
      </c>
      <c r="AX1279">
        <v>55.7</v>
      </c>
      <c r="AY1279">
        <v>578</v>
      </c>
      <c r="AZ1279">
        <v>634</v>
      </c>
      <c r="BB1279">
        <v>218</v>
      </c>
      <c r="BD1279" t="s">
        <v>390</v>
      </c>
    </row>
    <row r="1280" spans="1:56" x14ac:dyDescent="0.3">
      <c r="A1280">
        <v>20075</v>
      </c>
      <c r="B1280">
        <v>1</v>
      </c>
      <c r="C1280">
        <v>56.9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39.9</v>
      </c>
      <c r="L1280">
        <v>3.2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1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14.372</v>
      </c>
      <c r="AV1280">
        <v>0</v>
      </c>
      <c r="AW1280">
        <v>851.6</v>
      </c>
      <c r="AX1280">
        <v>67</v>
      </c>
      <c r="AY1280">
        <v>481</v>
      </c>
      <c r="AZ1280">
        <v>535</v>
      </c>
      <c r="BB1280">
        <v>189</v>
      </c>
      <c r="BD1280" t="s">
        <v>390</v>
      </c>
    </row>
    <row r="1281" spans="1:56" x14ac:dyDescent="0.3">
      <c r="A1281">
        <v>20076</v>
      </c>
      <c r="B1281">
        <v>1</v>
      </c>
      <c r="C1281">
        <v>49.81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12.1</v>
      </c>
      <c r="L1281">
        <v>38.08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1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41.467999999999996</v>
      </c>
      <c r="AV1281">
        <v>0</v>
      </c>
      <c r="AW1281">
        <v>520.24</v>
      </c>
      <c r="AX1281">
        <v>54.5</v>
      </c>
      <c r="AZ1281">
        <v>663</v>
      </c>
      <c r="BB1281">
        <v>242</v>
      </c>
      <c r="BD1281" t="s">
        <v>390</v>
      </c>
    </row>
    <row r="1282" spans="1:56" x14ac:dyDescent="0.3">
      <c r="A1282">
        <v>20077</v>
      </c>
      <c r="B1282">
        <v>1</v>
      </c>
      <c r="C1282">
        <v>77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</v>
      </c>
      <c r="K1282">
        <v>15</v>
      </c>
      <c r="L1282">
        <v>3</v>
      </c>
      <c r="M1282">
        <v>2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1</v>
      </c>
      <c r="X1282">
        <v>0</v>
      </c>
      <c r="Y1282">
        <v>80</v>
      </c>
      <c r="Z1282">
        <v>0</v>
      </c>
      <c r="AA1282">
        <v>1</v>
      </c>
      <c r="AB1282">
        <v>0</v>
      </c>
      <c r="AC1282">
        <v>0</v>
      </c>
      <c r="AD1282">
        <v>610</v>
      </c>
      <c r="AE1282">
        <v>0.5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7.2</v>
      </c>
      <c r="AV1282">
        <v>1.1666666666666665</v>
      </c>
      <c r="AW1282">
        <v>841.19999999999993</v>
      </c>
      <c r="AX1282">
        <v>38</v>
      </c>
      <c r="BD1282" t="s">
        <v>391</v>
      </c>
    </row>
    <row r="1283" spans="1:56" x14ac:dyDescent="0.3">
      <c r="A1283">
        <v>20078</v>
      </c>
      <c r="B1283">
        <v>1</v>
      </c>
      <c r="C1283">
        <v>61.87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38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0.13</v>
      </c>
      <c r="U1283">
        <v>0</v>
      </c>
      <c r="V1283">
        <v>0</v>
      </c>
      <c r="W1283">
        <v>1</v>
      </c>
      <c r="X1283">
        <v>0</v>
      </c>
      <c r="Y1283">
        <v>80</v>
      </c>
      <c r="Z1283">
        <v>0</v>
      </c>
      <c r="AA1283">
        <v>1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10.64</v>
      </c>
      <c r="AV1283">
        <v>1.3000000000000001E-2</v>
      </c>
      <c r="AW1283">
        <v>897.99</v>
      </c>
      <c r="AX1283">
        <v>57</v>
      </c>
      <c r="AZ1283">
        <v>490</v>
      </c>
      <c r="BA1283">
        <v>35.200000000000003</v>
      </c>
      <c r="BD1283" t="s">
        <v>391</v>
      </c>
    </row>
    <row r="1284" spans="1:56" x14ac:dyDescent="0.3">
      <c r="A1284">
        <v>20079</v>
      </c>
      <c r="B1284">
        <v>1</v>
      </c>
      <c r="C1284">
        <v>61.76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38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0.24</v>
      </c>
      <c r="U1284">
        <v>0</v>
      </c>
      <c r="V1284">
        <v>0</v>
      </c>
      <c r="W1284">
        <v>1</v>
      </c>
      <c r="X1284">
        <v>0</v>
      </c>
      <c r="Y1284">
        <v>80</v>
      </c>
      <c r="Z1284">
        <v>0</v>
      </c>
      <c r="AA1284">
        <v>1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10.64</v>
      </c>
      <c r="AV1284">
        <v>2.4E-2</v>
      </c>
      <c r="AW1284">
        <v>911.52</v>
      </c>
      <c r="AX1284">
        <v>59</v>
      </c>
      <c r="AZ1284">
        <v>590</v>
      </c>
      <c r="BA1284">
        <v>35.5</v>
      </c>
      <c r="BD1284" t="s">
        <v>391</v>
      </c>
    </row>
    <row r="1285" spans="1:56" x14ac:dyDescent="0.3">
      <c r="A1285">
        <v>20080</v>
      </c>
      <c r="B1285">
        <v>1</v>
      </c>
      <c r="C1285">
        <v>61.54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38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0.46</v>
      </c>
      <c r="U1285">
        <v>0</v>
      </c>
      <c r="V1285">
        <v>0</v>
      </c>
      <c r="W1285">
        <v>1</v>
      </c>
      <c r="X1285">
        <v>0</v>
      </c>
      <c r="Y1285">
        <v>80</v>
      </c>
      <c r="Z1285">
        <v>0</v>
      </c>
      <c r="AA1285">
        <v>1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10.64</v>
      </c>
      <c r="AV1285">
        <v>4.5999999999999999E-2</v>
      </c>
      <c r="AW1285">
        <v>938.58</v>
      </c>
      <c r="AX1285">
        <v>62</v>
      </c>
      <c r="AZ1285">
        <v>780</v>
      </c>
      <c r="BA1285">
        <v>25</v>
      </c>
      <c r="BD1285" t="s">
        <v>391</v>
      </c>
    </row>
    <row r="1286" spans="1:56" x14ac:dyDescent="0.3">
      <c r="A1286">
        <v>20081</v>
      </c>
      <c r="B1286">
        <v>1</v>
      </c>
      <c r="C1286">
        <v>90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1</v>
      </c>
      <c r="W1286">
        <v>0</v>
      </c>
      <c r="X1286">
        <v>0</v>
      </c>
      <c r="Y1286">
        <v>0</v>
      </c>
      <c r="Z1286">
        <v>1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2.8000000000000003</v>
      </c>
      <c r="AV1286">
        <v>0</v>
      </c>
      <c r="AW1286">
        <v>882</v>
      </c>
      <c r="AX1286">
        <v>76</v>
      </c>
      <c r="BD1286" t="s">
        <v>392</v>
      </c>
    </row>
    <row r="1287" spans="1:56" x14ac:dyDescent="0.3">
      <c r="A1287">
        <v>20082</v>
      </c>
      <c r="B1287">
        <v>1</v>
      </c>
      <c r="C1287">
        <v>87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10</v>
      </c>
      <c r="L1287">
        <v>0</v>
      </c>
      <c r="M1287">
        <v>3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1</v>
      </c>
      <c r="W1287">
        <v>0</v>
      </c>
      <c r="X1287">
        <v>0</v>
      </c>
      <c r="Y1287">
        <v>0</v>
      </c>
      <c r="Z1287">
        <v>1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2.8000000000000003</v>
      </c>
      <c r="AV1287">
        <v>1</v>
      </c>
      <c r="AW1287">
        <v>894.6</v>
      </c>
      <c r="AX1287">
        <v>74</v>
      </c>
      <c r="BD1287" t="s">
        <v>392</v>
      </c>
    </row>
    <row r="1288" spans="1:56" x14ac:dyDescent="0.3">
      <c r="A1288">
        <v>20083</v>
      </c>
      <c r="B1288">
        <v>1</v>
      </c>
      <c r="C1288">
        <v>85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10</v>
      </c>
      <c r="L1288">
        <v>0</v>
      </c>
      <c r="M1288">
        <v>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1</v>
      </c>
      <c r="W1288">
        <v>0</v>
      </c>
      <c r="X1288">
        <v>0</v>
      </c>
      <c r="Y1288">
        <v>0</v>
      </c>
      <c r="Z1288">
        <v>1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2.8000000000000003</v>
      </c>
      <c r="AV1288">
        <v>1.6666666666666667</v>
      </c>
      <c r="AW1288">
        <v>903</v>
      </c>
      <c r="AX1288">
        <v>73.5</v>
      </c>
      <c r="BD1288" t="s">
        <v>392</v>
      </c>
    </row>
    <row r="1289" spans="1:56" x14ac:dyDescent="0.3">
      <c r="A1289">
        <v>20084</v>
      </c>
      <c r="B1289">
        <v>1</v>
      </c>
      <c r="C1289">
        <v>82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10</v>
      </c>
      <c r="L1289">
        <v>0</v>
      </c>
      <c r="M1289">
        <v>8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1</v>
      </c>
      <c r="W1289">
        <v>0</v>
      </c>
      <c r="X1289">
        <v>0</v>
      </c>
      <c r="Y1289">
        <v>0</v>
      </c>
      <c r="Z1289">
        <v>1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2.8000000000000003</v>
      </c>
      <c r="AV1289">
        <v>2.6666666666666665</v>
      </c>
      <c r="AW1289">
        <v>915.6</v>
      </c>
      <c r="AX1289">
        <v>73</v>
      </c>
      <c r="BD1289" t="s">
        <v>392</v>
      </c>
    </row>
    <row r="1290" spans="1:56" x14ac:dyDescent="0.3">
      <c r="A1290">
        <v>20085</v>
      </c>
      <c r="B1290">
        <v>1</v>
      </c>
      <c r="C1290">
        <v>72.760000000000005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16.62</v>
      </c>
      <c r="L1290">
        <v>0</v>
      </c>
      <c r="M1290">
        <v>10.62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1</v>
      </c>
      <c r="W1290">
        <v>0</v>
      </c>
      <c r="X1290">
        <v>0</v>
      </c>
      <c r="Y1290">
        <v>0</v>
      </c>
      <c r="Z1290">
        <v>1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4.6536000000000008</v>
      </c>
      <c r="AV1290">
        <v>3.5399999999999996</v>
      </c>
      <c r="AW1290">
        <v>926.60400000000004</v>
      </c>
      <c r="AX1290">
        <v>80</v>
      </c>
      <c r="AY1290">
        <v>787</v>
      </c>
      <c r="BA1290">
        <v>6.84</v>
      </c>
      <c r="BD1290" t="s">
        <v>383</v>
      </c>
    </row>
    <row r="1291" spans="1:56" x14ac:dyDescent="0.3">
      <c r="A1291">
        <v>20086</v>
      </c>
      <c r="B1291">
        <v>1</v>
      </c>
      <c r="C1291">
        <v>68.64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21.02</v>
      </c>
      <c r="L1291">
        <v>0</v>
      </c>
      <c r="M1291">
        <v>11.08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1</v>
      </c>
      <c r="W1291">
        <v>0</v>
      </c>
      <c r="X1291">
        <v>0</v>
      </c>
      <c r="Y1291">
        <v>0</v>
      </c>
      <c r="Z1291">
        <v>1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5.8856000000000002</v>
      </c>
      <c r="AV1291">
        <v>3.6933333333333334</v>
      </c>
      <c r="AW1291">
        <v>928.53600000000006</v>
      </c>
      <c r="AX1291">
        <v>75</v>
      </c>
      <c r="AY1291">
        <v>772</v>
      </c>
      <c r="BA1291">
        <v>9.4600000000000009</v>
      </c>
      <c r="BD1291" t="s">
        <v>383</v>
      </c>
    </row>
    <row r="1292" spans="1:56" x14ac:dyDescent="0.3">
      <c r="A1292">
        <v>20087</v>
      </c>
      <c r="B1292">
        <v>1</v>
      </c>
      <c r="C1292">
        <v>72.8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16.600000000000001</v>
      </c>
      <c r="L1292">
        <v>0</v>
      </c>
      <c r="M1292">
        <v>10.6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1</v>
      </c>
      <c r="W1292">
        <v>0</v>
      </c>
      <c r="X1292">
        <v>0</v>
      </c>
      <c r="Y1292">
        <v>0</v>
      </c>
      <c r="Z1292">
        <v>1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4.6480000000000006</v>
      </c>
      <c r="AV1292">
        <v>3.5333333333333332</v>
      </c>
      <c r="AW1292">
        <v>926.52</v>
      </c>
      <c r="AX1292">
        <v>80</v>
      </c>
      <c r="AY1292">
        <v>787</v>
      </c>
      <c r="BA1292">
        <v>6.84</v>
      </c>
      <c r="BB1292">
        <v>230</v>
      </c>
      <c r="BD1292" t="s">
        <v>383</v>
      </c>
    </row>
    <row r="1293" spans="1:56" x14ac:dyDescent="0.3">
      <c r="A1293">
        <v>20088</v>
      </c>
      <c r="B1293">
        <v>1</v>
      </c>
      <c r="C1293">
        <v>68.400000000000006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21.2</v>
      </c>
      <c r="L1293">
        <v>0</v>
      </c>
      <c r="M1293">
        <v>10.4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1</v>
      </c>
      <c r="W1293">
        <v>0</v>
      </c>
      <c r="X1293">
        <v>0</v>
      </c>
      <c r="Y1293">
        <v>0</v>
      </c>
      <c r="Z1293">
        <v>1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5.9359999999999999</v>
      </c>
      <c r="AV1293">
        <v>3.4666666666666668</v>
      </c>
      <c r="AW1293">
        <v>925.68000000000006</v>
      </c>
      <c r="AX1293">
        <v>75</v>
      </c>
      <c r="AY1293">
        <v>435</v>
      </c>
      <c r="BA1293">
        <v>3.71</v>
      </c>
      <c r="BB1293">
        <v>218</v>
      </c>
      <c r="BD1293" t="s">
        <v>383</v>
      </c>
    </row>
    <row r="1294" spans="1:56" x14ac:dyDescent="0.3">
      <c r="A1294">
        <v>20089</v>
      </c>
      <c r="B1294">
        <v>1</v>
      </c>
      <c r="C1294">
        <v>64.5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25.4</v>
      </c>
      <c r="L1294">
        <v>0</v>
      </c>
      <c r="M1294">
        <v>10.1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1</v>
      </c>
      <c r="W1294">
        <v>0</v>
      </c>
      <c r="X1294">
        <v>0</v>
      </c>
      <c r="Y1294">
        <v>0</v>
      </c>
      <c r="Z1294">
        <v>1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7.1120000000000001</v>
      </c>
      <c r="AV1294">
        <v>3.3666666666666667</v>
      </c>
      <c r="AW1294">
        <v>924.42</v>
      </c>
      <c r="AX1294">
        <v>62</v>
      </c>
      <c r="AY1294">
        <v>611</v>
      </c>
      <c r="BA1294">
        <v>5.3</v>
      </c>
      <c r="BB1294">
        <v>220</v>
      </c>
      <c r="BD1294" t="s">
        <v>383</v>
      </c>
    </row>
    <row r="1295" spans="1:56" x14ac:dyDescent="0.3">
      <c r="A1295">
        <v>20090</v>
      </c>
      <c r="B1295">
        <v>1</v>
      </c>
      <c r="C1295">
        <v>59.4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30.8</v>
      </c>
      <c r="L1295">
        <v>0</v>
      </c>
      <c r="M1295">
        <v>9.8000000000000007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1</v>
      </c>
      <c r="W1295">
        <v>0</v>
      </c>
      <c r="X1295">
        <v>0</v>
      </c>
      <c r="Y1295">
        <v>0</v>
      </c>
      <c r="Z1295">
        <v>1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8.6240000000000006</v>
      </c>
      <c r="AV1295">
        <v>3.2666666666666671</v>
      </c>
      <c r="AW1295">
        <v>923.16</v>
      </c>
      <c r="AX1295">
        <v>61</v>
      </c>
      <c r="AY1295">
        <v>772</v>
      </c>
      <c r="BA1295">
        <v>9.4600000000000009</v>
      </c>
      <c r="BB1295">
        <v>226</v>
      </c>
      <c r="BD1295" t="s">
        <v>393</v>
      </c>
    </row>
    <row r="1296" spans="1:56" x14ac:dyDescent="0.3">
      <c r="A1296">
        <v>20091</v>
      </c>
      <c r="B1296">
        <v>1</v>
      </c>
      <c r="C1296">
        <v>63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33</v>
      </c>
      <c r="L1296">
        <v>0</v>
      </c>
      <c r="M1296">
        <v>4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87</v>
      </c>
      <c r="Z1296">
        <v>0</v>
      </c>
      <c r="AA1296">
        <v>1</v>
      </c>
      <c r="AB1296">
        <v>0</v>
      </c>
      <c r="AC1296">
        <v>0</v>
      </c>
      <c r="AD1296">
        <v>800</v>
      </c>
      <c r="AE1296">
        <v>1</v>
      </c>
      <c r="AF1296">
        <v>1</v>
      </c>
      <c r="AG1296">
        <v>0</v>
      </c>
      <c r="AH1296">
        <v>0</v>
      </c>
      <c r="AI1296">
        <v>400</v>
      </c>
      <c r="AJ1296">
        <v>0.33333333333333331</v>
      </c>
      <c r="AK1296">
        <v>1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9.24</v>
      </c>
      <c r="AV1296">
        <v>1.3333333333333333</v>
      </c>
      <c r="AW1296">
        <v>898.8</v>
      </c>
      <c r="AX1296">
        <v>36</v>
      </c>
      <c r="AY1296">
        <v>763</v>
      </c>
      <c r="AZ1296">
        <v>853</v>
      </c>
      <c r="BD1296" t="s">
        <v>394</v>
      </c>
    </row>
    <row r="1297" spans="1:56" x14ac:dyDescent="0.3">
      <c r="A1297">
        <v>20092</v>
      </c>
      <c r="B1297">
        <v>1</v>
      </c>
      <c r="C1297">
        <v>61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35</v>
      </c>
      <c r="L1297">
        <v>0</v>
      </c>
      <c r="M1297">
        <v>4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1</v>
      </c>
      <c r="W1297">
        <v>0</v>
      </c>
      <c r="X1297">
        <v>0</v>
      </c>
      <c r="Y1297">
        <v>0</v>
      </c>
      <c r="Z1297">
        <v>1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9.8000000000000007</v>
      </c>
      <c r="AV1297">
        <v>1.3333333333333333</v>
      </c>
      <c r="AW1297">
        <v>898.8</v>
      </c>
      <c r="AX1297">
        <v>44</v>
      </c>
      <c r="BD1297" t="s">
        <v>395</v>
      </c>
    </row>
    <row r="1298" spans="1:56" x14ac:dyDescent="0.3">
      <c r="A1298">
        <v>20093</v>
      </c>
      <c r="B1298">
        <v>1</v>
      </c>
      <c r="C1298">
        <v>57.1</v>
      </c>
      <c r="D1298">
        <v>0</v>
      </c>
      <c r="E1298">
        <v>0</v>
      </c>
      <c r="F1298">
        <v>0</v>
      </c>
      <c r="G1298">
        <v>0</v>
      </c>
      <c r="H1298">
        <v>7.9</v>
      </c>
      <c r="I1298">
        <v>0</v>
      </c>
      <c r="J1298">
        <v>0</v>
      </c>
      <c r="K1298">
        <v>35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1</v>
      </c>
      <c r="W1298">
        <v>0</v>
      </c>
      <c r="X1298">
        <v>0</v>
      </c>
      <c r="Y1298">
        <v>0</v>
      </c>
      <c r="Z1298">
        <v>1</v>
      </c>
      <c r="AA1298">
        <v>0</v>
      </c>
      <c r="AB1298">
        <v>0</v>
      </c>
      <c r="AC1298">
        <v>0</v>
      </c>
      <c r="AD1298">
        <v>1150</v>
      </c>
      <c r="AE1298">
        <v>24</v>
      </c>
      <c r="AF1298">
        <v>0</v>
      </c>
      <c r="AG1298">
        <v>0</v>
      </c>
      <c r="AH1298">
        <v>0</v>
      </c>
      <c r="AI1298">
        <v>950</v>
      </c>
      <c r="AJ1298">
        <v>2</v>
      </c>
      <c r="AK1298">
        <v>1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32.71</v>
      </c>
      <c r="AV1298">
        <v>0</v>
      </c>
      <c r="AW1298">
        <v>760.34</v>
      </c>
      <c r="AX1298">
        <v>43</v>
      </c>
      <c r="BD1298" t="s">
        <v>394</v>
      </c>
    </row>
    <row r="1299" spans="1:56" x14ac:dyDescent="0.3">
      <c r="A1299">
        <v>20094</v>
      </c>
      <c r="B1299">
        <v>1</v>
      </c>
      <c r="C1299">
        <v>61</v>
      </c>
      <c r="D1299">
        <v>0</v>
      </c>
      <c r="E1299">
        <v>0</v>
      </c>
      <c r="F1299">
        <v>0</v>
      </c>
      <c r="G1299">
        <v>0</v>
      </c>
      <c r="H1299">
        <v>4</v>
      </c>
      <c r="I1299">
        <v>0</v>
      </c>
      <c r="J1299">
        <v>0</v>
      </c>
      <c r="K1299">
        <v>35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1</v>
      </c>
      <c r="W1299">
        <v>0</v>
      </c>
      <c r="X1299">
        <v>0</v>
      </c>
      <c r="Y1299">
        <v>0</v>
      </c>
      <c r="Z1299">
        <v>1</v>
      </c>
      <c r="AA1299">
        <v>0</v>
      </c>
      <c r="AB1299">
        <v>0</v>
      </c>
      <c r="AC1299">
        <v>0</v>
      </c>
      <c r="AD1299">
        <v>1150</v>
      </c>
      <c r="AE1299">
        <v>24</v>
      </c>
      <c r="AF1299">
        <v>0</v>
      </c>
      <c r="AG1299">
        <v>0</v>
      </c>
      <c r="AH1299">
        <v>0</v>
      </c>
      <c r="AI1299">
        <v>950</v>
      </c>
      <c r="AJ1299">
        <v>2</v>
      </c>
      <c r="AK1299">
        <v>1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21.4</v>
      </c>
      <c r="AV1299">
        <v>0</v>
      </c>
      <c r="AW1299">
        <v>820.4</v>
      </c>
      <c r="AX1299">
        <v>36</v>
      </c>
      <c r="BD1299" t="s">
        <v>396</v>
      </c>
    </row>
    <row r="1300" spans="1:56" x14ac:dyDescent="0.3">
      <c r="A1300">
        <v>20095</v>
      </c>
      <c r="B1300">
        <v>1</v>
      </c>
      <c r="C1300">
        <v>64.02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25.16</v>
      </c>
      <c r="L1300">
        <v>0</v>
      </c>
      <c r="M1300">
        <v>10.82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1</v>
      </c>
      <c r="W1300">
        <v>0</v>
      </c>
      <c r="X1300">
        <v>0</v>
      </c>
      <c r="Y1300">
        <v>0</v>
      </c>
      <c r="Z1300">
        <v>1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7.0448000000000004</v>
      </c>
      <c r="AV1300">
        <v>3.6066666666666669</v>
      </c>
      <c r="AW1300">
        <v>927.44399999999996</v>
      </c>
      <c r="AX1300">
        <v>62</v>
      </c>
      <c r="AY1300">
        <v>611</v>
      </c>
      <c r="BA1300">
        <v>5.3</v>
      </c>
      <c r="BD1300" t="s">
        <v>393</v>
      </c>
    </row>
    <row r="1301" spans="1:56" x14ac:dyDescent="0.3">
      <c r="A1301">
        <v>20096</v>
      </c>
      <c r="B1301">
        <v>1</v>
      </c>
      <c r="C1301">
        <v>58.98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30.51</v>
      </c>
      <c r="L1301">
        <v>0</v>
      </c>
      <c r="M1301">
        <v>10.51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1</v>
      </c>
      <c r="W1301">
        <v>0</v>
      </c>
      <c r="X1301">
        <v>0</v>
      </c>
      <c r="Y1301">
        <v>0</v>
      </c>
      <c r="Z1301">
        <v>1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8.5428000000000015</v>
      </c>
      <c r="AV1301">
        <v>3.5033333333333334</v>
      </c>
      <c r="AW1301">
        <v>926.14200000000005</v>
      </c>
      <c r="AX1301">
        <v>61</v>
      </c>
      <c r="AY1301">
        <v>435</v>
      </c>
      <c r="BA1301">
        <v>3.71</v>
      </c>
      <c r="BD1301" t="s">
        <v>393</v>
      </c>
    </row>
    <row r="1302" spans="1:56" x14ac:dyDescent="0.3">
      <c r="A1302">
        <v>20097</v>
      </c>
      <c r="B1302">
        <v>1</v>
      </c>
      <c r="C1302">
        <v>69.19</v>
      </c>
      <c r="D1302">
        <v>0</v>
      </c>
      <c r="E1302">
        <v>0</v>
      </c>
      <c r="F1302">
        <v>0</v>
      </c>
      <c r="G1302">
        <v>0</v>
      </c>
      <c r="H1302">
        <v>2.16</v>
      </c>
      <c r="I1302">
        <v>0</v>
      </c>
      <c r="J1302">
        <v>0</v>
      </c>
      <c r="K1302">
        <v>26.75</v>
      </c>
      <c r="L1302">
        <v>0</v>
      </c>
      <c r="M1302">
        <v>1.9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1</v>
      </c>
      <c r="X1302">
        <v>0</v>
      </c>
      <c r="Y1302">
        <v>84</v>
      </c>
      <c r="Z1302">
        <v>0</v>
      </c>
      <c r="AA1302">
        <v>1</v>
      </c>
      <c r="AB1302">
        <v>0</v>
      </c>
      <c r="AC1302">
        <v>0</v>
      </c>
      <c r="AD1302">
        <v>1000</v>
      </c>
      <c r="AE1302">
        <v>1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13.754000000000001</v>
      </c>
      <c r="AV1302">
        <v>0.6333333333333333</v>
      </c>
      <c r="AW1302">
        <v>856.71600000000001</v>
      </c>
      <c r="AX1302">
        <v>64</v>
      </c>
      <c r="BD1302" t="s">
        <v>389</v>
      </c>
    </row>
    <row r="1303" spans="1:56" x14ac:dyDescent="0.3">
      <c r="A1303">
        <v>20098</v>
      </c>
      <c r="B1303">
        <v>1</v>
      </c>
      <c r="C1303">
        <v>66.22999999999999</v>
      </c>
      <c r="D1303">
        <v>0</v>
      </c>
      <c r="E1303">
        <v>0</v>
      </c>
      <c r="F1303">
        <v>0</v>
      </c>
      <c r="G1303">
        <v>0</v>
      </c>
      <c r="H1303">
        <v>1.68</v>
      </c>
      <c r="I1303">
        <v>0</v>
      </c>
      <c r="J1303">
        <v>0</v>
      </c>
      <c r="K1303">
        <v>27.61</v>
      </c>
      <c r="L1303">
        <v>0</v>
      </c>
      <c r="M1303">
        <v>4.4800000000000004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1</v>
      </c>
      <c r="X1303">
        <v>0</v>
      </c>
      <c r="Y1303">
        <v>84</v>
      </c>
      <c r="Z1303">
        <v>0</v>
      </c>
      <c r="AA1303">
        <v>1</v>
      </c>
      <c r="AB1303">
        <v>0</v>
      </c>
      <c r="AC1303">
        <v>0</v>
      </c>
      <c r="AD1303">
        <v>1000</v>
      </c>
      <c r="AE1303">
        <v>1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12.6028</v>
      </c>
      <c r="AV1303">
        <v>1.4933333333333334</v>
      </c>
      <c r="AW1303">
        <v>874.94400000000007</v>
      </c>
      <c r="AX1303">
        <v>58</v>
      </c>
      <c r="BD1303" t="s">
        <v>389</v>
      </c>
    </row>
    <row r="1304" spans="1:56" x14ac:dyDescent="0.3">
      <c r="A1304">
        <v>20099</v>
      </c>
      <c r="B1304">
        <v>1</v>
      </c>
      <c r="C1304">
        <v>65.62</v>
      </c>
      <c r="D1304">
        <v>0</v>
      </c>
      <c r="E1304">
        <v>0</v>
      </c>
      <c r="F1304">
        <v>0</v>
      </c>
      <c r="G1304">
        <v>0</v>
      </c>
      <c r="H1304">
        <v>2.09</v>
      </c>
      <c r="I1304">
        <v>0</v>
      </c>
      <c r="J1304">
        <v>0</v>
      </c>
      <c r="K1304">
        <v>26.41</v>
      </c>
      <c r="L1304">
        <v>0</v>
      </c>
      <c r="M1304">
        <v>5.88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1</v>
      </c>
      <c r="X1304">
        <v>0</v>
      </c>
      <c r="Y1304">
        <v>84</v>
      </c>
      <c r="Z1304">
        <v>0</v>
      </c>
      <c r="AA1304">
        <v>1</v>
      </c>
      <c r="AB1304">
        <v>0</v>
      </c>
      <c r="AC1304">
        <v>0</v>
      </c>
      <c r="AD1304">
        <v>1000</v>
      </c>
      <c r="AE1304">
        <v>1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13.4558</v>
      </c>
      <c r="AV1304">
        <v>1.96</v>
      </c>
      <c r="AW1304">
        <v>874.51</v>
      </c>
      <c r="AX1304">
        <v>60</v>
      </c>
      <c r="BD1304" t="s">
        <v>389</v>
      </c>
    </row>
    <row r="1305" spans="1:56" x14ac:dyDescent="0.3">
      <c r="A1305">
        <v>20100</v>
      </c>
      <c r="B1305">
        <v>1</v>
      </c>
      <c r="C1305">
        <v>63.82</v>
      </c>
      <c r="D1305">
        <v>0</v>
      </c>
      <c r="E1305">
        <v>0</v>
      </c>
      <c r="F1305">
        <v>0</v>
      </c>
      <c r="G1305">
        <v>0</v>
      </c>
      <c r="H1305">
        <v>2.17</v>
      </c>
      <c r="I1305">
        <v>0</v>
      </c>
      <c r="J1305">
        <v>0</v>
      </c>
      <c r="K1305">
        <v>25.72</v>
      </c>
      <c r="L1305">
        <v>0</v>
      </c>
      <c r="M1305">
        <v>8.2899999999999991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1</v>
      </c>
      <c r="X1305">
        <v>0</v>
      </c>
      <c r="Y1305">
        <v>84</v>
      </c>
      <c r="Z1305">
        <v>0</v>
      </c>
      <c r="AA1305">
        <v>1</v>
      </c>
      <c r="AB1305">
        <v>0</v>
      </c>
      <c r="AC1305">
        <v>0</v>
      </c>
      <c r="AD1305">
        <v>1000</v>
      </c>
      <c r="AE1305">
        <v>1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13.494599999999998</v>
      </c>
      <c r="AV1305">
        <v>2.7633333333333332</v>
      </c>
      <c r="AW1305">
        <v>883.4</v>
      </c>
      <c r="AX1305">
        <v>63</v>
      </c>
      <c r="BD1305" t="s">
        <v>389</v>
      </c>
    </row>
    <row r="1306" spans="1:56" x14ac:dyDescent="0.3">
      <c r="A1306">
        <v>20101</v>
      </c>
      <c r="B1306">
        <v>1</v>
      </c>
      <c r="C1306">
        <v>69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25</v>
      </c>
      <c r="L1306">
        <v>2</v>
      </c>
      <c r="M1306">
        <v>4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1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9</v>
      </c>
      <c r="AV1306">
        <v>1.3333333333333333</v>
      </c>
      <c r="AW1306">
        <v>879.8</v>
      </c>
      <c r="AX1306">
        <v>65</v>
      </c>
      <c r="BD1306" t="s">
        <v>397</v>
      </c>
    </row>
    <row r="1307" spans="1:56" x14ac:dyDescent="0.3">
      <c r="A1307">
        <v>20102</v>
      </c>
      <c r="B1307">
        <v>1</v>
      </c>
      <c r="C1307">
        <v>73.8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4.9000000000000004</v>
      </c>
      <c r="K1307">
        <v>9.9</v>
      </c>
      <c r="L1307">
        <v>5.0999999999999996</v>
      </c>
      <c r="M1307">
        <v>6.3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1</v>
      </c>
      <c r="W1307">
        <v>0</v>
      </c>
      <c r="X1307">
        <v>0</v>
      </c>
      <c r="Y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7.8719999999999999</v>
      </c>
      <c r="AV1307">
        <v>2.916666666666667</v>
      </c>
      <c r="AW1307">
        <v>826.2</v>
      </c>
      <c r="AX1307">
        <v>59</v>
      </c>
      <c r="AY1307">
        <v>275</v>
      </c>
      <c r="AZ1307">
        <v>762</v>
      </c>
      <c r="BA1307">
        <v>13.8</v>
      </c>
      <c r="BD1307" t="s">
        <v>398</v>
      </c>
    </row>
    <row r="1308" spans="1:56" x14ac:dyDescent="0.3">
      <c r="A1308">
        <v>20103</v>
      </c>
      <c r="B1308">
        <v>1</v>
      </c>
      <c r="C1308">
        <v>68.8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4.9000000000000004</v>
      </c>
      <c r="K1308">
        <v>9.9</v>
      </c>
      <c r="L1308">
        <v>5.0999999999999996</v>
      </c>
      <c r="M1308">
        <v>6.3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1</v>
      </c>
      <c r="W1308">
        <v>0</v>
      </c>
      <c r="X1308">
        <v>0</v>
      </c>
      <c r="Y1308">
        <v>0</v>
      </c>
      <c r="Z1308">
        <v>1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7.8719999999999999</v>
      </c>
      <c r="AV1308">
        <v>2.916666666666667</v>
      </c>
      <c r="AW1308">
        <v>826.2</v>
      </c>
      <c r="AX1308">
        <v>59</v>
      </c>
      <c r="BD1308" t="s">
        <v>395</v>
      </c>
    </row>
    <row r="1309" spans="1:56" x14ac:dyDescent="0.3">
      <c r="A1309">
        <v>20104</v>
      </c>
      <c r="B1309">
        <v>1</v>
      </c>
      <c r="C1309">
        <v>68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5</v>
      </c>
      <c r="K1309">
        <v>15.2</v>
      </c>
      <c r="L1309">
        <v>5.3</v>
      </c>
      <c r="M1309">
        <v>6.5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1</v>
      </c>
      <c r="W1309">
        <v>0</v>
      </c>
      <c r="X1309">
        <v>0</v>
      </c>
      <c r="Y1309">
        <v>0</v>
      </c>
      <c r="Z1309">
        <v>1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9.5560000000000009</v>
      </c>
      <c r="AV1309">
        <v>3</v>
      </c>
      <c r="AW1309">
        <v>824.44999999999993</v>
      </c>
      <c r="AX1309">
        <v>55</v>
      </c>
      <c r="AY1309">
        <v>533</v>
      </c>
      <c r="AZ1309">
        <v>692</v>
      </c>
      <c r="BA1309">
        <v>14.2</v>
      </c>
      <c r="BD1309" t="s">
        <v>399</v>
      </c>
    </row>
    <row r="1310" spans="1:56" x14ac:dyDescent="0.3">
      <c r="A1310">
        <v>20105</v>
      </c>
      <c r="B1310">
        <v>1</v>
      </c>
      <c r="C1310">
        <v>68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</v>
      </c>
      <c r="K1310">
        <v>15.2</v>
      </c>
      <c r="L1310">
        <v>5.3</v>
      </c>
      <c r="M1310">
        <v>6.5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1</v>
      </c>
      <c r="W1310">
        <v>0</v>
      </c>
      <c r="X1310">
        <v>0</v>
      </c>
      <c r="Y1310">
        <v>0</v>
      </c>
      <c r="Z1310">
        <v>1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9.5560000000000009</v>
      </c>
      <c r="AV1310">
        <v>3</v>
      </c>
      <c r="AW1310">
        <v>824.44999999999993</v>
      </c>
      <c r="AX1310">
        <v>55</v>
      </c>
      <c r="BD1310" t="s">
        <v>395</v>
      </c>
    </row>
    <row r="1311" spans="1:56" x14ac:dyDescent="0.3">
      <c r="A1311">
        <v>20106</v>
      </c>
      <c r="B1311">
        <v>1</v>
      </c>
      <c r="C1311">
        <v>62.25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0.45</v>
      </c>
      <c r="K1311">
        <v>21.19</v>
      </c>
      <c r="L1311">
        <v>0</v>
      </c>
      <c r="M1311">
        <v>9.4700000000000006</v>
      </c>
      <c r="N1311">
        <v>0</v>
      </c>
      <c r="O1311">
        <v>6.64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0</v>
      </c>
      <c r="X1311">
        <v>0</v>
      </c>
      <c r="Y1311">
        <v>0</v>
      </c>
      <c r="Z1311">
        <v>1</v>
      </c>
      <c r="AA1311">
        <v>0</v>
      </c>
      <c r="AB1311">
        <v>0</v>
      </c>
      <c r="AC1311">
        <v>0</v>
      </c>
      <c r="AD1311">
        <v>1200</v>
      </c>
      <c r="AE1311">
        <v>30</v>
      </c>
      <c r="AF1311">
        <v>1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7.394000000000001</v>
      </c>
      <c r="AV1311">
        <v>3.2316666666666669</v>
      </c>
      <c r="AW1311">
        <v>918.66899999999998</v>
      </c>
      <c r="AX1311">
        <v>80.58</v>
      </c>
      <c r="BD1311" t="s">
        <v>400</v>
      </c>
    </row>
    <row r="1312" spans="1:56" x14ac:dyDescent="0.3">
      <c r="A1312">
        <v>20107</v>
      </c>
      <c r="B1312">
        <v>1</v>
      </c>
      <c r="C1312">
        <v>65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11.4</v>
      </c>
      <c r="K1312">
        <v>11.6</v>
      </c>
      <c r="L1312">
        <v>0</v>
      </c>
      <c r="M1312">
        <v>12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1</v>
      </c>
      <c r="W1312">
        <v>0</v>
      </c>
      <c r="X1312">
        <v>0</v>
      </c>
      <c r="Y1312">
        <v>0</v>
      </c>
      <c r="Z1312">
        <v>1</v>
      </c>
      <c r="AA1312">
        <v>0</v>
      </c>
      <c r="AB1312">
        <v>0</v>
      </c>
      <c r="AC1312">
        <v>0</v>
      </c>
      <c r="AD1312">
        <v>1200</v>
      </c>
      <c r="AE1312">
        <v>24</v>
      </c>
      <c r="AF1312">
        <v>1</v>
      </c>
      <c r="AG1312">
        <v>0</v>
      </c>
      <c r="AH1312">
        <v>0</v>
      </c>
      <c r="AI1312">
        <v>900</v>
      </c>
      <c r="AJ1312">
        <v>0.16666666666666666</v>
      </c>
      <c r="AK1312">
        <v>1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3.2480000000000002</v>
      </c>
      <c r="AV1312">
        <v>5.9</v>
      </c>
      <c r="AW1312">
        <v>853.74</v>
      </c>
      <c r="AX1312">
        <v>42.4</v>
      </c>
      <c r="BD1312" t="s">
        <v>401</v>
      </c>
    </row>
    <row r="1313" spans="1:56" x14ac:dyDescent="0.3">
      <c r="A1313">
        <v>20108</v>
      </c>
      <c r="B1313">
        <v>1</v>
      </c>
      <c r="C1313">
        <v>62.5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11.8</v>
      </c>
      <c r="K1313">
        <v>13.4</v>
      </c>
      <c r="L1313">
        <v>0</v>
      </c>
      <c r="M1313">
        <v>12.03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1</v>
      </c>
      <c r="W1313">
        <v>0</v>
      </c>
      <c r="X1313">
        <v>0</v>
      </c>
      <c r="Y1313">
        <v>0</v>
      </c>
      <c r="Z1313">
        <v>1</v>
      </c>
      <c r="AA1313">
        <v>0</v>
      </c>
      <c r="AB1313">
        <v>0</v>
      </c>
      <c r="AC1313">
        <v>0</v>
      </c>
      <c r="AD1313">
        <v>1200</v>
      </c>
      <c r="AE1313">
        <v>24</v>
      </c>
      <c r="AF1313">
        <v>1</v>
      </c>
      <c r="AG1313">
        <v>0</v>
      </c>
      <c r="AH1313">
        <v>0</v>
      </c>
      <c r="AI1313">
        <v>900</v>
      </c>
      <c r="AJ1313">
        <v>0.16666666666666666</v>
      </c>
      <c r="AK1313">
        <v>1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3.7520000000000007</v>
      </c>
      <c r="AV1313">
        <v>5.9766666666666666</v>
      </c>
      <c r="AW1313">
        <v>851.10599999999999</v>
      </c>
      <c r="AX1313">
        <v>51.6</v>
      </c>
      <c r="BD1313" t="s">
        <v>401</v>
      </c>
    </row>
    <row r="1314" spans="1:56" x14ac:dyDescent="0.3">
      <c r="A1314">
        <v>20109</v>
      </c>
      <c r="B1314">
        <v>1</v>
      </c>
      <c r="C1314">
        <v>61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11.9</v>
      </c>
      <c r="K1314">
        <v>15.5</v>
      </c>
      <c r="L1314">
        <v>0</v>
      </c>
      <c r="M1314">
        <v>11.6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0</v>
      </c>
      <c r="X1314">
        <v>0</v>
      </c>
      <c r="Y1314">
        <v>0</v>
      </c>
      <c r="Z1314">
        <v>1</v>
      </c>
      <c r="AA1314">
        <v>0</v>
      </c>
      <c r="AB1314">
        <v>0</v>
      </c>
      <c r="AC1314">
        <v>0</v>
      </c>
      <c r="AD1314">
        <v>1200</v>
      </c>
      <c r="AE1314">
        <v>24</v>
      </c>
      <c r="AF1314">
        <v>1</v>
      </c>
      <c r="AG1314">
        <v>0</v>
      </c>
      <c r="AH1314">
        <v>0</v>
      </c>
      <c r="AI1314">
        <v>900</v>
      </c>
      <c r="AJ1314">
        <v>0.16666666666666666</v>
      </c>
      <c r="AK1314">
        <v>1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4.3400000000000007</v>
      </c>
      <c r="AV1314">
        <v>5.85</v>
      </c>
      <c r="AW1314">
        <v>848.61</v>
      </c>
      <c r="AX1314">
        <v>71.3</v>
      </c>
      <c r="BD1314" t="s">
        <v>401</v>
      </c>
    </row>
    <row r="1315" spans="1:56" x14ac:dyDescent="0.3">
      <c r="A1315">
        <v>20110</v>
      </c>
      <c r="B1315">
        <v>1</v>
      </c>
      <c r="C1315">
        <v>62.9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4.8</v>
      </c>
      <c r="K1315">
        <v>17.7</v>
      </c>
      <c r="L1315">
        <v>0</v>
      </c>
      <c r="M1315">
        <v>14.6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1000</v>
      </c>
      <c r="Y1315">
        <v>0</v>
      </c>
      <c r="Z1315">
        <v>0</v>
      </c>
      <c r="AA1315">
        <v>1</v>
      </c>
      <c r="AB1315">
        <v>0</v>
      </c>
      <c r="AC1315">
        <v>0</v>
      </c>
      <c r="AD1315">
        <v>1200</v>
      </c>
      <c r="AE1315">
        <v>24</v>
      </c>
      <c r="AF1315">
        <v>1</v>
      </c>
      <c r="AG1315">
        <v>0</v>
      </c>
      <c r="AH1315">
        <v>0</v>
      </c>
      <c r="AI1315">
        <v>900</v>
      </c>
      <c r="AJ1315">
        <v>0.16666666666666666</v>
      </c>
      <c r="AK1315">
        <v>1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4.9560000000000004</v>
      </c>
      <c r="AV1315">
        <v>5.6666666666666661</v>
      </c>
      <c r="AW1315">
        <v>910.2</v>
      </c>
      <c r="AX1315">
        <v>52.5</v>
      </c>
      <c r="BD1315" t="s">
        <v>402</v>
      </c>
    </row>
    <row r="1316" spans="1:56" x14ac:dyDescent="0.3">
      <c r="A1316">
        <v>20111</v>
      </c>
      <c r="B1316">
        <v>1</v>
      </c>
      <c r="C1316">
        <v>64.099999999999994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4</v>
      </c>
      <c r="K1316">
        <v>24</v>
      </c>
      <c r="L1316">
        <v>0</v>
      </c>
      <c r="M1316">
        <v>7.9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X1316">
        <v>0</v>
      </c>
      <c r="Y1316">
        <v>0</v>
      </c>
      <c r="Z1316">
        <v>1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6.7200000000000006</v>
      </c>
      <c r="AV1316">
        <v>3.3</v>
      </c>
      <c r="AW1316">
        <v>887.57999999999993</v>
      </c>
      <c r="AX1316">
        <v>33</v>
      </c>
      <c r="BD1316" t="s">
        <v>395</v>
      </c>
    </row>
    <row r="1317" spans="1:56" x14ac:dyDescent="0.3">
      <c r="A1317">
        <v>20112</v>
      </c>
      <c r="B1317">
        <v>1</v>
      </c>
      <c r="C1317">
        <v>64.012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3.92</v>
      </c>
      <c r="K1317">
        <v>24.1</v>
      </c>
      <c r="L1317">
        <v>0</v>
      </c>
      <c r="M1317">
        <v>7.85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8.0000000000000002E-3</v>
      </c>
      <c r="T1317">
        <v>0.11</v>
      </c>
      <c r="U1317">
        <v>0</v>
      </c>
      <c r="V1317">
        <v>0</v>
      </c>
      <c r="W1317">
        <v>1</v>
      </c>
      <c r="X1317">
        <v>800</v>
      </c>
      <c r="Y1317">
        <v>50</v>
      </c>
      <c r="Z1317">
        <v>0</v>
      </c>
      <c r="AA1317">
        <v>1</v>
      </c>
      <c r="AB1317">
        <v>1</v>
      </c>
      <c r="AC1317">
        <v>0</v>
      </c>
      <c r="AD1317">
        <v>850</v>
      </c>
      <c r="AE1317">
        <v>0</v>
      </c>
      <c r="AF1317">
        <v>1</v>
      </c>
      <c r="AG1317">
        <v>1</v>
      </c>
      <c r="AH1317">
        <v>0</v>
      </c>
      <c r="AI1317">
        <v>800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6.7480000000000011</v>
      </c>
      <c r="AV1317">
        <v>3.2818000000000001</v>
      </c>
      <c r="AW1317">
        <v>901.452</v>
      </c>
      <c r="AX1317">
        <v>42</v>
      </c>
      <c r="AZ1317">
        <v>850</v>
      </c>
      <c r="BD1317" t="s">
        <v>403</v>
      </c>
    </row>
    <row r="1318" spans="1:56" x14ac:dyDescent="0.3">
      <c r="A1318">
        <v>20113</v>
      </c>
      <c r="B1318">
        <v>1</v>
      </c>
      <c r="C1318">
        <v>64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4</v>
      </c>
      <c r="K1318">
        <v>24</v>
      </c>
      <c r="L1318">
        <v>0</v>
      </c>
      <c r="M1318">
        <v>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1</v>
      </c>
      <c r="W1318">
        <v>0</v>
      </c>
      <c r="X1318">
        <v>0</v>
      </c>
      <c r="Y1318">
        <v>0</v>
      </c>
      <c r="Z1318">
        <v>1</v>
      </c>
      <c r="AA1318">
        <v>0</v>
      </c>
      <c r="AB1318">
        <v>0</v>
      </c>
      <c r="AC1318">
        <v>0</v>
      </c>
      <c r="AD1318">
        <v>1000</v>
      </c>
      <c r="AE1318">
        <v>1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6.7200000000000006</v>
      </c>
      <c r="AV1318">
        <v>3.333333333333333</v>
      </c>
      <c r="AW1318">
        <v>888</v>
      </c>
      <c r="AX1318">
        <v>56.9</v>
      </c>
      <c r="AZ1318">
        <v>795</v>
      </c>
      <c r="BD1318" t="s">
        <v>404</v>
      </c>
    </row>
    <row r="1319" spans="1:56" x14ac:dyDescent="0.3">
      <c r="A1319">
        <v>20114</v>
      </c>
      <c r="B1319">
        <v>1</v>
      </c>
      <c r="C1319">
        <v>64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4</v>
      </c>
      <c r="K1319">
        <v>24</v>
      </c>
      <c r="L1319">
        <v>0</v>
      </c>
      <c r="M1319">
        <v>8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1000</v>
      </c>
      <c r="AE1319">
        <v>1</v>
      </c>
      <c r="AF1319">
        <v>1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6.7200000000000006</v>
      </c>
      <c r="AV1319">
        <v>3.333333333333333</v>
      </c>
      <c r="AW1319">
        <v>888</v>
      </c>
      <c r="AX1319">
        <v>58.3</v>
      </c>
      <c r="AZ1319">
        <v>760</v>
      </c>
      <c r="BD1319" t="s">
        <v>404</v>
      </c>
    </row>
    <row r="1320" spans="1:56" x14ac:dyDescent="0.3">
      <c r="A1320">
        <v>20115</v>
      </c>
      <c r="B1320">
        <v>1</v>
      </c>
      <c r="C1320">
        <v>64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4</v>
      </c>
      <c r="K1320">
        <v>24</v>
      </c>
      <c r="L1320">
        <v>0</v>
      </c>
      <c r="M1320">
        <v>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1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1000</v>
      </c>
      <c r="AE1320">
        <v>1</v>
      </c>
      <c r="AF1320">
        <v>1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6.7200000000000006</v>
      </c>
      <c r="AV1320">
        <v>3.333333333333333</v>
      </c>
      <c r="AW1320">
        <v>888</v>
      </c>
      <c r="AX1320">
        <v>59.2</v>
      </c>
      <c r="AZ1320">
        <v>755</v>
      </c>
      <c r="BD1320" t="s">
        <v>404</v>
      </c>
    </row>
    <row r="1321" spans="1:56" x14ac:dyDescent="0.3">
      <c r="A1321">
        <v>20116</v>
      </c>
      <c r="B1321">
        <v>1</v>
      </c>
      <c r="C1321">
        <v>64.099999999999994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4</v>
      </c>
      <c r="K1321">
        <v>24</v>
      </c>
      <c r="L1321">
        <v>0</v>
      </c>
      <c r="M1321">
        <v>7.9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800</v>
      </c>
      <c r="Y1321">
        <v>50</v>
      </c>
      <c r="Z1321">
        <v>0</v>
      </c>
      <c r="AA1321">
        <v>1</v>
      </c>
      <c r="AB1321">
        <v>1</v>
      </c>
      <c r="AC1321">
        <v>0</v>
      </c>
      <c r="AD1321">
        <v>850</v>
      </c>
      <c r="AE1321">
        <v>0</v>
      </c>
      <c r="AF1321">
        <v>1</v>
      </c>
      <c r="AG1321">
        <v>1</v>
      </c>
      <c r="AH1321">
        <v>0</v>
      </c>
      <c r="AI1321">
        <v>800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6.7200000000000006</v>
      </c>
      <c r="AV1321">
        <v>3.3</v>
      </c>
      <c r="AW1321">
        <v>887.57999999999993</v>
      </c>
      <c r="AX1321">
        <v>42</v>
      </c>
      <c r="AZ1321">
        <v>850</v>
      </c>
      <c r="BD1321" t="s">
        <v>403</v>
      </c>
    </row>
    <row r="1322" spans="1:56" x14ac:dyDescent="0.3">
      <c r="A1322">
        <v>20117</v>
      </c>
      <c r="B1322">
        <v>1</v>
      </c>
      <c r="C1322">
        <v>71.3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4.4000000000000004</v>
      </c>
      <c r="K1322">
        <v>13.5</v>
      </c>
      <c r="L1322">
        <v>2.8</v>
      </c>
      <c r="M1322">
        <v>8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1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6.58</v>
      </c>
      <c r="AV1322">
        <v>3.4</v>
      </c>
      <c r="AW1322">
        <v>858.64</v>
      </c>
      <c r="AX1322">
        <v>46</v>
      </c>
      <c r="BD1322" t="s">
        <v>373</v>
      </c>
    </row>
    <row r="1323" spans="1:56" x14ac:dyDescent="0.3">
      <c r="A1323">
        <v>20118</v>
      </c>
      <c r="B1323">
        <v>1</v>
      </c>
      <c r="C1323">
        <v>64.3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5.7</v>
      </c>
      <c r="K1323">
        <v>14.6</v>
      </c>
      <c r="L1323">
        <v>0</v>
      </c>
      <c r="M1323">
        <v>9.9</v>
      </c>
      <c r="N1323">
        <v>0</v>
      </c>
      <c r="O1323">
        <v>5.5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1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5.298</v>
      </c>
      <c r="AV1323">
        <v>4.25</v>
      </c>
      <c r="AW1323">
        <v>884.25</v>
      </c>
      <c r="AX1323">
        <v>52.2</v>
      </c>
      <c r="BD1323" t="s">
        <v>405</v>
      </c>
    </row>
    <row r="1324" spans="1:56" x14ac:dyDescent="0.3">
      <c r="A1324">
        <v>20119</v>
      </c>
      <c r="B1324">
        <v>1</v>
      </c>
      <c r="C1324">
        <v>50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25</v>
      </c>
      <c r="L1324">
        <v>0</v>
      </c>
      <c r="M1324">
        <v>0</v>
      </c>
      <c r="N1324">
        <v>0</v>
      </c>
      <c r="O1324">
        <v>25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X1324">
        <v>0</v>
      </c>
      <c r="Y1324">
        <v>80</v>
      </c>
      <c r="Z1324">
        <v>0</v>
      </c>
      <c r="AA1324">
        <v>1</v>
      </c>
      <c r="AB1324">
        <v>0</v>
      </c>
      <c r="AC1324">
        <v>0</v>
      </c>
      <c r="AD1324">
        <v>950</v>
      </c>
      <c r="AE1324">
        <v>20</v>
      </c>
      <c r="AF1324">
        <v>1</v>
      </c>
      <c r="AG1324">
        <v>0</v>
      </c>
      <c r="AH1324">
        <v>0</v>
      </c>
      <c r="AI1324">
        <v>850</v>
      </c>
      <c r="AJ1324">
        <v>0.5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12.5</v>
      </c>
      <c r="AV1324">
        <v>0</v>
      </c>
      <c r="AW1324">
        <v>882</v>
      </c>
      <c r="AX1324">
        <v>55</v>
      </c>
      <c r="AZ1324">
        <v>530</v>
      </c>
      <c r="BA1324">
        <v>20</v>
      </c>
      <c r="BB1324">
        <v>145</v>
      </c>
      <c r="BD1324" t="s">
        <v>406</v>
      </c>
    </row>
    <row r="1325" spans="1:56" x14ac:dyDescent="0.3">
      <c r="A1325">
        <v>20120</v>
      </c>
      <c r="B1325">
        <v>1</v>
      </c>
      <c r="C1325">
        <v>67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16</v>
      </c>
      <c r="L1325">
        <v>4</v>
      </c>
      <c r="M1325">
        <v>0</v>
      </c>
      <c r="N1325">
        <v>0</v>
      </c>
      <c r="O1325">
        <v>13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1</v>
      </c>
      <c r="X1325">
        <v>0</v>
      </c>
      <c r="Y1325">
        <v>75</v>
      </c>
      <c r="Z1325">
        <v>0</v>
      </c>
      <c r="AA1325">
        <v>1</v>
      </c>
      <c r="AB1325">
        <v>0</v>
      </c>
      <c r="AC1325">
        <v>0</v>
      </c>
      <c r="AD1325">
        <v>1000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11.34</v>
      </c>
      <c r="AV1325">
        <v>0</v>
      </c>
      <c r="AW1325">
        <v>844</v>
      </c>
      <c r="AX1325">
        <v>43.5</v>
      </c>
      <c r="BD1325" t="s">
        <v>407</v>
      </c>
    </row>
    <row r="1326" spans="1:56" x14ac:dyDescent="0.3">
      <c r="A1326">
        <v>20121</v>
      </c>
      <c r="B1326">
        <v>1</v>
      </c>
      <c r="C1326">
        <v>54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29</v>
      </c>
      <c r="L1326">
        <v>4</v>
      </c>
      <c r="M1326">
        <v>0</v>
      </c>
      <c r="N1326">
        <v>0</v>
      </c>
      <c r="O1326">
        <v>13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1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14.98</v>
      </c>
      <c r="AV1326">
        <v>0</v>
      </c>
      <c r="AW1326">
        <v>844</v>
      </c>
      <c r="AX1326">
        <v>65</v>
      </c>
      <c r="BD1326" t="s">
        <v>408</v>
      </c>
    </row>
    <row r="1327" spans="1:56" x14ac:dyDescent="0.3">
      <c r="A1327">
        <v>20122</v>
      </c>
      <c r="B1327">
        <v>1</v>
      </c>
      <c r="C1327">
        <v>67.3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16.600000000000001</v>
      </c>
      <c r="L1327">
        <v>4.9000000000000004</v>
      </c>
      <c r="M1327">
        <v>2</v>
      </c>
      <c r="N1327">
        <v>0</v>
      </c>
      <c r="O1327">
        <v>9.1999999999999993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1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11.572000000000003</v>
      </c>
      <c r="AV1327">
        <v>0.66666666666666663</v>
      </c>
      <c r="AW1327">
        <v>843.85</v>
      </c>
      <c r="AX1327">
        <v>73</v>
      </c>
      <c r="BD1327" t="s">
        <v>383</v>
      </c>
    </row>
    <row r="1328" spans="1:56" x14ac:dyDescent="0.3">
      <c r="A1328">
        <v>20123</v>
      </c>
      <c r="B1328">
        <v>1</v>
      </c>
      <c r="C1328">
        <v>56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29</v>
      </c>
      <c r="L1328">
        <v>0</v>
      </c>
      <c r="M1328">
        <v>2</v>
      </c>
      <c r="N1328">
        <v>0</v>
      </c>
      <c r="O1328">
        <v>13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1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10.98</v>
      </c>
      <c r="AV1328">
        <v>0.66666666666666663</v>
      </c>
      <c r="AW1328">
        <v>890.4</v>
      </c>
      <c r="AX1328">
        <v>47</v>
      </c>
      <c r="BD1328" t="s">
        <v>407</v>
      </c>
    </row>
    <row r="1329" spans="1:56" x14ac:dyDescent="0.3">
      <c r="A1329">
        <v>20124</v>
      </c>
      <c r="B1329">
        <v>1</v>
      </c>
      <c r="C1329">
        <v>53.4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29</v>
      </c>
      <c r="L1329">
        <v>0</v>
      </c>
      <c r="M1329">
        <v>4.5999999999999996</v>
      </c>
      <c r="N1329">
        <v>0</v>
      </c>
      <c r="O1329">
        <v>13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1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10.98</v>
      </c>
      <c r="AV1329">
        <v>1.5333333333333332</v>
      </c>
      <c r="AW1329">
        <v>901.32</v>
      </c>
      <c r="AX1329">
        <v>55</v>
      </c>
      <c r="AY1329">
        <v>920</v>
      </c>
      <c r="BD1329" t="s">
        <v>407</v>
      </c>
    </row>
    <row r="1330" spans="1:56" x14ac:dyDescent="0.3">
      <c r="A1330">
        <v>20125</v>
      </c>
      <c r="B1330">
        <v>1</v>
      </c>
      <c r="C1330">
        <v>52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29</v>
      </c>
      <c r="L1330">
        <v>0</v>
      </c>
      <c r="M1330">
        <v>6</v>
      </c>
      <c r="N1330">
        <v>0</v>
      </c>
      <c r="O1330">
        <v>13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1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10.98</v>
      </c>
      <c r="AV1330">
        <v>2</v>
      </c>
      <c r="AW1330">
        <v>907.2</v>
      </c>
      <c r="AX1330">
        <v>74</v>
      </c>
      <c r="BD1330" t="s">
        <v>407</v>
      </c>
    </row>
    <row r="1331" spans="1:56" x14ac:dyDescent="0.3">
      <c r="A1331">
        <v>20126</v>
      </c>
      <c r="B1331">
        <v>1</v>
      </c>
      <c r="C1331">
        <v>60.7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4.2</v>
      </c>
      <c r="K1331">
        <v>21.2</v>
      </c>
      <c r="L1331">
        <v>0</v>
      </c>
      <c r="M1331">
        <v>5.4</v>
      </c>
      <c r="N1331">
        <v>0</v>
      </c>
      <c r="O1331">
        <v>8.1999999999999993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7.74</v>
      </c>
      <c r="AV1331">
        <v>2.5</v>
      </c>
      <c r="AW1331">
        <v>875.69999999999993</v>
      </c>
      <c r="AX1331">
        <v>47</v>
      </c>
      <c r="BD1331" t="s">
        <v>409</v>
      </c>
    </row>
    <row r="1332" spans="1:56" x14ac:dyDescent="0.3">
      <c r="A1332">
        <v>20127</v>
      </c>
      <c r="B1332">
        <v>1</v>
      </c>
      <c r="C1332">
        <v>71.099999999999994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3.4</v>
      </c>
      <c r="K1332">
        <v>17.399999999999999</v>
      </c>
      <c r="L1332">
        <v>0</v>
      </c>
      <c r="M1332">
        <v>0</v>
      </c>
      <c r="N1332">
        <v>0</v>
      </c>
      <c r="O1332">
        <v>8.1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1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6.6539999999999999</v>
      </c>
      <c r="AV1332">
        <v>0.56666666666666665</v>
      </c>
      <c r="AW1332">
        <v>858.54</v>
      </c>
      <c r="AX1332">
        <v>55.3</v>
      </c>
      <c r="BD1332" t="s">
        <v>383</v>
      </c>
    </row>
    <row r="1333" spans="1:56" x14ac:dyDescent="0.3">
      <c r="A1333">
        <v>20128</v>
      </c>
      <c r="B1333">
        <v>1</v>
      </c>
      <c r="C1333">
        <v>60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5</v>
      </c>
      <c r="K1333">
        <v>29</v>
      </c>
      <c r="L1333">
        <v>0</v>
      </c>
      <c r="M1333">
        <v>0</v>
      </c>
      <c r="N1333">
        <v>0</v>
      </c>
      <c r="O1333">
        <v>6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1</v>
      </c>
      <c r="W1333">
        <v>0</v>
      </c>
      <c r="X1333">
        <v>0</v>
      </c>
      <c r="Y1333">
        <v>0</v>
      </c>
      <c r="Z1333">
        <v>1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9.4400000000000013</v>
      </c>
      <c r="AV1333">
        <v>0.83333333333333337</v>
      </c>
      <c r="AW1333">
        <v>847.5</v>
      </c>
      <c r="AX1333">
        <v>43</v>
      </c>
      <c r="BD1333" t="s">
        <v>401</v>
      </c>
    </row>
    <row r="1334" spans="1:56" x14ac:dyDescent="0.3">
      <c r="A1334">
        <v>20129</v>
      </c>
      <c r="B1334">
        <v>1</v>
      </c>
      <c r="C1334">
        <v>50.9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7.1</v>
      </c>
      <c r="K1334">
        <v>29</v>
      </c>
      <c r="L1334">
        <v>0</v>
      </c>
      <c r="M1334">
        <v>0</v>
      </c>
      <c r="N1334">
        <v>0</v>
      </c>
      <c r="O1334">
        <v>13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1</v>
      </c>
      <c r="W1334">
        <v>0</v>
      </c>
      <c r="X1334">
        <v>0</v>
      </c>
      <c r="Y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10.98</v>
      </c>
      <c r="AV1334">
        <v>1.1833333333333333</v>
      </c>
      <c r="AW1334">
        <v>833.01</v>
      </c>
      <c r="AX1334">
        <v>55</v>
      </c>
      <c r="BD1334" t="s">
        <v>410</v>
      </c>
    </row>
    <row r="1335" spans="1:56" x14ac:dyDescent="0.3">
      <c r="A1335">
        <v>20130</v>
      </c>
      <c r="B1335">
        <v>1</v>
      </c>
      <c r="C1335">
        <v>55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5</v>
      </c>
      <c r="K1335">
        <v>29</v>
      </c>
      <c r="L1335">
        <v>0</v>
      </c>
      <c r="M1335">
        <v>0</v>
      </c>
      <c r="N1335">
        <v>0</v>
      </c>
      <c r="O1335">
        <v>11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1</v>
      </c>
      <c r="W1335">
        <v>0</v>
      </c>
      <c r="X1335">
        <v>0</v>
      </c>
      <c r="Y1335">
        <v>0</v>
      </c>
      <c r="Z1335">
        <v>1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10.540000000000001</v>
      </c>
      <c r="AV1335">
        <v>0.83333333333333337</v>
      </c>
      <c r="AW1335">
        <v>847.5</v>
      </c>
      <c r="AX1335">
        <v>50</v>
      </c>
      <c r="BD1335" t="s">
        <v>411</v>
      </c>
    </row>
    <row r="1336" spans="1:56" x14ac:dyDescent="0.3">
      <c r="A1336">
        <v>20131</v>
      </c>
      <c r="B1336">
        <v>1</v>
      </c>
      <c r="C1336">
        <v>53.5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4.5</v>
      </c>
      <c r="K1336">
        <v>29</v>
      </c>
      <c r="L1336">
        <v>0</v>
      </c>
      <c r="M1336">
        <v>0</v>
      </c>
      <c r="N1336">
        <v>0</v>
      </c>
      <c r="O1336">
        <v>13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1</v>
      </c>
      <c r="W1336">
        <v>0</v>
      </c>
      <c r="X1336">
        <v>0</v>
      </c>
      <c r="Y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10.98</v>
      </c>
      <c r="AV1336">
        <v>0.75</v>
      </c>
      <c r="AW1336">
        <v>850.95</v>
      </c>
      <c r="AX1336">
        <v>60</v>
      </c>
      <c r="BD1336" t="s">
        <v>411</v>
      </c>
    </row>
    <row r="1337" spans="1:56" x14ac:dyDescent="0.3">
      <c r="A1337">
        <v>20132</v>
      </c>
      <c r="B1337">
        <v>1</v>
      </c>
      <c r="C1337">
        <v>53.4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4.5999999999999996</v>
      </c>
      <c r="K1337">
        <v>29</v>
      </c>
      <c r="L1337">
        <v>0</v>
      </c>
      <c r="M1337">
        <v>0</v>
      </c>
      <c r="N1337">
        <v>0</v>
      </c>
      <c r="O1337">
        <v>13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1</v>
      </c>
      <c r="W1337">
        <v>0</v>
      </c>
      <c r="X1337">
        <v>0</v>
      </c>
      <c r="Y1337">
        <v>0</v>
      </c>
      <c r="Z1337">
        <v>1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10.98</v>
      </c>
      <c r="AV1337">
        <v>0.76666666666666661</v>
      </c>
      <c r="AW1337">
        <v>850.26</v>
      </c>
      <c r="AX1337">
        <v>47.8</v>
      </c>
      <c r="BD1337" t="s">
        <v>412</v>
      </c>
    </row>
    <row r="1338" spans="1:56" x14ac:dyDescent="0.3">
      <c r="A1338">
        <v>20133</v>
      </c>
      <c r="B1338">
        <v>1</v>
      </c>
      <c r="C1338">
        <v>60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</v>
      </c>
      <c r="K1338">
        <v>35</v>
      </c>
      <c r="L1338">
        <v>0</v>
      </c>
      <c r="M1338">
        <v>0</v>
      </c>
      <c r="N1338">
        <v>0</v>
      </c>
      <c r="O1338">
        <v>2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1</v>
      </c>
      <c r="X1338">
        <v>0</v>
      </c>
      <c r="Y1338">
        <v>35</v>
      </c>
      <c r="Z1338">
        <v>0</v>
      </c>
      <c r="AA1338">
        <v>1</v>
      </c>
      <c r="AB1338">
        <v>0</v>
      </c>
      <c r="AC1338">
        <v>0</v>
      </c>
      <c r="AD1338">
        <v>900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10.24</v>
      </c>
      <c r="AV1338">
        <v>1</v>
      </c>
      <c r="AW1338">
        <v>840.6</v>
      </c>
      <c r="AX1338">
        <v>47.63</v>
      </c>
      <c r="AZ1338">
        <v>577</v>
      </c>
      <c r="BD1338" t="s">
        <v>413</v>
      </c>
    </row>
    <row r="1339" spans="1:56" x14ac:dyDescent="0.3">
      <c r="A1339">
        <v>20134</v>
      </c>
      <c r="B1339">
        <v>1</v>
      </c>
      <c r="C1339">
        <v>55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3</v>
      </c>
      <c r="K1339">
        <v>40</v>
      </c>
      <c r="L1339">
        <v>0</v>
      </c>
      <c r="M1339">
        <v>0</v>
      </c>
      <c r="N1339">
        <v>0</v>
      </c>
      <c r="O1339">
        <v>2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1</v>
      </c>
      <c r="X1339">
        <v>0</v>
      </c>
      <c r="Y1339">
        <v>90</v>
      </c>
      <c r="Z1339">
        <v>0</v>
      </c>
      <c r="AA1339">
        <v>1</v>
      </c>
      <c r="AB1339">
        <v>0</v>
      </c>
      <c r="AC1339">
        <v>0</v>
      </c>
      <c r="AD1339">
        <v>650</v>
      </c>
      <c r="AE1339">
        <v>0.16666666666666666</v>
      </c>
      <c r="AF1339">
        <v>0</v>
      </c>
      <c r="AG1339">
        <v>1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11.64</v>
      </c>
      <c r="AV1339">
        <v>0.5</v>
      </c>
      <c r="AW1339">
        <v>861.3</v>
      </c>
      <c r="AX1339">
        <v>57.8</v>
      </c>
      <c r="AZ1339">
        <v>589</v>
      </c>
      <c r="BA1339">
        <v>17.8</v>
      </c>
      <c r="BD1339" t="s">
        <v>414</v>
      </c>
    </row>
    <row r="1340" spans="1:56" x14ac:dyDescent="0.3">
      <c r="A1340">
        <v>20135</v>
      </c>
      <c r="B1340">
        <v>1</v>
      </c>
      <c r="C1340">
        <v>52.710000000000008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4.8099999999999996</v>
      </c>
      <c r="K1340">
        <v>22.28</v>
      </c>
      <c r="L1340">
        <v>4.7699999999999996</v>
      </c>
      <c r="M1340">
        <v>0</v>
      </c>
      <c r="N1340">
        <v>0</v>
      </c>
      <c r="O1340">
        <v>15.43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1</v>
      </c>
      <c r="W1340">
        <v>0</v>
      </c>
      <c r="X1340">
        <v>0</v>
      </c>
      <c r="Y1340">
        <v>0</v>
      </c>
      <c r="Z1340">
        <v>1</v>
      </c>
      <c r="AA1340">
        <v>0</v>
      </c>
      <c r="AB1340">
        <v>0</v>
      </c>
      <c r="AC1340">
        <v>0</v>
      </c>
      <c r="AD1340">
        <v>1200</v>
      </c>
      <c r="AE1340">
        <v>30</v>
      </c>
      <c r="AF1340">
        <v>1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14.403000000000002</v>
      </c>
      <c r="AV1340">
        <v>0.80166666666666664</v>
      </c>
      <c r="AW1340">
        <v>803.49599999999998</v>
      </c>
      <c r="AX1340">
        <v>87.09</v>
      </c>
      <c r="BD1340" t="s">
        <v>415</v>
      </c>
    </row>
    <row r="1341" spans="1:56" x14ac:dyDescent="0.3">
      <c r="A1341">
        <v>20136</v>
      </c>
      <c r="B1341">
        <v>1</v>
      </c>
      <c r="C1341">
        <v>60.430000000000007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11.66</v>
      </c>
      <c r="K1341">
        <v>10.67</v>
      </c>
      <c r="L1341">
        <v>0</v>
      </c>
      <c r="M1341">
        <v>4.41</v>
      </c>
      <c r="N1341">
        <v>0</v>
      </c>
      <c r="O1341">
        <v>12.83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1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1200</v>
      </c>
      <c r="AE1341">
        <v>30</v>
      </c>
      <c r="AF1341">
        <v>1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5.8102</v>
      </c>
      <c r="AV1341">
        <v>3.4133333333333331</v>
      </c>
      <c r="AW1341">
        <v>820.06799999999998</v>
      </c>
      <c r="AX1341">
        <v>69.91</v>
      </c>
      <c r="BD1341" t="s">
        <v>415</v>
      </c>
    </row>
    <row r="1342" spans="1:56" x14ac:dyDescent="0.3">
      <c r="A1342">
        <v>20137</v>
      </c>
      <c r="B1342">
        <v>1</v>
      </c>
      <c r="C1342">
        <v>74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13</v>
      </c>
      <c r="K1342">
        <v>13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1</v>
      </c>
      <c r="W1342">
        <v>0</v>
      </c>
      <c r="X1342">
        <v>0</v>
      </c>
      <c r="Y1342">
        <v>0</v>
      </c>
      <c r="Z1342">
        <v>1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3.6400000000000006</v>
      </c>
      <c r="AV1342">
        <v>2.1666666666666665</v>
      </c>
      <c r="AW1342">
        <v>792.3</v>
      </c>
      <c r="AX1342">
        <v>77</v>
      </c>
      <c r="BD1342" t="s">
        <v>410</v>
      </c>
    </row>
    <row r="1343" spans="1:56" x14ac:dyDescent="0.3">
      <c r="A1343">
        <v>20138</v>
      </c>
      <c r="B1343">
        <v>1</v>
      </c>
      <c r="C1343">
        <v>74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13</v>
      </c>
      <c r="K1343">
        <v>13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1</v>
      </c>
      <c r="W1343">
        <v>0</v>
      </c>
      <c r="X1343">
        <v>0</v>
      </c>
      <c r="Y1343">
        <v>0</v>
      </c>
      <c r="Z1343">
        <v>1</v>
      </c>
      <c r="AA1343">
        <v>0</v>
      </c>
      <c r="AB1343">
        <v>0</v>
      </c>
      <c r="AC1343">
        <v>0</v>
      </c>
      <c r="AD1343">
        <v>1000</v>
      </c>
      <c r="AE1343">
        <v>1</v>
      </c>
      <c r="AF1343">
        <v>1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3.6400000000000006</v>
      </c>
      <c r="AV1343">
        <v>2.1666666666666665</v>
      </c>
      <c r="AW1343">
        <v>792.3</v>
      </c>
      <c r="AX1343">
        <v>79</v>
      </c>
      <c r="AY1343">
        <v>900</v>
      </c>
      <c r="AZ1343">
        <v>1030</v>
      </c>
      <c r="BA1343">
        <v>15</v>
      </c>
      <c r="BD1343" t="s">
        <v>416</v>
      </c>
    </row>
    <row r="1344" spans="1:56" x14ac:dyDescent="0.3">
      <c r="A1344">
        <v>20139</v>
      </c>
      <c r="B1344">
        <v>1</v>
      </c>
      <c r="C1344">
        <v>74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13</v>
      </c>
      <c r="K1344">
        <v>13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0</v>
      </c>
      <c r="Y1344">
        <v>60</v>
      </c>
      <c r="Z1344">
        <v>0</v>
      </c>
      <c r="AA1344">
        <v>1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3.6400000000000006</v>
      </c>
      <c r="AV1344">
        <v>2.1666666666666665</v>
      </c>
      <c r="AW1344">
        <v>792.3</v>
      </c>
      <c r="AX1344">
        <v>47.5</v>
      </c>
      <c r="AZ1344">
        <v>1075</v>
      </c>
      <c r="BD1344" t="s">
        <v>416</v>
      </c>
    </row>
    <row r="1345" spans="1:56" x14ac:dyDescent="0.3">
      <c r="A1345">
        <v>20140</v>
      </c>
      <c r="B1345">
        <v>1</v>
      </c>
      <c r="C1345">
        <v>74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13</v>
      </c>
      <c r="K1345">
        <v>13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0</v>
      </c>
      <c r="Y1345">
        <v>52</v>
      </c>
      <c r="Z1345">
        <v>0</v>
      </c>
      <c r="AA1345">
        <v>1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3.6400000000000006</v>
      </c>
      <c r="AV1345">
        <v>2.1666666666666665</v>
      </c>
      <c r="AW1345">
        <v>792.3</v>
      </c>
      <c r="AX1345">
        <v>52</v>
      </c>
      <c r="AY1345">
        <v>1270</v>
      </c>
      <c r="AZ1345">
        <v>1280</v>
      </c>
      <c r="BA1345">
        <v>3</v>
      </c>
      <c r="BD1345" t="s">
        <v>416</v>
      </c>
    </row>
    <row r="1346" spans="1:56" x14ac:dyDescent="0.3">
      <c r="A1346">
        <v>20141</v>
      </c>
      <c r="B1346">
        <v>1</v>
      </c>
      <c r="C1346">
        <v>74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13</v>
      </c>
      <c r="K1346">
        <v>13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1</v>
      </c>
      <c r="W1346">
        <v>0</v>
      </c>
      <c r="X1346">
        <v>0</v>
      </c>
      <c r="Y1346">
        <v>0</v>
      </c>
      <c r="Z1346">
        <v>1</v>
      </c>
      <c r="AA1346">
        <v>0</v>
      </c>
      <c r="AB1346">
        <v>0</v>
      </c>
      <c r="AC1346">
        <v>0</v>
      </c>
      <c r="AD1346">
        <v>1000</v>
      </c>
      <c r="AE1346">
        <v>1</v>
      </c>
      <c r="AF1346">
        <v>1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3.6400000000000006</v>
      </c>
      <c r="AV1346">
        <v>2.1666666666666665</v>
      </c>
      <c r="AW1346">
        <v>792.3</v>
      </c>
      <c r="AX1346">
        <v>60</v>
      </c>
      <c r="AY1346">
        <v>640</v>
      </c>
      <c r="AZ1346">
        <v>860</v>
      </c>
      <c r="BA1346">
        <v>15</v>
      </c>
      <c r="BD1346" t="s">
        <v>416</v>
      </c>
    </row>
    <row r="1347" spans="1:56" x14ac:dyDescent="0.3">
      <c r="A1347">
        <v>20142</v>
      </c>
      <c r="B1347">
        <v>1</v>
      </c>
      <c r="C1347">
        <v>67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14</v>
      </c>
      <c r="K1347">
        <v>19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1</v>
      </c>
      <c r="W1347">
        <v>0</v>
      </c>
      <c r="X1347">
        <v>0</v>
      </c>
      <c r="Y1347">
        <v>0</v>
      </c>
      <c r="Z1347">
        <v>1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5.32</v>
      </c>
      <c r="AV1347">
        <v>2.3333333333333335</v>
      </c>
      <c r="AW1347">
        <v>785.4</v>
      </c>
      <c r="AX1347">
        <v>14</v>
      </c>
      <c r="BD1347" t="s">
        <v>395</v>
      </c>
    </row>
    <row r="1348" spans="1:56" x14ac:dyDescent="0.3">
      <c r="A1348">
        <v>20143</v>
      </c>
      <c r="B1348">
        <v>1</v>
      </c>
      <c r="C1348">
        <v>70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7</v>
      </c>
      <c r="K1348">
        <v>23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1</v>
      </c>
      <c r="W1348">
        <v>0</v>
      </c>
      <c r="X1348">
        <v>0</v>
      </c>
      <c r="Y1348">
        <v>0</v>
      </c>
      <c r="Z1348">
        <v>1</v>
      </c>
      <c r="AA1348">
        <v>0</v>
      </c>
      <c r="AB1348">
        <v>0</v>
      </c>
      <c r="AC1348">
        <v>0</v>
      </c>
      <c r="AD1348">
        <v>1000</v>
      </c>
      <c r="AE1348">
        <v>1</v>
      </c>
      <c r="AF1348">
        <v>1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6.44</v>
      </c>
      <c r="AV1348">
        <v>1.1666666666666667</v>
      </c>
      <c r="AW1348">
        <v>833.7</v>
      </c>
      <c r="AX1348">
        <v>36</v>
      </c>
      <c r="BB1348">
        <v>237</v>
      </c>
      <c r="BD1348" t="s">
        <v>417</v>
      </c>
    </row>
    <row r="1349" spans="1:56" x14ac:dyDescent="0.3">
      <c r="A1349">
        <v>20144</v>
      </c>
      <c r="B1349">
        <v>1</v>
      </c>
      <c r="C1349">
        <v>65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7</v>
      </c>
      <c r="K1349">
        <v>28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1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7.8400000000000007</v>
      </c>
      <c r="AV1349">
        <v>1.1666666666666667</v>
      </c>
      <c r="AW1349">
        <v>833.7</v>
      </c>
      <c r="AX1349">
        <v>29</v>
      </c>
      <c r="BB1349">
        <v>194</v>
      </c>
      <c r="BD1349" t="s">
        <v>417</v>
      </c>
    </row>
    <row r="1350" spans="1:56" x14ac:dyDescent="0.3">
      <c r="A1350">
        <v>20145</v>
      </c>
      <c r="B1350">
        <v>1</v>
      </c>
      <c r="C1350">
        <v>60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7</v>
      </c>
      <c r="K1350">
        <v>33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1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9.24</v>
      </c>
      <c r="AV1350">
        <v>1.1666666666666667</v>
      </c>
      <c r="AW1350">
        <v>833.7</v>
      </c>
      <c r="AX1350">
        <v>29</v>
      </c>
      <c r="BB1350">
        <v>181</v>
      </c>
      <c r="BD1350" t="s">
        <v>417</v>
      </c>
    </row>
    <row r="1351" spans="1:56" x14ac:dyDescent="0.3">
      <c r="A1351">
        <v>20146</v>
      </c>
      <c r="B1351">
        <v>1</v>
      </c>
      <c r="C1351">
        <v>51.8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7.1</v>
      </c>
      <c r="K1351">
        <v>41.1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0</v>
      </c>
      <c r="Y1351">
        <v>89</v>
      </c>
      <c r="Z1351">
        <v>0</v>
      </c>
      <c r="AA1351">
        <v>0</v>
      </c>
      <c r="AB1351">
        <v>1</v>
      </c>
      <c r="AC1351">
        <v>0</v>
      </c>
      <c r="AD1351">
        <v>1000</v>
      </c>
      <c r="AE1351">
        <v>2</v>
      </c>
      <c r="AF1351">
        <v>1</v>
      </c>
      <c r="AG1351">
        <v>0</v>
      </c>
      <c r="AH1351">
        <v>0</v>
      </c>
      <c r="AI1351">
        <v>1000</v>
      </c>
      <c r="AJ1351">
        <v>2</v>
      </c>
      <c r="AK1351">
        <v>1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11.508000000000001</v>
      </c>
      <c r="AV1351">
        <v>1.1833333333333333</v>
      </c>
      <c r="AW1351">
        <v>833.01</v>
      </c>
      <c r="AX1351">
        <v>65</v>
      </c>
      <c r="AY1351">
        <v>490</v>
      </c>
      <c r="AZ1351">
        <v>490</v>
      </c>
      <c r="BA1351">
        <v>16</v>
      </c>
      <c r="BB1351">
        <v>490</v>
      </c>
      <c r="BD1351" t="s">
        <v>418</v>
      </c>
    </row>
    <row r="1352" spans="1:56" x14ac:dyDescent="0.3">
      <c r="A1352">
        <v>20147</v>
      </c>
      <c r="B1352">
        <v>1</v>
      </c>
      <c r="C1352">
        <v>65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>
        <v>23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1</v>
      </c>
      <c r="X1352">
        <v>0</v>
      </c>
      <c r="Y1352">
        <v>20</v>
      </c>
      <c r="Z1352">
        <v>0</v>
      </c>
      <c r="AA1352">
        <v>1</v>
      </c>
      <c r="AB1352">
        <v>0</v>
      </c>
      <c r="AC1352">
        <v>0</v>
      </c>
      <c r="AD1352">
        <v>1000</v>
      </c>
      <c r="AE1352">
        <v>12</v>
      </c>
      <c r="AF1352">
        <v>0</v>
      </c>
      <c r="AG1352">
        <v>0</v>
      </c>
      <c r="AH1352">
        <v>0</v>
      </c>
      <c r="AI1352">
        <v>800</v>
      </c>
      <c r="AJ1352">
        <v>0.16666666666666666</v>
      </c>
      <c r="AK1352">
        <v>1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12.24</v>
      </c>
      <c r="AV1352">
        <v>0</v>
      </c>
      <c r="AW1352">
        <v>851.2</v>
      </c>
      <c r="AX1352">
        <v>79</v>
      </c>
      <c r="AY1352">
        <v>782</v>
      </c>
      <c r="BD1352" t="s">
        <v>419</v>
      </c>
    </row>
    <row r="1353" spans="1:56" x14ac:dyDescent="0.3">
      <c r="A1353">
        <v>20148</v>
      </c>
      <c r="B1353">
        <v>1</v>
      </c>
      <c r="C1353">
        <v>65</v>
      </c>
      <c r="D1353">
        <v>0</v>
      </c>
      <c r="E1353">
        <v>0</v>
      </c>
      <c r="F1353">
        <v>0</v>
      </c>
      <c r="G1353">
        <v>0</v>
      </c>
      <c r="H1353">
        <v>2</v>
      </c>
      <c r="I1353">
        <v>0</v>
      </c>
      <c r="J1353">
        <v>0</v>
      </c>
      <c r="K1353">
        <v>23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X1353">
        <v>0</v>
      </c>
      <c r="Y1353">
        <v>20</v>
      </c>
      <c r="Z1353">
        <v>0</v>
      </c>
      <c r="AA1353">
        <v>1</v>
      </c>
      <c r="AB1353">
        <v>0</v>
      </c>
      <c r="AC1353">
        <v>0</v>
      </c>
      <c r="AD1353">
        <v>1000</v>
      </c>
      <c r="AE1353">
        <v>12</v>
      </c>
      <c r="AF1353">
        <v>0</v>
      </c>
      <c r="AG1353">
        <v>0</v>
      </c>
      <c r="AH1353">
        <v>0</v>
      </c>
      <c r="AI1353">
        <v>800</v>
      </c>
      <c r="AJ1353">
        <v>0.16666666666666666</v>
      </c>
      <c r="AK1353">
        <v>1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12.24</v>
      </c>
      <c r="AV1353">
        <v>0</v>
      </c>
      <c r="AW1353">
        <v>851.2</v>
      </c>
      <c r="AX1353">
        <v>104</v>
      </c>
      <c r="AY1353">
        <v>980</v>
      </c>
      <c r="BD1353" t="s">
        <v>419</v>
      </c>
    </row>
    <row r="1354" spans="1:56" x14ac:dyDescent="0.3">
      <c r="A1354">
        <v>20149</v>
      </c>
      <c r="B1354">
        <v>1</v>
      </c>
      <c r="C1354">
        <v>61.5</v>
      </c>
      <c r="D1354">
        <v>0</v>
      </c>
      <c r="E1354">
        <v>0</v>
      </c>
      <c r="F1354">
        <v>0</v>
      </c>
      <c r="G1354">
        <v>0</v>
      </c>
      <c r="H1354">
        <v>1.5</v>
      </c>
      <c r="I1354">
        <v>0</v>
      </c>
      <c r="J1354">
        <v>0</v>
      </c>
      <c r="K1354">
        <v>27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1</v>
      </c>
      <c r="X1354">
        <v>0</v>
      </c>
      <c r="Y1354">
        <v>20</v>
      </c>
      <c r="Z1354">
        <v>0</v>
      </c>
      <c r="AA1354">
        <v>1</v>
      </c>
      <c r="AB1354">
        <v>0</v>
      </c>
      <c r="AC1354">
        <v>0</v>
      </c>
      <c r="AD1354">
        <v>1000</v>
      </c>
      <c r="AE1354">
        <v>12</v>
      </c>
      <c r="AF1354">
        <v>0</v>
      </c>
      <c r="AG1354">
        <v>0</v>
      </c>
      <c r="AH1354">
        <v>0</v>
      </c>
      <c r="AI1354">
        <v>800</v>
      </c>
      <c r="AJ1354">
        <v>0.16666666666666666</v>
      </c>
      <c r="AK1354">
        <v>1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11.91</v>
      </c>
      <c r="AV1354">
        <v>0</v>
      </c>
      <c r="AW1354">
        <v>858.9</v>
      </c>
      <c r="AX1354">
        <v>78</v>
      </c>
      <c r="AY1354">
        <v>735</v>
      </c>
      <c r="BD1354" t="s">
        <v>419</v>
      </c>
    </row>
    <row r="1355" spans="1:56" x14ac:dyDescent="0.3">
      <c r="A1355">
        <v>20150</v>
      </c>
      <c r="B1355">
        <v>1</v>
      </c>
      <c r="C1355">
        <v>61.5</v>
      </c>
      <c r="D1355">
        <v>0</v>
      </c>
      <c r="E1355">
        <v>0</v>
      </c>
      <c r="F1355">
        <v>0</v>
      </c>
      <c r="G1355">
        <v>0</v>
      </c>
      <c r="H1355">
        <v>1.5</v>
      </c>
      <c r="I1355">
        <v>0</v>
      </c>
      <c r="J1355">
        <v>0</v>
      </c>
      <c r="K1355">
        <v>27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1</v>
      </c>
      <c r="X1355">
        <v>0</v>
      </c>
      <c r="Y1355">
        <v>20</v>
      </c>
      <c r="Z1355">
        <v>0</v>
      </c>
      <c r="AA1355">
        <v>1</v>
      </c>
      <c r="AB1355">
        <v>0</v>
      </c>
      <c r="AC1355">
        <v>0</v>
      </c>
      <c r="AD1355">
        <v>1000</v>
      </c>
      <c r="AE1355">
        <v>12</v>
      </c>
      <c r="AF1355">
        <v>0</v>
      </c>
      <c r="AG1355">
        <v>0</v>
      </c>
      <c r="AH1355">
        <v>0</v>
      </c>
      <c r="AI1355">
        <v>800</v>
      </c>
      <c r="AJ1355">
        <v>0.16666666666666666</v>
      </c>
      <c r="AK1355">
        <v>1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11.91</v>
      </c>
      <c r="AV1355">
        <v>0</v>
      </c>
      <c r="AW1355">
        <v>858.9</v>
      </c>
      <c r="AX1355">
        <v>101</v>
      </c>
      <c r="AY1355">
        <v>903</v>
      </c>
      <c r="BD1355" t="s">
        <v>419</v>
      </c>
    </row>
    <row r="1356" spans="1:56" x14ac:dyDescent="0.3">
      <c r="A1356">
        <v>20151</v>
      </c>
      <c r="B1356">
        <v>1</v>
      </c>
      <c r="C1356">
        <v>57</v>
      </c>
      <c r="D1356">
        <v>0</v>
      </c>
      <c r="E1356">
        <v>0</v>
      </c>
      <c r="F1356">
        <v>0</v>
      </c>
      <c r="G1356">
        <v>0</v>
      </c>
      <c r="H1356">
        <v>2</v>
      </c>
      <c r="I1356">
        <v>0</v>
      </c>
      <c r="J1356">
        <v>13</v>
      </c>
      <c r="K1356">
        <v>28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1</v>
      </c>
      <c r="W1356">
        <v>0</v>
      </c>
      <c r="X1356">
        <v>0</v>
      </c>
      <c r="Y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13.64</v>
      </c>
      <c r="AV1356">
        <v>2.1666666666666665</v>
      </c>
      <c r="AW1356">
        <v>761.5</v>
      </c>
      <c r="AX1356">
        <v>54</v>
      </c>
      <c r="BD1356" t="s">
        <v>420</v>
      </c>
    </row>
    <row r="1357" spans="1:56" x14ac:dyDescent="0.3">
      <c r="A1357">
        <v>20152</v>
      </c>
      <c r="B1357">
        <v>1</v>
      </c>
      <c r="C1357">
        <v>57.66</v>
      </c>
      <c r="D1357">
        <v>0</v>
      </c>
      <c r="E1357">
        <v>0</v>
      </c>
      <c r="F1357">
        <v>0</v>
      </c>
      <c r="G1357">
        <v>0</v>
      </c>
      <c r="H1357">
        <v>0.53</v>
      </c>
      <c r="I1357">
        <v>0</v>
      </c>
      <c r="J1357">
        <v>13.2</v>
      </c>
      <c r="K1357">
        <v>28.5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0.11</v>
      </c>
      <c r="U1357">
        <v>0</v>
      </c>
      <c r="V1357">
        <v>1</v>
      </c>
      <c r="W1357">
        <v>0</v>
      </c>
      <c r="X1357">
        <v>0</v>
      </c>
      <c r="Y1357">
        <v>0</v>
      </c>
      <c r="Z1357">
        <v>1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9.5169999999999995</v>
      </c>
      <c r="AV1357">
        <v>2.2109999999999999</v>
      </c>
      <c r="AW1357">
        <v>796.2879999999999</v>
      </c>
      <c r="AX1357">
        <v>58</v>
      </c>
      <c r="AY1357">
        <v>780</v>
      </c>
      <c r="BA1357">
        <v>13</v>
      </c>
      <c r="BD1357" t="s">
        <v>421</v>
      </c>
    </row>
    <row r="1358" spans="1:56" x14ac:dyDescent="0.3">
      <c r="A1358">
        <v>20153</v>
      </c>
      <c r="B1358">
        <v>1</v>
      </c>
      <c r="C1358">
        <v>58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0</v>
      </c>
      <c r="J1358">
        <v>0</v>
      </c>
      <c r="K1358">
        <v>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1</v>
      </c>
      <c r="X1358">
        <v>0</v>
      </c>
      <c r="Y1358">
        <v>20</v>
      </c>
      <c r="Z1358">
        <v>0</v>
      </c>
      <c r="AA1358">
        <v>1</v>
      </c>
      <c r="AB1358">
        <v>0</v>
      </c>
      <c r="AC1358">
        <v>0</v>
      </c>
      <c r="AD1358">
        <v>1000</v>
      </c>
      <c r="AE1358">
        <v>12</v>
      </c>
      <c r="AF1358">
        <v>0</v>
      </c>
      <c r="AG1358">
        <v>0</v>
      </c>
      <c r="AH1358">
        <v>0</v>
      </c>
      <c r="AI1358">
        <v>800</v>
      </c>
      <c r="AJ1358">
        <v>0.16666666666666666</v>
      </c>
      <c r="AK1358">
        <v>1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3.74</v>
      </c>
      <c r="AV1358">
        <v>0</v>
      </c>
      <c r="AW1358">
        <v>866.6</v>
      </c>
      <c r="AX1358">
        <v>77</v>
      </c>
      <c r="AY1358">
        <v>672</v>
      </c>
      <c r="BD1358" t="s">
        <v>419</v>
      </c>
    </row>
    <row r="1359" spans="1:56" x14ac:dyDescent="0.3">
      <c r="A1359">
        <v>20154</v>
      </c>
      <c r="B1359">
        <v>1</v>
      </c>
      <c r="C1359">
        <v>58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0</v>
      </c>
      <c r="K1359">
        <v>3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1</v>
      </c>
      <c r="X1359">
        <v>0</v>
      </c>
      <c r="Y1359">
        <v>20</v>
      </c>
      <c r="Z1359">
        <v>0</v>
      </c>
      <c r="AA1359">
        <v>1</v>
      </c>
      <c r="AB1359">
        <v>0</v>
      </c>
      <c r="AC1359">
        <v>0</v>
      </c>
      <c r="AD1359">
        <v>1000</v>
      </c>
      <c r="AE1359">
        <v>12</v>
      </c>
      <c r="AF1359">
        <v>0</v>
      </c>
      <c r="AG1359">
        <v>0</v>
      </c>
      <c r="AH1359">
        <v>0</v>
      </c>
      <c r="AI1359">
        <v>800</v>
      </c>
      <c r="AJ1359">
        <v>0.16666666666666666</v>
      </c>
      <c r="AK1359">
        <v>1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3.74</v>
      </c>
      <c r="AV1359">
        <v>0</v>
      </c>
      <c r="AW1359">
        <v>866.6</v>
      </c>
      <c r="AX1359">
        <v>89</v>
      </c>
      <c r="AY1359">
        <v>796</v>
      </c>
      <c r="BD1359" t="s">
        <v>419</v>
      </c>
    </row>
    <row r="1360" spans="1:56" x14ac:dyDescent="0.3">
      <c r="A1360">
        <v>20155</v>
      </c>
      <c r="B1360">
        <v>1</v>
      </c>
      <c r="C1360">
        <v>63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</v>
      </c>
      <c r="K1360">
        <v>29</v>
      </c>
      <c r="L1360">
        <v>2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1</v>
      </c>
      <c r="X1360">
        <v>0</v>
      </c>
      <c r="Y1360">
        <v>70</v>
      </c>
      <c r="Z1360">
        <v>0</v>
      </c>
      <c r="AA1360">
        <v>1</v>
      </c>
      <c r="AB1360">
        <v>0</v>
      </c>
      <c r="AC1360">
        <v>0</v>
      </c>
      <c r="AD1360">
        <v>1000</v>
      </c>
      <c r="AE1360">
        <v>24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10.120000000000001</v>
      </c>
      <c r="AV1360">
        <v>1</v>
      </c>
      <c r="AW1360">
        <v>821.6</v>
      </c>
      <c r="AX1360">
        <v>29</v>
      </c>
      <c r="BD1360" t="s">
        <v>422</v>
      </c>
    </row>
    <row r="1361" spans="1:56" x14ac:dyDescent="0.3">
      <c r="A1361">
        <v>20156</v>
      </c>
      <c r="B1361">
        <v>1</v>
      </c>
      <c r="C1361">
        <v>58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</v>
      </c>
      <c r="K1361">
        <v>31</v>
      </c>
      <c r="L1361">
        <v>5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1</v>
      </c>
      <c r="W1361">
        <v>0</v>
      </c>
      <c r="X1361">
        <v>0</v>
      </c>
      <c r="Y1361">
        <v>0</v>
      </c>
      <c r="Z1361">
        <v>1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13.680000000000001</v>
      </c>
      <c r="AV1361">
        <v>1</v>
      </c>
      <c r="AW1361">
        <v>793.1</v>
      </c>
      <c r="AX1361">
        <v>44</v>
      </c>
      <c r="BD1361" t="s">
        <v>401</v>
      </c>
    </row>
    <row r="1362" spans="1:56" x14ac:dyDescent="0.3">
      <c r="A1362">
        <v>20157</v>
      </c>
      <c r="B1362">
        <v>1</v>
      </c>
      <c r="C1362">
        <v>58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6</v>
      </c>
      <c r="K1362">
        <v>31</v>
      </c>
      <c r="L1362">
        <v>5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1</v>
      </c>
      <c r="X1362">
        <v>0</v>
      </c>
      <c r="Y1362">
        <v>75</v>
      </c>
      <c r="Z1362">
        <v>0</v>
      </c>
      <c r="AA1362">
        <v>1</v>
      </c>
      <c r="AB1362">
        <v>0</v>
      </c>
      <c r="AC1362">
        <v>0</v>
      </c>
      <c r="AD1362">
        <v>600</v>
      </c>
      <c r="AE1362">
        <v>0.25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13.680000000000001</v>
      </c>
      <c r="AV1362">
        <v>1</v>
      </c>
      <c r="AW1362">
        <v>793.1</v>
      </c>
      <c r="AX1362">
        <v>48</v>
      </c>
      <c r="BD1362" t="s">
        <v>401</v>
      </c>
    </row>
    <row r="1363" spans="1:56" x14ac:dyDescent="0.3">
      <c r="A1363">
        <v>20158</v>
      </c>
      <c r="B1363">
        <v>1</v>
      </c>
      <c r="C1363">
        <v>63.3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7</v>
      </c>
      <c r="K1363">
        <v>29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0.7</v>
      </c>
      <c r="U1363">
        <v>0</v>
      </c>
      <c r="V1363">
        <v>0</v>
      </c>
      <c r="W1363">
        <v>1</v>
      </c>
      <c r="X1363">
        <v>0</v>
      </c>
      <c r="Y1363">
        <v>70</v>
      </c>
      <c r="Z1363">
        <v>0</v>
      </c>
      <c r="AA1363">
        <v>0</v>
      </c>
      <c r="AB1363">
        <v>1</v>
      </c>
      <c r="AC1363">
        <v>0</v>
      </c>
      <c r="AD1363">
        <v>1000</v>
      </c>
      <c r="AE1363">
        <v>6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8.120000000000001</v>
      </c>
      <c r="AV1363">
        <v>1.2366666666666668</v>
      </c>
      <c r="AW1363">
        <v>919.80000000000007</v>
      </c>
      <c r="AX1363">
        <v>65</v>
      </c>
      <c r="AY1363">
        <v>1000</v>
      </c>
      <c r="BD1363" t="s">
        <v>423</v>
      </c>
    </row>
    <row r="1364" spans="1:56" x14ac:dyDescent="0.3">
      <c r="A1364">
        <v>20159</v>
      </c>
      <c r="B1364">
        <v>1</v>
      </c>
      <c r="C1364">
        <v>61.9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9.1999999999999993</v>
      </c>
      <c r="K1364">
        <v>23.2</v>
      </c>
      <c r="L1364">
        <v>0</v>
      </c>
      <c r="M1364">
        <v>5.7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1</v>
      </c>
      <c r="W1364">
        <v>0</v>
      </c>
      <c r="X1364">
        <v>0</v>
      </c>
      <c r="Y1364">
        <v>0</v>
      </c>
      <c r="Z1364">
        <v>1</v>
      </c>
      <c r="AA1364">
        <v>0</v>
      </c>
      <c r="AB1364">
        <v>0</v>
      </c>
      <c r="AC1364">
        <v>0</v>
      </c>
      <c r="AD1364">
        <v>1150</v>
      </c>
      <c r="AE1364">
        <v>24</v>
      </c>
      <c r="AF1364">
        <v>1</v>
      </c>
      <c r="AG1364">
        <v>0</v>
      </c>
      <c r="AH1364">
        <v>0</v>
      </c>
      <c r="AI1364">
        <v>1000</v>
      </c>
      <c r="AJ1364">
        <v>0.16666666666666666</v>
      </c>
      <c r="AK1364">
        <v>1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6.4960000000000004</v>
      </c>
      <c r="AV1364">
        <v>3.4333333333333336</v>
      </c>
      <c r="AW1364">
        <v>842.46</v>
      </c>
      <c r="AX1364">
        <v>48.7</v>
      </c>
      <c r="BD1364" t="s">
        <v>405</v>
      </c>
    </row>
    <row r="1365" spans="1:56" x14ac:dyDescent="0.3">
      <c r="A1365">
        <v>20160</v>
      </c>
      <c r="B1365">
        <v>1</v>
      </c>
      <c r="C1365">
        <v>68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10</v>
      </c>
      <c r="K1365">
        <v>10.199999999999999</v>
      </c>
      <c r="L1365">
        <v>5.3</v>
      </c>
      <c r="M1365">
        <v>6.5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1</v>
      </c>
      <c r="W1365">
        <v>0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8.1559999999999988</v>
      </c>
      <c r="AV1365">
        <v>3.833333333333333</v>
      </c>
      <c r="AW1365">
        <v>789.94999999999993</v>
      </c>
      <c r="AX1365">
        <v>48</v>
      </c>
      <c r="AY1365">
        <v>478</v>
      </c>
      <c r="AZ1365">
        <v>715</v>
      </c>
      <c r="BA1365">
        <v>7.6</v>
      </c>
      <c r="BD1365" t="s">
        <v>399</v>
      </c>
    </row>
    <row r="1366" spans="1:56" x14ac:dyDescent="0.3">
      <c r="A1366">
        <v>20161</v>
      </c>
      <c r="B1366">
        <v>1</v>
      </c>
      <c r="C1366">
        <v>69.599999999999994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9.5</v>
      </c>
      <c r="K1366">
        <v>9.6999999999999993</v>
      </c>
      <c r="L1366">
        <v>5</v>
      </c>
      <c r="M1366">
        <v>6.2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1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7.7160000000000002</v>
      </c>
      <c r="AV1366">
        <v>3.6500000000000004</v>
      </c>
      <c r="AW1366">
        <v>794.99</v>
      </c>
      <c r="AX1366">
        <v>54</v>
      </c>
      <c r="AY1366">
        <v>235</v>
      </c>
      <c r="AZ1366">
        <v>715</v>
      </c>
      <c r="BA1366">
        <v>12.5</v>
      </c>
      <c r="BD1366" t="s">
        <v>399</v>
      </c>
    </row>
    <row r="1367" spans="1:56" x14ac:dyDescent="0.3">
      <c r="A1367">
        <v>20162</v>
      </c>
      <c r="B1367">
        <v>1</v>
      </c>
      <c r="C1367">
        <v>68.099999999999994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10</v>
      </c>
      <c r="K1367">
        <v>10.199999999999999</v>
      </c>
      <c r="L1367">
        <v>5.2</v>
      </c>
      <c r="M1367">
        <v>6.5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8.0560000000000009</v>
      </c>
      <c r="AV1367">
        <v>3.833333333333333</v>
      </c>
      <c r="AW1367">
        <v>790.9</v>
      </c>
      <c r="AX1367">
        <v>48</v>
      </c>
      <c r="AY1367">
        <v>478</v>
      </c>
      <c r="AZ1367">
        <v>715</v>
      </c>
      <c r="BA1367">
        <v>7.6</v>
      </c>
      <c r="BD1367" t="s">
        <v>398</v>
      </c>
    </row>
    <row r="1368" spans="1:56" x14ac:dyDescent="0.3">
      <c r="A1368">
        <v>20163</v>
      </c>
      <c r="B1368">
        <v>1</v>
      </c>
      <c r="C1368">
        <v>68.099999999999994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10</v>
      </c>
      <c r="K1368">
        <v>10.199999999999999</v>
      </c>
      <c r="L1368">
        <v>5.2</v>
      </c>
      <c r="M1368">
        <v>6.5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950</v>
      </c>
      <c r="AE1368">
        <v>2</v>
      </c>
      <c r="AF1368">
        <v>1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8.0560000000000009</v>
      </c>
      <c r="AV1368">
        <v>3.833333333333333</v>
      </c>
      <c r="AW1368">
        <v>790.9</v>
      </c>
      <c r="AX1368">
        <v>43</v>
      </c>
      <c r="AY1368">
        <v>408</v>
      </c>
      <c r="AZ1368">
        <v>577</v>
      </c>
      <c r="BA1368">
        <v>6.7</v>
      </c>
      <c r="BD1368" t="s">
        <v>398</v>
      </c>
    </row>
    <row r="1369" spans="1:56" x14ac:dyDescent="0.3">
      <c r="A1369">
        <v>20164</v>
      </c>
      <c r="B1369">
        <v>1</v>
      </c>
      <c r="C1369">
        <v>69.599999999999994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9.5</v>
      </c>
      <c r="K1369">
        <v>9.6999999999999993</v>
      </c>
      <c r="L1369">
        <v>5</v>
      </c>
      <c r="M1369">
        <v>6.2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7.7160000000000002</v>
      </c>
      <c r="AV1369">
        <v>3.6500000000000004</v>
      </c>
      <c r="AW1369">
        <v>794.99</v>
      </c>
      <c r="AX1369">
        <v>54</v>
      </c>
      <c r="BD1369" t="s">
        <v>373</v>
      </c>
    </row>
    <row r="1370" spans="1:56" x14ac:dyDescent="0.3">
      <c r="A1370">
        <v>20165</v>
      </c>
      <c r="B1370">
        <v>1</v>
      </c>
      <c r="C1370">
        <v>65.599999999999994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9.3000000000000007</v>
      </c>
      <c r="K1370">
        <v>14.2</v>
      </c>
      <c r="L1370">
        <v>4.9000000000000004</v>
      </c>
      <c r="M1370">
        <v>6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8.8760000000000012</v>
      </c>
      <c r="AV1370">
        <v>3.55</v>
      </c>
      <c r="AW1370">
        <v>796.48000000000013</v>
      </c>
      <c r="AX1370">
        <v>56</v>
      </c>
      <c r="AY1370">
        <v>566</v>
      </c>
      <c r="AZ1370">
        <v>701</v>
      </c>
      <c r="BA1370">
        <v>13.6</v>
      </c>
      <c r="BD1370" t="s">
        <v>399</v>
      </c>
    </row>
    <row r="1371" spans="1:56" x14ac:dyDescent="0.3">
      <c r="A1371">
        <v>20166</v>
      </c>
      <c r="B1371">
        <v>1</v>
      </c>
      <c r="C1371">
        <v>65.599999999999994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9.3000000000000007</v>
      </c>
      <c r="K1371">
        <v>14.2</v>
      </c>
      <c r="L1371">
        <v>4.9000000000000004</v>
      </c>
      <c r="M1371">
        <v>6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8.8760000000000012</v>
      </c>
      <c r="AV1371">
        <v>3.55</v>
      </c>
      <c r="AW1371">
        <v>796.48000000000013</v>
      </c>
      <c r="AX1371">
        <v>56</v>
      </c>
      <c r="BD1371" t="s">
        <v>373</v>
      </c>
    </row>
    <row r="1372" spans="1:56" x14ac:dyDescent="0.3">
      <c r="A1372">
        <v>20167</v>
      </c>
      <c r="B1372">
        <v>1</v>
      </c>
      <c r="C1372">
        <v>61.7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9.1</v>
      </c>
      <c r="K1372">
        <v>18.5</v>
      </c>
      <c r="L1372">
        <v>4.8</v>
      </c>
      <c r="M1372">
        <v>5.9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9.98</v>
      </c>
      <c r="AV1372">
        <v>3.4833333333333334</v>
      </c>
      <c r="AW1372">
        <v>798.39</v>
      </c>
      <c r="AX1372">
        <v>72</v>
      </c>
      <c r="AY1372">
        <v>499</v>
      </c>
      <c r="AZ1372">
        <v>519</v>
      </c>
      <c r="BA1372">
        <v>6.4</v>
      </c>
      <c r="BD1372" t="s">
        <v>399</v>
      </c>
    </row>
    <row r="1373" spans="1:56" x14ac:dyDescent="0.3">
      <c r="A1373">
        <v>20168</v>
      </c>
      <c r="B1373">
        <v>1</v>
      </c>
      <c r="C1373">
        <v>61.7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9.1</v>
      </c>
      <c r="K1373">
        <v>18.5</v>
      </c>
      <c r="L1373">
        <v>4.8</v>
      </c>
      <c r="M1373">
        <v>5.9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1</v>
      </c>
      <c r="W1373">
        <v>0</v>
      </c>
      <c r="X1373">
        <v>0</v>
      </c>
      <c r="Y1373">
        <v>0</v>
      </c>
      <c r="Z1373">
        <v>1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9.98</v>
      </c>
      <c r="AV1373">
        <v>3.4833333333333334</v>
      </c>
      <c r="AW1373">
        <v>798.39</v>
      </c>
      <c r="AX1373">
        <v>73</v>
      </c>
      <c r="BD1373" t="s">
        <v>373</v>
      </c>
    </row>
    <row r="1374" spans="1:56" x14ac:dyDescent="0.3">
      <c r="A1374">
        <v>20169</v>
      </c>
      <c r="B1374">
        <v>1</v>
      </c>
      <c r="C1374">
        <v>57.7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6.8</v>
      </c>
      <c r="K1374">
        <v>32.5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1</v>
      </c>
      <c r="X1374">
        <v>0</v>
      </c>
      <c r="Y1374">
        <v>0</v>
      </c>
      <c r="Z1374">
        <v>0</v>
      </c>
      <c r="AA1374">
        <v>0</v>
      </c>
      <c r="AB1374">
        <v>1</v>
      </c>
      <c r="AC1374">
        <v>0</v>
      </c>
      <c r="AD1374">
        <v>1000</v>
      </c>
      <c r="AE1374">
        <v>1</v>
      </c>
      <c r="AF1374">
        <v>1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9.1000000000000014</v>
      </c>
      <c r="AV1374">
        <v>1.1333333333333333</v>
      </c>
      <c r="AW1374">
        <v>835.08</v>
      </c>
      <c r="AX1374">
        <v>66.900000000000006</v>
      </c>
      <c r="AZ1374">
        <v>829</v>
      </c>
      <c r="BA1374">
        <v>15.4</v>
      </c>
      <c r="BD1374" t="s">
        <v>424</v>
      </c>
    </row>
    <row r="1375" spans="1:56" x14ac:dyDescent="0.3">
      <c r="A1375">
        <v>20170</v>
      </c>
      <c r="B1375">
        <v>1</v>
      </c>
      <c r="C1375">
        <v>57.7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6.8</v>
      </c>
      <c r="K1375">
        <v>32.5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1</v>
      </c>
      <c r="X1375">
        <v>0</v>
      </c>
      <c r="Y1375">
        <v>50</v>
      </c>
      <c r="Z1375">
        <v>0</v>
      </c>
      <c r="AA1375">
        <v>1</v>
      </c>
      <c r="AB1375">
        <v>1</v>
      </c>
      <c r="AC1375">
        <v>0</v>
      </c>
      <c r="AD1375">
        <v>1000</v>
      </c>
      <c r="AE1375">
        <v>1</v>
      </c>
      <c r="AF1375">
        <v>1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9.1000000000000014</v>
      </c>
      <c r="AV1375">
        <v>1.1333333333333333</v>
      </c>
      <c r="AW1375">
        <v>835.08</v>
      </c>
      <c r="AX1375">
        <v>60.7</v>
      </c>
      <c r="AZ1375">
        <v>942</v>
      </c>
      <c r="BA1375">
        <v>13.8</v>
      </c>
      <c r="BD1375" t="s">
        <v>424</v>
      </c>
    </row>
    <row r="1376" spans="1:56" x14ac:dyDescent="0.3">
      <c r="A1376">
        <v>20171</v>
      </c>
      <c r="B1376">
        <v>1</v>
      </c>
      <c r="C1376">
        <v>57.7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6.8</v>
      </c>
      <c r="K1376">
        <v>32.5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1</v>
      </c>
      <c r="X1376">
        <v>0</v>
      </c>
      <c r="Y1376">
        <v>90</v>
      </c>
      <c r="Z1376">
        <v>0</v>
      </c>
      <c r="AA1376">
        <v>1</v>
      </c>
      <c r="AB1376">
        <v>1</v>
      </c>
      <c r="AC1376">
        <v>0</v>
      </c>
      <c r="AD1376">
        <v>1000</v>
      </c>
      <c r="AE1376">
        <v>1</v>
      </c>
      <c r="AF1376">
        <v>1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9.1000000000000014</v>
      </c>
      <c r="AV1376">
        <v>1.1333333333333333</v>
      </c>
      <c r="AW1376">
        <v>835.08</v>
      </c>
      <c r="AX1376">
        <v>55.3</v>
      </c>
      <c r="AZ1376">
        <v>1093</v>
      </c>
      <c r="BA1376">
        <v>12.6</v>
      </c>
      <c r="BD1376" t="s">
        <v>424</v>
      </c>
    </row>
    <row r="1377" spans="1:56" x14ac:dyDescent="0.3">
      <c r="A1377">
        <v>20172</v>
      </c>
      <c r="B1377">
        <v>1</v>
      </c>
      <c r="C1377">
        <v>64.3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5.7</v>
      </c>
      <c r="K1377">
        <v>14.6</v>
      </c>
      <c r="L1377">
        <v>0</v>
      </c>
      <c r="M1377">
        <v>9.9</v>
      </c>
      <c r="N1377">
        <v>0</v>
      </c>
      <c r="O1377">
        <v>5.5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1</v>
      </c>
      <c r="W1377">
        <v>0</v>
      </c>
      <c r="X1377">
        <v>0</v>
      </c>
      <c r="Y1377">
        <v>0</v>
      </c>
      <c r="Z1377">
        <v>1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5.298</v>
      </c>
      <c r="AV1377">
        <v>4.25</v>
      </c>
      <c r="AW1377">
        <v>884.25</v>
      </c>
      <c r="AX1377">
        <v>52.2</v>
      </c>
      <c r="BD1377" t="s">
        <v>405</v>
      </c>
    </row>
    <row r="1378" spans="1:56" x14ac:dyDescent="0.3">
      <c r="A1378">
        <v>20173</v>
      </c>
      <c r="B1378">
        <v>1</v>
      </c>
      <c r="C1378">
        <v>69.900000000000006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5.0999999999999996</v>
      </c>
      <c r="K1378">
        <v>20.5</v>
      </c>
      <c r="L1378">
        <v>0</v>
      </c>
      <c r="M1378">
        <v>0</v>
      </c>
      <c r="N1378">
        <v>0</v>
      </c>
      <c r="O1378">
        <v>4.5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1</v>
      </c>
      <c r="W1378">
        <v>0</v>
      </c>
      <c r="X1378">
        <v>0</v>
      </c>
      <c r="Y1378">
        <v>0</v>
      </c>
      <c r="Z1378">
        <v>1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6.73</v>
      </c>
      <c r="AV1378">
        <v>0.85</v>
      </c>
      <c r="AW1378">
        <v>846.81</v>
      </c>
      <c r="AX1378">
        <v>50</v>
      </c>
      <c r="BD1378" t="s">
        <v>373</v>
      </c>
    </row>
    <row r="1379" spans="1:56" x14ac:dyDescent="0.3">
      <c r="A1379">
        <v>20174</v>
      </c>
      <c r="B1379">
        <v>1</v>
      </c>
      <c r="C1379">
        <v>68.7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5.0999999999999996</v>
      </c>
      <c r="K1379">
        <v>24.2</v>
      </c>
      <c r="L1379">
        <v>0</v>
      </c>
      <c r="M1379">
        <v>0</v>
      </c>
      <c r="N1379">
        <v>0</v>
      </c>
      <c r="O1379">
        <v>2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1</v>
      </c>
      <c r="W1379">
        <v>0</v>
      </c>
      <c r="X1379">
        <v>0</v>
      </c>
      <c r="Y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7.2160000000000011</v>
      </c>
      <c r="AV1379">
        <v>0.85</v>
      </c>
      <c r="AW1379">
        <v>846.81</v>
      </c>
      <c r="AX1379">
        <v>48</v>
      </c>
      <c r="BD1379" t="s">
        <v>425</v>
      </c>
    </row>
    <row r="1380" spans="1:56" x14ac:dyDescent="0.3">
      <c r="A1380">
        <v>20175</v>
      </c>
      <c r="B1380">
        <v>1</v>
      </c>
      <c r="C1380">
        <v>70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3</v>
      </c>
      <c r="K1380">
        <v>25</v>
      </c>
      <c r="L1380">
        <v>0</v>
      </c>
      <c r="M1380">
        <v>0</v>
      </c>
      <c r="N1380">
        <v>0</v>
      </c>
      <c r="O1380">
        <v>2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1</v>
      </c>
      <c r="X1380">
        <v>0</v>
      </c>
      <c r="Y1380">
        <v>90</v>
      </c>
      <c r="Z1380">
        <v>0</v>
      </c>
      <c r="AA1380">
        <v>1</v>
      </c>
      <c r="AB1380">
        <v>0</v>
      </c>
      <c r="AC1380">
        <v>0</v>
      </c>
      <c r="AD1380">
        <v>650</v>
      </c>
      <c r="AE1380">
        <v>0.16666666666666666</v>
      </c>
      <c r="AF1380">
        <v>0</v>
      </c>
      <c r="AG1380">
        <v>1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7.4400000000000013</v>
      </c>
      <c r="AV1380">
        <v>0.5</v>
      </c>
      <c r="AW1380">
        <v>861.3</v>
      </c>
      <c r="AX1380">
        <v>75.2</v>
      </c>
      <c r="AZ1380">
        <v>864</v>
      </c>
      <c r="BA1380">
        <v>1.25</v>
      </c>
      <c r="BD1380" t="s">
        <v>414</v>
      </c>
    </row>
    <row r="1381" spans="1:56" x14ac:dyDescent="0.3">
      <c r="A1381">
        <v>20176</v>
      </c>
      <c r="B1381">
        <v>1</v>
      </c>
      <c r="C1381">
        <v>65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3</v>
      </c>
      <c r="K1381">
        <v>30</v>
      </c>
      <c r="L1381">
        <v>0</v>
      </c>
      <c r="M1381">
        <v>0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1</v>
      </c>
      <c r="X1381">
        <v>0</v>
      </c>
      <c r="Y1381">
        <v>90</v>
      </c>
      <c r="Z1381">
        <v>0</v>
      </c>
      <c r="AA1381">
        <v>1</v>
      </c>
      <c r="AB1381">
        <v>0</v>
      </c>
      <c r="AC1381">
        <v>0</v>
      </c>
      <c r="AD1381">
        <v>650</v>
      </c>
      <c r="AE1381">
        <v>0.16666666666666666</v>
      </c>
      <c r="AF1381">
        <v>0</v>
      </c>
      <c r="AG1381">
        <v>1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8.84</v>
      </c>
      <c r="AV1381">
        <v>0.5</v>
      </c>
      <c r="AW1381">
        <v>861.3</v>
      </c>
      <c r="AX1381">
        <v>57.1</v>
      </c>
      <c r="AZ1381">
        <v>663</v>
      </c>
      <c r="BA1381">
        <v>17.5</v>
      </c>
      <c r="BD1381" t="s">
        <v>414</v>
      </c>
    </row>
    <row r="1382" spans="1:56" x14ac:dyDescent="0.3">
      <c r="A1382">
        <v>20177</v>
      </c>
      <c r="B1382">
        <v>1</v>
      </c>
      <c r="C1382">
        <v>60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3</v>
      </c>
      <c r="K1382">
        <v>35</v>
      </c>
      <c r="L1382">
        <v>0</v>
      </c>
      <c r="M1382">
        <v>0</v>
      </c>
      <c r="N1382">
        <v>0</v>
      </c>
      <c r="O1382">
        <v>2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1</v>
      </c>
      <c r="X1382">
        <v>0</v>
      </c>
      <c r="Y1382">
        <v>90</v>
      </c>
      <c r="Z1382">
        <v>0</v>
      </c>
      <c r="AA1382">
        <v>1</v>
      </c>
      <c r="AB1382">
        <v>0</v>
      </c>
      <c r="AC1382">
        <v>0</v>
      </c>
      <c r="AD1382">
        <v>650</v>
      </c>
      <c r="AE1382">
        <v>0.16666666666666666</v>
      </c>
      <c r="AF1382">
        <v>0</v>
      </c>
      <c r="AG1382">
        <v>1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10.24</v>
      </c>
      <c r="AV1382">
        <v>0.5</v>
      </c>
      <c r="AW1382">
        <v>861.3</v>
      </c>
      <c r="AX1382">
        <v>52</v>
      </c>
      <c r="AZ1382">
        <v>431</v>
      </c>
      <c r="BA1382">
        <v>18.8</v>
      </c>
      <c r="BD1382" t="s">
        <v>414</v>
      </c>
    </row>
    <row r="1383" spans="1:56" x14ac:dyDescent="0.3">
      <c r="A1383">
        <v>20178</v>
      </c>
      <c r="B1383">
        <v>1</v>
      </c>
      <c r="C1383">
        <v>52.099999999999994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7.2</v>
      </c>
      <c r="K1383">
        <v>35</v>
      </c>
      <c r="L1383">
        <v>0</v>
      </c>
      <c r="M1383">
        <v>0</v>
      </c>
      <c r="N1383">
        <v>0</v>
      </c>
      <c r="O1383">
        <v>5.7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1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11.054</v>
      </c>
      <c r="AV1383">
        <v>1.2</v>
      </c>
      <c r="AW1383">
        <v>832.31999999999994</v>
      </c>
      <c r="AX1383">
        <v>57</v>
      </c>
      <c r="BD1383" t="s">
        <v>410</v>
      </c>
    </row>
    <row r="1384" spans="1:56" x14ac:dyDescent="0.3">
      <c r="A1384">
        <v>20179</v>
      </c>
      <c r="B1384">
        <v>1</v>
      </c>
      <c r="C1384">
        <v>53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7</v>
      </c>
      <c r="K1384">
        <v>35</v>
      </c>
      <c r="L1384">
        <v>0</v>
      </c>
      <c r="M1384">
        <v>0</v>
      </c>
      <c r="N1384">
        <v>0</v>
      </c>
      <c r="O1384">
        <v>5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10.9</v>
      </c>
      <c r="AV1384">
        <v>1.1666666666666667</v>
      </c>
      <c r="AW1384">
        <v>833.7</v>
      </c>
      <c r="AX1384">
        <v>55</v>
      </c>
      <c r="BD1384" t="s">
        <v>426</v>
      </c>
    </row>
    <row r="1385" spans="1:56" x14ac:dyDescent="0.3">
      <c r="A1385">
        <v>20180</v>
      </c>
      <c r="B1385">
        <v>1</v>
      </c>
      <c r="C1385">
        <v>51.44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7.3</v>
      </c>
      <c r="K1385">
        <v>35.5</v>
      </c>
      <c r="L1385">
        <v>0</v>
      </c>
      <c r="M1385">
        <v>0</v>
      </c>
      <c r="N1385">
        <v>0</v>
      </c>
      <c r="O1385">
        <v>5.7</v>
      </c>
      <c r="P1385">
        <v>0</v>
      </c>
      <c r="Q1385">
        <v>0</v>
      </c>
      <c r="R1385">
        <v>0</v>
      </c>
      <c r="S1385">
        <v>0</v>
      </c>
      <c r="T1385">
        <v>0.06</v>
      </c>
      <c r="U1385">
        <v>0</v>
      </c>
      <c r="V1385">
        <v>0</v>
      </c>
      <c r="W1385">
        <v>1</v>
      </c>
      <c r="X1385">
        <v>1100</v>
      </c>
      <c r="Y1385">
        <v>0</v>
      </c>
      <c r="Z1385">
        <v>0</v>
      </c>
      <c r="AA1385">
        <v>0</v>
      </c>
      <c r="AB1385">
        <v>1</v>
      </c>
      <c r="AC1385">
        <v>0</v>
      </c>
      <c r="AD1385">
        <v>1400</v>
      </c>
      <c r="AE1385">
        <v>2</v>
      </c>
      <c r="AF1385">
        <v>0</v>
      </c>
      <c r="AG1385">
        <v>0</v>
      </c>
      <c r="AH1385">
        <v>1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11.194000000000001</v>
      </c>
      <c r="AV1385">
        <v>1.2226666666666666</v>
      </c>
      <c r="AW1385">
        <v>839.01</v>
      </c>
      <c r="AX1385">
        <v>63</v>
      </c>
      <c r="AY1385">
        <v>447</v>
      </c>
      <c r="AZ1385">
        <v>545</v>
      </c>
      <c r="BA1385">
        <v>21</v>
      </c>
      <c r="BB1385">
        <v>164</v>
      </c>
      <c r="BD1385" t="s">
        <v>427</v>
      </c>
    </row>
    <row r="1386" spans="1:56" x14ac:dyDescent="0.3">
      <c r="A1386">
        <v>20181</v>
      </c>
      <c r="B1386">
        <v>1</v>
      </c>
      <c r="C1386">
        <v>49.44</v>
      </c>
      <c r="D1386">
        <v>0</v>
      </c>
      <c r="E1386">
        <v>0</v>
      </c>
      <c r="F1386">
        <v>0</v>
      </c>
      <c r="G1386">
        <v>0</v>
      </c>
      <c r="H1386">
        <v>2</v>
      </c>
      <c r="I1386">
        <v>0</v>
      </c>
      <c r="J1386">
        <v>7.3</v>
      </c>
      <c r="K1386">
        <v>35.5</v>
      </c>
      <c r="L1386">
        <v>0</v>
      </c>
      <c r="M1386">
        <v>0</v>
      </c>
      <c r="N1386">
        <v>0</v>
      </c>
      <c r="O1386">
        <v>5.7</v>
      </c>
      <c r="P1386">
        <v>0</v>
      </c>
      <c r="Q1386">
        <v>0</v>
      </c>
      <c r="R1386">
        <v>0</v>
      </c>
      <c r="S1386">
        <v>0</v>
      </c>
      <c r="T1386">
        <v>0.06</v>
      </c>
      <c r="U1386">
        <v>0</v>
      </c>
      <c r="V1386">
        <v>0</v>
      </c>
      <c r="W1386">
        <v>1</v>
      </c>
      <c r="X1386">
        <v>1100</v>
      </c>
      <c r="Y1386">
        <v>0</v>
      </c>
      <c r="Z1386">
        <v>0</v>
      </c>
      <c r="AA1386">
        <v>0</v>
      </c>
      <c r="AB1386">
        <v>1</v>
      </c>
      <c r="AC1386">
        <v>0</v>
      </c>
      <c r="AD1386">
        <v>1400</v>
      </c>
      <c r="AE1386">
        <v>2</v>
      </c>
      <c r="AF1386">
        <v>0</v>
      </c>
      <c r="AG1386">
        <v>0</v>
      </c>
      <c r="AH1386">
        <v>1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16.994</v>
      </c>
      <c r="AV1386">
        <v>1.2226666666666666</v>
      </c>
      <c r="AW1386">
        <v>808.21</v>
      </c>
      <c r="AX1386">
        <v>107</v>
      </c>
      <c r="AY1386">
        <v>817</v>
      </c>
      <c r="AZ1386">
        <v>1130</v>
      </c>
      <c r="BA1386">
        <v>28</v>
      </c>
      <c r="BB1386">
        <v>321</v>
      </c>
      <c r="BD1386" t="s">
        <v>427</v>
      </c>
    </row>
    <row r="1387" spans="1:56" x14ac:dyDescent="0.3">
      <c r="A1387">
        <v>20182</v>
      </c>
      <c r="B1387">
        <v>1</v>
      </c>
      <c r="C1387">
        <v>49.15</v>
      </c>
      <c r="D1387">
        <v>0</v>
      </c>
      <c r="E1387">
        <v>0</v>
      </c>
      <c r="F1387">
        <v>0</v>
      </c>
      <c r="G1387">
        <v>0</v>
      </c>
      <c r="H1387">
        <v>2</v>
      </c>
      <c r="I1387">
        <v>0</v>
      </c>
      <c r="J1387">
        <v>7.3</v>
      </c>
      <c r="K1387">
        <v>35.5</v>
      </c>
      <c r="L1387">
        <v>0</v>
      </c>
      <c r="M1387">
        <v>0</v>
      </c>
      <c r="N1387">
        <v>0</v>
      </c>
      <c r="O1387">
        <v>5.7</v>
      </c>
      <c r="P1387">
        <v>0</v>
      </c>
      <c r="Q1387">
        <v>0</v>
      </c>
      <c r="R1387">
        <v>0</v>
      </c>
      <c r="S1387">
        <v>0</v>
      </c>
      <c r="T1387">
        <v>0.35</v>
      </c>
      <c r="U1387">
        <v>0</v>
      </c>
      <c r="V1387">
        <v>0</v>
      </c>
      <c r="W1387">
        <v>1</v>
      </c>
      <c r="X1387">
        <v>1100</v>
      </c>
      <c r="Y1387">
        <v>0</v>
      </c>
      <c r="Z1387">
        <v>0</v>
      </c>
      <c r="AA1387">
        <v>0</v>
      </c>
      <c r="AB1387">
        <v>1</v>
      </c>
      <c r="AC1387">
        <v>0</v>
      </c>
      <c r="AD1387">
        <v>1400</v>
      </c>
      <c r="AE1387">
        <v>2</v>
      </c>
      <c r="AF1387">
        <v>0</v>
      </c>
      <c r="AG1387">
        <v>0</v>
      </c>
      <c r="AH1387">
        <v>1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16.994</v>
      </c>
      <c r="AV1387">
        <v>1.2516666666666665</v>
      </c>
      <c r="AW1387">
        <v>843.88</v>
      </c>
      <c r="AX1387">
        <v>80</v>
      </c>
      <c r="AY1387">
        <v>1017</v>
      </c>
      <c r="AZ1387">
        <v>1217</v>
      </c>
      <c r="BA1387">
        <v>21</v>
      </c>
      <c r="BB1387">
        <v>335</v>
      </c>
      <c r="BD1387" t="s">
        <v>427</v>
      </c>
    </row>
    <row r="1388" spans="1:56" x14ac:dyDescent="0.3">
      <c r="A1388">
        <v>20183</v>
      </c>
      <c r="B1388">
        <v>1</v>
      </c>
      <c r="C1388">
        <v>48.84</v>
      </c>
      <c r="D1388">
        <v>0</v>
      </c>
      <c r="E1388">
        <v>0</v>
      </c>
      <c r="F1388">
        <v>0</v>
      </c>
      <c r="G1388">
        <v>0</v>
      </c>
      <c r="H1388">
        <v>2</v>
      </c>
      <c r="I1388">
        <v>0</v>
      </c>
      <c r="J1388">
        <v>7.3</v>
      </c>
      <c r="K1388">
        <v>35.5</v>
      </c>
      <c r="L1388">
        <v>0</v>
      </c>
      <c r="M1388">
        <v>0</v>
      </c>
      <c r="N1388">
        <v>0</v>
      </c>
      <c r="O1388">
        <v>5.7</v>
      </c>
      <c r="P1388">
        <v>0</v>
      </c>
      <c r="Q1388">
        <v>0</v>
      </c>
      <c r="R1388">
        <v>0</v>
      </c>
      <c r="S1388">
        <v>0</v>
      </c>
      <c r="T1388">
        <v>0.66</v>
      </c>
      <c r="U1388">
        <v>0</v>
      </c>
      <c r="V1388">
        <v>1</v>
      </c>
      <c r="W1388">
        <v>0</v>
      </c>
      <c r="X1388">
        <v>0</v>
      </c>
      <c r="Y1388">
        <v>0</v>
      </c>
      <c r="Z1388">
        <v>1</v>
      </c>
      <c r="AA1388">
        <v>0</v>
      </c>
      <c r="AB1388">
        <v>0</v>
      </c>
      <c r="AC1388">
        <v>0</v>
      </c>
      <c r="AD1388">
        <v>1400</v>
      </c>
      <c r="AE1388">
        <v>2</v>
      </c>
      <c r="AF1388">
        <v>0</v>
      </c>
      <c r="AG1388">
        <v>0</v>
      </c>
      <c r="AH1388">
        <v>1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16.994</v>
      </c>
      <c r="AV1388">
        <v>1.2826666666666666</v>
      </c>
      <c r="AW1388">
        <v>882.01</v>
      </c>
      <c r="AX1388">
        <v>109</v>
      </c>
      <c r="BB1388">
        <v>371</v>
      </c>
      <c r="BD1388" t="s">
        <v>427</v>
      </c>
    </row>
    <row r="1389" spans="1:56" x14ac:dyDescent="0.3">
      <c r="A1389">
        <v>20184</v>
      </c>
      <c r="B1389">
        <v>0</v>
      </c>
      <c r="C1389">
        <v>48.9</v>
      </c>
      <c r="D1389">
        <v>0</v>
      </c>
      <c r="E1389">
        <v>0</v>
      </c>
      <c r="F1389">
        <v>0</v>
      </c>
      <c r="G1389">
        <v>0</v>
      </c>
      <c r="H1389">
        <v>2</v>
      </c>
      <c r="I1389">
        <v>0</v>
      </c>
      <c r="J1389">
        <v>7.3</v>
      </c>
      <c r="K1389">
        <v>35.5</v>
      </c>
      <c r="L1389">
        <v>0</v>
      </c>
      <c r="M1389">
        <v>0</v>
      </c>
      <c r="N1389">
        <v>0</v>
      </c>
      <c r="O1389">
        <v>5.7</v>
      </c>
      <c r="P1389">
        <v>0</v>
      </c>
      <c r="Q1389">
        <v>0.25</v>
      </c>
      <c r="R1389">
        <v>0</v>
      </c>
      <c r="S1389">
        <v>0</v>
      </c>
      <c r="T1389">
        <v>0.35</v>
      </c>
      <c r="U1389">
        <v>0</v>
      </c>
      <c r="V1389">
        <v>1</v>
      </c>
      <c r="W1389">
        <v>0</v>
      </c>
      <c r="X1389">
        <v>0</v>
      </c>
      <c r="Y1389">
        <v>0</v>
      </c>
      <c r="Z1389">
        <v>1</v>
      </c>
      <c r="AA1389">
        <v>0</v>
      </c>
      <c r="AB1389">
        <v>0</v>
      </c>
      <c r="AC1389">
        <v>0</v>
      </c>
      <c r="AD1389">
        <v>1400</v>
      </c>
      <c r="AE1389">
        <v>2</v>
      </c>
      <c r="AF1389">
        <v>0</v>
      </c>
      <c r="AG1389">
        <v>0</v>
      </c>
      <c r="AH1389">
        <v>1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16.994</v>
      </c>
      <c r="AV1389">
        <v>1.2516666666666665</v>
      </c>
      <c r="AW1389">
        <v>849.70500000000004</v>
      </c>
      <c r="AX1389">
        <v>87</v>
      </c>
      <c r="AY1389">
        <v>1085</v>
      </c>
      <c r="AZ1389">
        <v>1373</v>
      </c>
      <c r="BA1389">
        <v>24</v>
      </c>
      <c r="BB1389">
        <v>337</v>
      </c>
      <c r="BD1389" t="s">
        <v>427</v>
      </c>
    </row>
    <row r="1390" spans="1:56" x14ac:dyDescent="0.3">
      <c r="A1390">
        <v>20185</v>
      </c>
      <c r="B1390">
        <v>0</v>
      </c>
      <c r="C1390">
        <v>48.59</v>
      </c>
      <c r="D1390">
        <v>0</v>
      </c>
      <c r="E1390">
        <v>0</v>
      </c>
      <c r="F1390">
        <v>0</v>
      </c>
      <c r="G1390">
        <v>0</v>
      </c>
      <c r="H1390">
        <v>2</v>
      </c>
      <c r="I1390">
        <v>0</v>
      </c>
      <c r="J1390">
        <v>7.3</v>
      </c>
      <c r="K1390">
        <v>35.5</v>
      </c>
      <c r="L1390">
        <v>0</v>
      </c>
      <c r="M1390">
        <v>0</v>
      </c>
      <c r="N1390">
        <v>0</v>
      </c>
      <c r="O1390">
        <v>5.7</v>
      </c>
      <c r="P1390">
        <v>0</v>
      </c>
      <c r="Q1390">
        <v>0.25</v>
      </c>
      <c r="R1390">
        <v>0</v>
      </c>
      <c r="S1390">
        <v>0</v>
      </c>
      <c r="T1390">
        <v>0.66</v>
      </c>
      <c r="U1390">
        <v>0</v>
      </c>
      <c r="V1390">
        <v>1</v>
      </c>
      <c r="W1390">
        <v>0</v>
      </c>
      <c r="X1390">
        <v>0</v>
      </c>
      <c r="Y1390">
        <v>0</v>
      </c>
      <c r="Z1390">
        <v>1</v>
      </c>
      <c r="AA1390">
        <v>0</v>
      </c>
      <c r="AB1390">
        <v>0</v>
      </c>
      <c r="AC1390">
        <v>0</v>
      </c>
      <c r="AD1390">
        <v>1400</v>
      </c>
      <c r="AE1390">
        <v>2</v>
      </c>
      <c r="AF1390">
        <v>0</v>
      </c>
      <c r="AG1390">
        <v>0</v>
      </c>
      <c r="AH1390">
        <v>1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16.994</v>
      </c>
      <c r="AV1390">
        <v>1.2826666666666666</v>
      </c>
      <c r="AW1390">
        <v>887.83500000000004</v>
      </c>
      <c r="AX1390">
        <v>94</v>
      </c>
      <c r="BB1390">
        <v>390</v>
      </c>
      <c r="BD1390" t="s">
        <v>427</v>
      </c>
    </row>
    <row r="1391" spans="1:56" x14ac:dyDescent="0.3">
      <c r="A1391">
        <v>20186</v>
      </c>
      <c r="B1391">
        <v>0</v>
      </c>
      <c r="C1391">
        <v>49.19</v>
      </c>
      <c r="D1391">
        <v>0</v>
      </c>
      <c r="E1391">
        <v>0</v>
      </c>
      <c r="F1391">
        <v>0</v>
      </c>
      <c r="G1391">
        <v>0</v>
      </c>
      <c r="H1391">
        <v>2</v>
      </c>
      <c r="I1391">
        <v>0</v>
      </c>
      <c r="J1391">
        <v>7.3</v>
      </c>
      <c r="K1391">
        <v>35.5</v>
      </c>
      <c r="L1391">
        <v>0</v>
      </c>
      <c r="M1391">
        <v>0</v>
      </c>
      <c r="N1391">
        <v>0</v>
      </c>
      <c r="O1391">
        <v>5.7</v>
      </c>
      <c r="P1391">
        <v>0</v>
      </c>
      <c r="Q1391">
        <v>0.25</v>
      </c>
      <c r="R1391">
        <v>0</v>
      </c>
      <c r="S1391">
        <v>0</v>
      </c>
      <c r="T1391">
        <v>0.06</v>
      </c>
      <c r="U1391">
        <v>0</v>
      </c>
      <c r="V1391">
        <v>1</v>
      </c>
      <c r="W1391">
        <v>0</v>
      </c>
      <c r="X1391">
        <v>0</v>
      </c>
      <c r="Y1391">
        <v>0</v>
      </c>
      <c r="Z1391">
        <v>1</v>
      </c>
      <c r="AA1391">
        <v>0</v>
      </c>
      <c r="AB1391">
        <v>0</v>
      </c>
      <c r="AC1391">
        <v>0</v>
      </c>
      <c r="AD1391">
        <v>1400</v>
      </c>
      <c r="AE1391">
        <v>2</v>
      </c>
      <c r="AF1391">
        <v>0</v>
      </c>
      <c r="AG1391">
        <v>0</v>
      </c>
      <c r="AH1391">
        <v>1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16.994</v>
      </c>
      <c r="AV1391">
        <v>1.2226666666666666</v>
      </c>
      <c r="AW1391">
        <v>814.03500000000008</v>
      </c>
      <c r="AX1391">
        <v>85</v>
      </c>
      <c r="BB1391">
        <v>328</v>
      </c>
      <c r="BD1391" t="s">
        <v>427</v>
      </c>
    </row>
    <row r="1392" spans="1:56" x14ac:dyDescent="0.3">
      <c r="A1392">
        <v>20187</v>
      </c>
      <c r="B1392">
        <v>1</v>
      </c>
      <c r="C1392">
        <v>54.55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8.92</v>
      </c>
      <c r="K1392">
        <v>19.649999999999999</v>
      </c>
      <c r="L1392">
        <v>6.52</v>
      </c>
      <c r="M1392">
        <v>0</v>
      </c>
      <c r="N1392">
        <v>0</v>
      </c>
      <c r="O1392">
        <v>10.36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1</v>
      </c>
      <c r="W1392">
        <v>0</v>
      </c>
      <c r="X1392">
        <v>0</v>
      </c>
      <c r="Y1392">
        <v>0</v>
      </c>
      <c r="Z1392">
        <v>1</v>
      </c>
      <c r="AA1392">
        <v>0</v>
      </c>
      <c r="AB1392">
        <v>0</v>
      </c>
      <c r="AC1392">
        <v>0</v>
      </c>
      <c r="AD1392">
        <v>1200</v>
      </c>
      <c r="AE1392">
        <v>30</v>
      </c>
      <c r="AF1392">
        <v>1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14.301199999999998</v>
      </c>
      <c r="AV1392">
        <v>1.4866666666666666</v>
      </c>
      <c r="AW1392">
        <v>758.51199999999994</v>
      </c>
      <c r="AX1392">
        <v>86.53</v>
      </c>
      <c r="BD1392" t="s">
        <v>415</v>
      </c>
    </row>
    <row r="1393" spans="1:56" x14ac:dyDescent="0.3">
      <c r="A1393">
        <v>20188</v>
      </c>
      <c r="B1393">
        <v>1</v>
      </c>
      <c r="C1393">
        <v>51.15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7.3</v>
      </c>
      <c r="K1393">
        <v>35.5</v>
      </c>
      <c r="L1393">
        <v>0</v>
      </c>
      <c r="M1393">
        <v>0</v>
      </c>
      <c r="N1393">
        <v>0</v>
      </c>
      <c r="O1393">
        <v>5.7</v>
      </c>
      <c r="P1393">
        <v>0</v>
      </c>
      <c r="Q1393">
        <v>0</v>
      </c>
      <c r="R1393">
        <v>0</v>
      </c>
      <c r="S1393">
        <v>0</v>
      </c>
      <c r="T1393">
        <v>0.35</v>
      </c>
      <c r="U1393">
        <v>0</v>
      </c>
      <c r="V1393">
        <v>0</v>
      </c>
      <c r="W1393">
        <v>1</v>
      </c>
      <c r="X1393">
        <v>1100</v>
      </c>
      <c r="Y1393">
        <v>0</v>
      </c>
      <c r="Z1393">
        <v>0</v>
      </c>
      <c r="AA1393">
        <v>0</v>
      </c>
      <c r="AB1393">
        <v>1</v>
      </c>
      <c r="AC1393">
        <v>0</v>
      </c>
      <c r="AD1393">
        <v>1400</v>
      </c>
      <c r="AE1393">
        <v>2</v>
      </c>
      <c r="AF1393">
        <v>0</v>
      </c>
      <c r="AG1393">
        <v>0</v>
      </c>
      <c r="AH1393">
        <v>1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11.194000000000001</v>
      </c>
      <c r="AV1393">
        <v>1.2516666666666665</v>
      </c>
      <c r="AW1393">
        <v>874.68</v>
      </c>
      <c r="AX1393">
        <v>79</v>
      </c>
      <c r="AY1393">
        <v>587</v>
      </c>
      <c r="AZ1393">
        <v>719</v>
      </c>
      <c r="BA1393">
        <v>27</v>
      </c>
      <c r="BB1393">
        <v>236</v>
      </c>
      <c r="BD1393" t="s">
        <v>427</v>
      </c>
    </row>
    <row r="1394" spans="1:56" x14ac:dyDescent="0.3">
      <c r="A1394">
        <v>20189</v>
      </c>
      <c r="B1394">
        <v>1</v>
      </c>
      <c r="C1394">
        <v>50.84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7.3</v>
      </c>
      <c r="K1394">
        <v>35.5</v>
      </c>
      <c r="L1394">
        <v>0</v>
      </c>
      <c r="M1394">
        <v>0</v>
      </c>
      <c r="N1394">
        <v>0</v>
      </c>
      <c r="O1394">
        <v>5.7</v>
      </c>
      <c r="P1394">
        <v>0</v>
      </c>
      <c r="Q1394">
        <v>0</v>
      </c>
      <c r="R1394">
        <v>0</v>
      </c>
      <c r="S1394">
        <v>0</v>
      </c>
      <c r="T1394">
        <v>0.66</v>
      </c>
      <c r="U1394">
        <v>0</v>
      </c>
      <c r="V1394">
        <v>0</v>
      </c>
      <c r="W1394">
        <v>1</v>
      </c>
      <c r="X1394">
        <v>1100</v>
      </c>
      <c r="Y1394">
        <v>0</v>
      </c>
      <c r="Z1394">
        <v>0</v>
      </c>
      <c r="AA1394">
        <v>0</v>
      </c>
      <c r="AB1394">
        <v>1</v>
      </c>
      <c r="AC1394">
        <v>0</v>
      </c>
      <c r="AD1394">
        <v>1400</v>
      </c>
      <c r="AE1394">
        <v>2</v>
      </c>
      <c r="AF1394">
        <v>0</v>
      </c>
      <c r="AG1394">
        <v>0</v>
      </c>
      <c r="AH1394">
        <v>1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11.194000000000001</v>
      </c>
      <c r="AV1394">
        <v>1.2826666666666666</v>
      </c>
      <c r="AW1394">
        <v>912.81</v>
      </c>
      <c r="AX1394">
        <v>81</v>
      </c>
      <c r="AY1394">
        <v>860</v>
      </c>
      <c r="AZ1394">
        <v>903</v>
      </c>
      <c r="BA1394">
        <v>16</v>
      </c>
      <c r="BB1394">
        <v>270</v>
      </c>
      <c r="BD1394" t="s">
        <v>427</v>
      </c>
    </row>
    <row r="1395" spans="1:56" x14ac:dyDescent="0.3">
      <c r="A1395">
        <v>20190</v>
      </c>
      <c r="B1395">
        <v>1</v>
      </c>
      <c r="C1395">
        <v>52.55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7.2</v>
      </c>
      <c r="K1395">
        <v>35</v>
      </c>
      <c r="L1395">
        <v>0</v>
      </c>
      <c r="M1395">
        <v>0</v>
      </c>
      <c r="N1395">
        <v>0</v>
      </c>
      <c r="O1395">
        <v>4.9000000000000004</v>
      </c>
      <c r="P1395">
        <v>0</v>
      </c>
      <c r="Q1395">
        <v>0</v>
      </c>
      <c r="R1395">
        <v>0</v>
      </c>
      <c r="S1395">
        <v>0</v>
      </c>
      <c r="T1395">
        <v>0.35</v>
      </c>
      <c r="U1395">
        <v>0</v>
      </c>
      <c r="V1395">
        <v>1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750</v>
      </c>
      <c r="AE1395">
        <v>8</v>
      </c>
      <c r="AF1395">
        <v>1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10.878</v>
      </c>
      <c r="AV1395">
        <v>1.2349999999999999</v>
      </c>
      <c r="AW1395">
        <v>875.36999999999989</v>
      </c>
      <c r="AX1395">
        <v>41.5</v>
      </c>
      <c r="AY1395">
        <v>857</v>
      </c>
      <c r="AZ1395">
        <v>876</v>
      </c>
      <c r="BA1395">
        <v>14.2</v>
      </c>
      <c r="BD1395" t="s">
        <v>428</v>
      </c>
    </row>
    <row r="1396" spans="1:56" x14ac:dyDescent="0.3">
      <c r="A1396">
        <v>20191</v>
      </c>
      <c r="B1396">
        <v>1</v>
      </c>
      <c r="C1396">
        <v>52.55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7.2</v>
      </c>
      <c r="K1396">
        <v>35</v>
      </c>
      <c r="L1396">
        <v>0</v>
      </c>
      <c r="M1396">
        <v>0</v>
      </c>
      <c r="N1396">
        <v>0</v>
      </c>
      <c r="O1396">
        <v>4.9000000000000004</v>
      </c>
      <c r="P1396">
        <v>0</v>
      </c>
      <c r="Q1396">
        <v>0</v>
      </c>
      <c r="R1396">
        <v>0</v>
      </c>
      <c r="S1396">
        <v>0</v>
      </c>
      <c r="T1396">
        <v>0.35</v>
      </c>
      <c r="U1396">
        <v>0</v>
      </c>
      <c r="V1396">
        <v>1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750</v>
      </c>
      <c r="AE1396">
        <v>8</v>
      </c>
      <c r="AF1396">
        <v>1</v>
      </c>
      <c r="AG1396">
        <v>0</v>
      </c>
      <c r="AH1396">
        <v>0</v>
      </c>
      <c r="AI1396">
        <v>300</v>
      </c>
      <c r="AJ1396">
        <v>8</v>
      </c>
      <c r="AK1396">
        <v>1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10.878</v>
      </c>
      <c r="AV1396">
        <v>1.2349999999999999</v>
      </c>
      <c r="AW1396">
        <v>875.36999999999989</v>
      </c>
      <c r="AX1396">
        <v>45.8</v>
      </c>
      <c r="AY1396">
        <v>923</v>
      </c>
      <c r="AZ1396">
        <v>969</v>
      </c>
      <c r="BA1396">
        <v>15.6</v>
      </c>
      <c r="BD1396" t="s">
        <v>429</v>
      </c>
    </row>
    <row r="1397" spans="1:56" x14ac:dyDescent="0.3">
      <c r="A1397">
        <v>20192</v>
      </c>
      <c r="B1397">
        <v>1</v>
      </c>
      <c r="C1397">
        <v>52.55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7.2</v>
      </c>
      <c r="K1397">
        <v>35</v>
      </c>
      <c r="L1397">
        <v>0</v>
      </c>
      <c r="M1397">
        <v>0</v>
      </c>
      <c r="N1397">
        <v>0</v>
      </c>
      <c r="O1397">
        <v>4.9000000000000004</v>
      </c>
      <c r="P1397">
        <v>0</v>
      </c>
      <c r="Q1397">
        <v>0</v>
      </c>
      <c r="R1397">
        <v>0</v>
      </c>
      <c r="S1397">
        <v>0</v>
      </c>
      <c r="T1397">
        <v>0.35</v>
      </c>
      <c r="U1397">
        <v>0</v>
      </c>
      <c r="V1397">
        <v>1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750</v>
      </c>
      <c r="AE1397">
        <v>8</v>
      </c>
      <c r="AF1397">
        <v>1</v>
      </c>
      <c r="AG1397">
        <v>0</v>
      </c>
      <c r="AH1397">
        <v>0</v>
      </c>
      <c r="AI1397">
        <v>350</v>
      </c>
      <c r="AJ1397">
        <v>16</v>
      </c>
      <c r="AK1397">
        <v>1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10.878</v>
      </c>
      <c r="AV1397">
        <v>1.2349999999999999</v>
      </c>
      <c r="AW1397">
        <v>875.36999999999989</v>
      </c>
      <c r="AX1397">
        <v>43.5</v>
      </c>
      <c r="AY1397">
        <v>966</v>
      </c>
      <c r="AZ1397">
        <v>1015</v>
      </c>
      <c r="BA1397">
        <v>13.7</v>
      </c>
      <c r="BD1397" t="s">
        <v>429</v>
      </c>
    </row>
    <row r="1398" spans="1:56" x14ac:dyDescent="0.3">
      <c r="A1398">
        <v>20193</v>
      </c>
      <c r="B1398">
        <v>1</v>
      </c>
      <c r="C1398">
        <v>52.55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7.2</v>
      </c>
      <c r="K1398">
        <v>35</v>
      </c>
      <c r="L1398">
        <v>0</v>
      </c>
      <c r="M1398">
        <v>0</v>
      </c>
      <c r="N1398">
        <v>0</v>
      </c>
      <c r="O1398">
        <v>4.9000000000000004</v>
      </c>
      <c r="P1398">
        <v>0</v>
      </c>
      <c r="Q1398">
        <v>0</v>
      </c>
      <c r="R1398">
        <v>0</v>
      </c>
      <c r="S1398">
        <v>0</v>
      </c>
      <c r="T1398">
        <v>0.35</v>
      </c>
      <c r="U1398">
        <v>0</v>
      </c>
      <c r="V1398">
        <v>1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750</v>
      </c>
      <c r="AE1398">
        <v>8</v>
      </c>
      <c r="AF1398">
        <v>1</v>
      </c>
      <c r="AG1398">
        <v>0</v>
      </c>
      <c r="AH1398">
        <v>0</v>
      </c>
      <c r="AI1398">
        <v>400</v>
      </c>
      <c r="AJ1398">
        <v>8</v>
      </c>
      <c r="AK1398">
        <v>1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10.878</v>
      </c>
      <c r="AV1398">
        <v>1.2349999999999999</v>
      </c>
      <c r="AW1398">
        <v>875.36999999999989</v>
      </c>
      <c r="AX1398">
        <v>42.8</v>
      </c>
      <c r="AY1398">
        <v>939</v>
      </c>
      <c r="AZ1398">
        <v>983</v>
      </c>
      <c r="BA1398">
        <v>5.3</v>
      </c>
      <c r="BD1398" t="s">
        <v>429</v>
      </c>
    </row>
    <row r="1399" spans="1:56" x14ac:dyDescent="0.3">
      <c r="A1399">
        <v>20194</v>
      </c>
      <c r="B1399">
        <v>1</v>
      </c>
      <c r="C1399">
        <v>52.55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7.2</v>
      </c>
      <c r="K1399">
        <v>35</v>
      </c>
      <c r="L1399">
        <v>0</v>
      </c>
      <c r="M1399">
        <v>0</v>
      </c>
      <c r="N1399">
        <v>0</v>
      </c>
      <c r="O1399">
        <v>4.9000000000000004</v>
      </c>
      <c r="P1399">
        <v>0</v>
      </c>
      <c r="Q1399">
        <v>0</v>
      </c>
      <c r="R1399">
        <v>0</v>
      </c>
      <c r="S1399">
        <v>0</v>
      </c>
      <c r="T1399">
        <v>0.35</v>
      </c>
      <c r="U1399">
        <v>0</v>
      </c>
      <c r="V1399">
        <v>1</v>
      </c>
      <c r="W1399">
        <v>0</v>
      </c>
      <c r="X1399">
        <v>0</v>
      </c>
      <c r="Y1399">
        <v>0</v>
      </c>
      <c r="Z1399">
        <v>1</v>
      </c>
      <c r="AA1399">
        <v>0</v>
      </c>
      <c r="AB1399">
        <v>0</v>
      </c>
      <c r="AC1399">
        <v>0</v>
      </c>
      <c r="AD1399">
        <v>750</v>
      </c>
      <c r="AE1399">
        <v>8</v>
      </c>
      <c r="AF1399">
        <v>1</v>
      </c>
      <c r="AG1399">
        <v>0</v>
      </c>
      <c r="AH1399">
        <v>0</v>
      </c>
      <c r="AI1399">
        <v>450</v>
      </c>
      <c r="AJ1399">
        <v>32</v>
      </c>
      <c r="AK1399">
        <v>1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10.878</v>
      </c>
      <c r="AV1399">
        <v>1.2349999999999999</v>
      </c>
      <c r="AW1399">
        <v>875.36999999999989</v>
      </c>
      <c r="AX1399">
        <v>44.7</v>
      </c>
      <c r="AY1399">
        <v>864</v>
      </c>
      <c r="AZ1399">
        <v>908</v>
      </c>
      <c r="BA1399">
        <v>3.4</v>
      </c>
      <c r="BD1399" t="s">
        <v>429</v>
      </c>
    </row>
    <row r="1400" spans="1:56" x14ac:dyDescent="0.3">
      <c r="A1400">
        <v>20195</v>
      </c>
      <c r="B1400">
        <v>1</v>
      </c>
      <c r="C1400">
        <v>52.55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7.2</v>
      </c>
      <c r="K1400">
        <v>35</v>
      </c>
      <c r="L1400">
        <v>0</v>
      </c>
      <c r="M1400">
        <v>0</v>
      </c>
      <c r="N1400">
        <v>0</v>
      </c>
      <c r="O1400">
        <v>4.9000000000000004</v>
      </c>
      <c r="P1400">
        <v>0</v>
      </c>
      <c r="Q1400">
        <v>0</v>
      </c>
      <c r="R1400">
        <v>0</v>
      </c>
      <c r="S1400">
        <v>0</v>
      </c>
      <c r="T1400">
        <v>0.35</v>
      </c>
      <c r="U1400">
        <v>0</v>
      </c>
      <c r="V1400">
        <v>1</v>
      </c>
      <c r="W1400">
        <v>0</v>
      </c>
      <c r="X1400">
        <v>0</v>
      </c>
      <c r="Y1400">
        <v>0</v>
      </c>
      <c r="Z1400">
        <v>1</v>
      </c>
      <c r="AA1400">
        <v>0</v>
      </c>
      <c r="AB1400">
        <v>0</v>
      </c>
      <c r="AC1400">
        <v>0</v>
      </c>
      <c r="AD1400">
        <v>750</v>
      </c>
      <c r="AE1400">
        <v>8</v>
      </c>
      <c r="AF1400">
        <v>1</v>
      </c>
      <c r="AG1400">
        <v>0</v>
      </c>
      <c r="AH1400">
        <v>0</v>
      </c>
      <c r="AI1400">
        <v>500</v>
      </c>
      <c r="AJ1400">
        <v>8</v>
      </c>
      <c r="AK1400">
        <v>1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10.878</v>
      </c>
      <c r="AV1400">
        <v>1.2349999999999999</v>
      </c>
      <c r="AW1400">
        <v>875.36999999999989</v>
      </c>
      <c r="AX1400">
        <v>44.2</v>
      </c>
      <c r="AY1400">
        <v>902</v>
      </c>
      <c r="AZ1400">
        <v>911</v>
      </c>
      <c r="BA1400">
        <v>4.5</v>
      </c>
      <c r="BD1400" t="s">
        <v>429</v>
      </c>
    </row>
    <row r="1401" spans="1:56" x14ac:dyDescent="0.3">
      <c r="A1401">
        <v>20196</v>
      </c>
      <c r="B1401">
        <v>1</v>
      </c>
      <c r="C1401">
        <v>52.55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7.2</v>
      </c>
      <c r="K1401">
        <v>35</v>
      </c>
      <c r="L1401">
        <v>0</v>
      </c>
      <c r="M1401">
        <v>0</v>
      </c>
      <c r="N1401">
        <v>0</v>
      </c>
      <c r="O1401">
        <v>4.9000000000000004</v>
      </c>
      <c r="P1401">
        <v>0</v>
      </c>
      <c r="Q1401">
        <v>0</v>
      </c>
      <c r="R1401">
        <v>0</v>
      </c>
      <c r="S1401">
        <v>0</v>
      </c>
      <c r="T1401">
        <v>0.35</v>
      </c>
      <c r="U1401">
        <v>0</v>
      </c>
      <c r="V1401">
        <v>1</v>
      </c>
      <c r="W1401">
        <v>0</v>
      </c>
      <c r="X1401">
        <v>0</v>
      </c>
      <c r="Y1401">
        <v>0</v>
      </c>
      <c r="Z1401">
        <v>1</v>
      </c>
      <c r="AA1401">
        <v>0</v>
      </c>
      <c r="AB1401">
        <v>0</v>
      </c>
      <c r="AC1401">
        <v>0</v>
      </c>
      <c r="AD1401">
        <v>750</v>
      </c>
      <c r="AE1401">
        <v>8</v>
      </c>
      <c r="AF1401">
        <v>1</v>
      </c>
      <c r="AG1401">
        <v>0</v>
      </c>
      <c r="AH1401">
        <v>0</v>
      </c>
      <c r="AI1401">
        <v>550</v>
      </c>
      <c r="AJ1401">
        <v>4</v>
      </c>
      <c r="AK1401">
        <v>1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10.878</v>
      </c>
      <c r="AV1401">
        <v>1.2349999999999999</v>
      </c>
      <c r="AW1401">
        <v>875.36999999999989</v>
      </c>
      <c r="AX1401">
        <v>43.3</v>
      </c>
      <c r="AY1401">
        <v>905</v>
      </c>
      <c r="AZ1401">
        <v>911</v>
      </c>
      <c r="BA1401">
        <v>2.2000000000000002</v>
      </c>
      <c r="BD1401" t="s">
        <v>429</v>
      </c>
    </row>
    <row r="1402" spans="1:56" x14ac:dyDescent="0.3">
      <c r="A1402">
        <v>20197</v>
      </c>
      <c r="B1402">
        <v>0</v>
      </c>
      <c r="C1402">
        <v>50.9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7.3</v>
      </c>
      <c r="K1402">
        <v>35.5</v>
      </c>
      <c r="L1402">
        <v>0</v>
      </c>
      <c r="M1402">
        <v>0</v>
      </c>
      <c r="N1402">
        <v>0</v>
      </c>
      <c r="O1402">
        <v>5.7</v>
      </c>
      <c r="P1402">
        <v>0</v>
      </c>
      <c r="Q1402">
        <v>0.25</v>
      </c>
      <c r="R1402">
        <v>0</v>
      </c>
      <c r="S1402">
        <v>0</v>
      </c>
      <c r="T1402">
        <v>0.35</v>
      </c>
      <c r="U1402">
        <v>0</v>
      </c>
      <c r="V1402">
        <v>0</v>
      </c>
      <c r="W1402">
        <v>1</v>
      </c>
      <c r="X1402">
        <v>1100</v>
      </c>
      <c r="Y1402">
        <v>0</v>
      </c>
      <c r="Z1402">
        <v>0</v>
      </c>
      <c r="AA1402">
        <v>0</v>
      </c>
      <c r="AB1402">
        <v>1</v>
      </c>
      <c r="AC1402">
        <v>0</v>
      </c>
      <c r="AD1402">
        <v>1400</v>
      </c>
      <c r="AE1402">
        <v>2</v>
      </c>
      <c r="AF1402">
        <v>0</v>
      </c>
      <c r="AG1402">
        <v>0</v>
      </c>
      <c r="AH1402">
        <v>1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11.194000000000001</v>
      </c>
      <c r="AV1402">
        <v>1.2516666666666665</v>
      </c>
      <c r="AW1402">
        <v>880.505</v>
      </c>
      <c r="AX1402">
        <v>82</v>
      </c>
      <c r="BB1402">
        <v>263</v>
      </c>
      <c r="BD1402" t="s">
        <v>427</v>
      </c>
    </row>
    <row r="1403" spans="1:56" x14ac:dyDescent="0.3">
      <c r="A1403">
        <v>20198</v>
      </c>
      <c r="B1403">
        <v>0</v>
      </c>
      <c r="C1403">
        <v>51.19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7.3</v>
      </c>
      <c r="K1403">
        <v>35.5</v>
      </c>
      <c r="L1403">
        <v>0</v>
      </c>
      <c r="M1403">
        <v>0</v>
      </c>
      <c r="N1403">
        <v>0</v>
      </c>
      <c r="O1403">
        <v>5.7</v>
      </c>
      <c r="P1403">
        <v>0</v>
      </c>
      <c r="Q1403">
        <v>0.25</v>
      </c>
      <c r="R1403">
        <v>0</v>
      </c>
      <c r="S1403">
        <v>0</v>
      </c>
      <c r="T1403">
        <v>0.06</v>
      </c>
      <c r="U1403">
        <v>0</v>
      </c>
      <c r="V1403">
        <v>0</v>
      </c>
      <c r="W1403">
        <v>1</v>
      </c>
      <c r="X1403">
        <v>1100</v>
      </c>
      <c r="Y1403">
        <v>0</v>
      </c>
      <c r="Z1403">
        <v>0</v>
      </c>
      <c r="AA1403">
        <v>0</v>
      </c>
      <c r="AB1403">
        <v>1</v>
      </c>
      <c r="AC1403">
        <v>0</v>
      </c>
      <c r="AD1403">
        <v>1400</v>
      </c>
      <c r="AE1403">
        <v>2</v>
      </c>
      <c r="AF1403">
        <v>0</v>
      </c>
      <c r="AG1403">
        <v>0</v>
      </c>
      <c r="AH1403">
        <v>1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11.194000000000001</v>
      </c>
      <c r="AV1403">
        <v>1.2226666666666666</v>
      </c>
      <c r="AW1403">
        <v>844.83500000000004</v>
      </c>
      <c r="AX1403">
        <v>65</v>
      </c>
      <c r="AY1403">
        <v>629</v>
      </c>
      <c r="AZ1403">
        <v>716</v>
      </c>
      <c r="BA1403">
        <v>13</v>
      </c>
      <c r="BB1403">
        <v>219</v>
      </c>
      <c r="BD1403" t="s">
        <v>427</v>
      </c>
    </row>
    <row r="1404" spans="1:56" x14ac:dyDescent="0.3">
      <c r="A1404">
        <v>20199</v>
      </c>
      <c r="B1404">
        <v>0</v>
      </c>
      <c r="C1404">
        <v>50.59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7.3</v>
      </c>
      <c r="K1404">
        <v>35.5</v>
      </c>
      <c r="L1404">
        <v>0</v>
      </c>
      <c r="M1404">
        <v>0</v>
      </c>
      <c r="N1404">
        <v>0</v>
      </c>
      <c r="O1404">
        <v>5.7</v>
      </c>
      <c r="P1404">
        <v>0</v>
      </c>
      <c r="Q1404">
        <v>0.25</v>
      </c>
      <c r="R1404">
        <v>0</v>
      </c>
      <c r="S1404">
        <v>0</v>
      </c>
      <c r="T1404">
        <v>0.66</v>
      </c>
      <c r="U1404">
        <v>0</v>
      </c>
      <c r="V1404">
        <v>0</v>
      </c>
      <c r="W1404">
        <v>1</v>
      </c>
      <c r="X1404">
        <v>1100</v>
      </c>
      <c r="Y1404">
        <v>0</v>
      </c>
      <c r="Z1404">
        <v>0</v>
      </c>
      <c r="AA1404">
        <v>0</v>
      </c>
      <c r="AB1404">
        <v>1</v>
      </c>
      <c r="AC1404">
        <v>0</v>
      </c>
      <c r="AD1404">
        <v>1400</v>
      </c>
      <c r="AE1404">
        <v>2</v>
      </c>
      <c r="AF1404">
        <v>0</v>
      </c>
      <c r="AG1404">
        <v>0</v>
      </c>
      <c r="AH1404">
        <v>1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11.194000000000001</v>
      </c>
      <c r="AV1404">
        <v>1.2826666666666666</v>
      </c>
      <c r="AW1404">
        <v>918.63499999999999</v>
      </c>
      <c r="AX1404">
        <v>87</v>
      </c>
      <c r="AY1404">
        <v>885</v>
      </c>
      <c r="AZ1404">
        <v>1099</v>
      </c>
      <c r="BA1404">
        <v>22</v>
      </c>
      <c r="BB1404">
        <v>294</v>
      </c>
      <c r="BD1404" t="s">
        <v>427</v>
      </c>
    </row>
    <row r="1405" spans="1:56" x14ac:dyDescent="0.3">
      <c r="A1405">
        <v>20200</v>
      </c>
      <c r="B1405">
        <v>1</v>
      </c>
      <c r="C1405">
        <v>90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10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1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3.3333333333333335</v>
      </c>
      <c r="AW1405">
        <v>924</v>
      </c>
      <c r="AX1405">
        <v>106</v>
      </c>
      <c r="AZ1405">
        <v>1180</v>
      </c>
      <c r="BD1405" t="s">
        <v>426</v>
      </c>
    </row>
    <row r="1406" spans="1:56" x14ac:dyDescent="0.3">
      <c r="A1406">
        <v>20201</v>
      </c>
      <c r="B1406">
        <v>1</v>
      </c>
      <c r="C1406">
        <v>85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15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1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5</v>
      </c>
      <c r="AW1406">
        <v>945</v>
      </c>
      <c r="AX1406">
        <v>128</v>
      </c>
      <c r="AZ1406">
        <v>1325</v>
      </c>
      <c r="BD1406" t="s">
        <v>426</v>
      </c>
    </row>
    <row r="1407" spans="1:56" x14ac:dyDescent="0.3">
      <c r="A1407">
        <v>20202</v>
      </c>
      <c r="B1407">
        <v>1</v>
      </c>
      <c r="C1407">
        <v>80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20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1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6.666666666666667</v>
      </c>
      <c r="AW1407">
        <v>966</v>
      </c>
      <c r="AX1407">
        <v>146</v>
      </c>
      <c r="AZ1407">
        <v>1525</v>
      </c>
      <c r="BD1407" t="s">
        <v>426</v>
      </c>
    </row>
    <row r="1408" spans="1:56" x14ac:dyDescent="0.3">
      <c r="A1408">
        <v>20203</v>
      </c>
      <c r="B1408">
        <v>1</v>
      </c>
      <c r="C1408">
        <v>95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1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1.6666666666666667</v>
      </c>
      <c r="AW1408">
        <v>903</v>
      </c>
      <c r="AX1408">
        <v>98</v>
      </c>
      <c r="AZ1408">
        <v>990</v>
      </c>
      <c r="BD1408" t="s">
        <v>426</v>
      </c>
    </row>
    <row r="1409" spans="1:56" x14ac:dyDescent="0.3">
      <c r="A1409">
        <v>20204</v>
      </c>
      <c r="B1409">
        <v>0</v>
      </c>
      <c r="C1409">
        <v>76.900000000000006</v>
      </c>
      <c r="D1409">
        <v>0</v>
      </c>
      <c r="E1409">
        <v>0.42</v>
      </c>
      <c r="F1409">
        <v>0.03</v>
      </c>
      <c r="G1409">
        <v>0</v>
      </c>
      <c r="H1409">
        <v>0.05</v>
      </c>
      <c r="I1409">
        <v>0.06</v>
      </c>
      <c r="J1409">
        <v>0</v>
      </c>
      <c r="K1409">
        <v>4.92</v>
      </c>
      <c r="L1409">
        <v>5.25</v>
      </c>
      <c r="M1409">
        <v>12.2</v>
      </c>
      <c r="N1409">
        <v>0</v>
      </c>
      <c r="O1409">
        <v>0</v>
      </c>
      <c r="P1409">
        <v>0</v>
      </c>
      <c r="Q1409">
        <v>0.04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1</v>
      </c>
      <c r="AA1409">
        <v>0</v>
      </c>
      <c r="AB1409">
        <v>0</v>
      </c>
      <c r="AC1409">
        <v>0</v>
      </c>
      <c r="AD1409">
        <v>1100</v>
      </c>
      <c r="AE1409">
        <v>7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7.1019999999999994</v>
      </c>
      <c r="AV1409">
        <v>4.0666666666666664</v>
      </c>
      <c r="AW1409">
        <v>878.20799999999997</v>
      </c>
      <c r="AX1409">
        <v>92.8</v>
      </c>
      <c r="BB1409">
        <v>397</v>
      </c>
      <c r="BD1409" t="s">
        <v>372</v>
      </c>
    </row>
    <row r="1410" spans="1:56" x14ac:dyDescent="0.3">
      <c r="A1410">
        <v>20205</v>
      </c>
      <c r="B1410">
        <v>1</v>
      </c>
      <c r="C1410">
        <v>65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11.4</v>
      </c>
      <c r="K1410">
        <v>11.6</v>
      </c>
      <c r="L1410">
        <v>0</v>
      </c>
      <c r="M1410">
        <v>12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1</v>
      </c>
      <c r="AA1410">
        <v>0</v>
      </c>
      <c r="AB1410">
        <v>0</v>
      </c>
      <c r="AC1410">
        <v>0</v>
      </c>
      <c r="AD1410">
        <v>1200</v>
      </c>
      <c r="AE1410">
        <v>24</v>
      </c>
      <c r="AF1410">
        <v>1</v>
      </c>
      <c r="AG1410">
        <v>0</v>
      </c>
      <c r="AH1410">
        <v>0</v>
      </c>
      <c r="AI1410">
        <v>900</v>
      </c>
      <c r="AJ1410">
        <v>0.16666666666666666</v>
      </c>
      <c r="AK1410">
        <v>1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3.2480000000000002</v>
      </c>
      <c r="AV1410">
        <v>5.9</v>
      </c>
      <c r="AW1410">
        <v>853.74</v>
      </c>
      <c r="AX1410">
        <v>42.1</v>
      </c>
      <c r="BD1410" t="s">
        <v>401</v>
      </c>
    </row>
    <row r="1411" spans="1:56" x14ac:dyDescent="0.3">
      <c r="A1411">
        <v>20206</v>
      </c>
      <c r="B1411">
        <v>1</v>
      </c>
      <c r="C1411">
        <v>65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9.8000000000000007</v>
      </c>
      <c r="K1411">
        <v>10.7</v>
      </c>
      <c r="L1411">
        <v>0</v>
      </c>
      <c r="M1411">
        <v>14.5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1000</v>
      </c>
      <c r="Y1411">
        <v>0</v>
      </c>
      <c r="Z1411">
        <v>0</v>
      </c>
      <c r="AA1411">
        <v>1</v>
      </c>
      <c r="AB1411">
        <v>0</v>
      </c>
      <c r="AC1411">
        <v>0</v>
      </c>
      <c r="AD1411">
        <v>1200</v>
      </c>
      <c r="AE1411">
        <v>24</v>
      </c>
      <c r="AF1411">
        <v>1</v>
      </c>
      <c r="AG1411">
        <v>0</v>
      </c>
      <c r="AH1411">
        <v>0</v>
      </c>
      <c r="AI1411">
        <v>900</v>
      </c>
      <c r="AJ1411">
        <v>0.16666666666666666</v>
      </c>
      <c r="AK1411">
        <v>1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2.996</v>
      </c>
      <c r="AV1411">
        <v>6.4666666666666668</v>
      </c>
      <c r="AW1411">
        <v>875.28</v>
      </c>
      <c r="AX1411">
        <v>61.4</v>
      </c>
      <c r="BD1411" t="s">
        <v>401</v>
      </c>
    </row>
    <row r="1412" spans="1:56" x14ac:dyDescent="0.3">
      <c r="A1412">
        <v>20207</v>
      </c>
      <c r="B1412">
        <v>1</v>
      </c>
      <c r="C1412">
        <v>67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11.4</v>
      </c>
      <c r="K1412">
        <v>9.8000000000000007</v>
      </c>
      <c r="L1412">
        <v>0</v>
      </c>
      <c r="M1412">
        <v>11.8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1</v>
      </c>
      <c r="W1412">
        <v>0</v>
      </c>
      <c r="X1412">
        <v>0</v>
      </c>
      <c r="Y1412">
        <v>0</v>
      </c>
      <c r="Z1412">
        <v>1</v>
      </c>
      <c r="AA1412">
        <v>0</v>
      </c>
      <c r="AB1412">
        <v>0</v>
      </c>
      <c r="AC1412">
        <v>0</v>
      </c>
      <c r="AD1412">
        <v>1200</v>
      </c>
      <c r="AE1412">
        <v>24</v>
      </c>
      <c r="AF1412">
        <v>1</v>
      </c>
      <c r="AG1412">
        <v>0</v>
      </c>
      <c r="AH1412">
        <v>0</v>
      </c>
      <c r="AI1412">
        <v>900</v>
      </c>
      <c r="AJ1412">
        <v>0.16666666666666666</v>
      </c>
      <c r="AK1412">
        <v>1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2.7440000000000007</v>
      </c>
      <c r="AV1412">
        <v>5.8333333333333339</v>
      </c>
      <c r="AW1412">
        <v>852.9</v>
      </c>
      <c r="AX1412">
        <v>57.2</v>
      </c>
      <c r="BD1412" t="s">
        <v>401</v>
      </c>
    </row>
    <row r="1413" spans="1:56" x14ac:dyDescent="0.3">
      <c r="A1413">
        <v>20208</v>
      </c>
      <c r="B1413">
        <v>1</v>
      </c>
      <c r="C1413">
        <v>65.599999999999994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11.6</v>
      </c>
      <c r="K1413">
        <v>5.7</v>
      </c>
      <c r="L1413">
        <v>5.3</v>
      </c>
      <c r="M1413">
        <v>11.8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1</v>
      </c>
      <c r="W1413">
        <v>0</v>
      </c>
      <c r="X1413">
        <v>0</v>
      </c>
      <c r="Y1413">
        <v>0</v>
      </c>
      <c r="Z1413">
        <v>1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0</v>
      </c>
      <c r="AR1413">
        <v>0</v>
      </c>
      <c r="AS1413">
        <v>0</v>
      </c>
      <c r="AT1413">
        <v>0</v>
      </c>
      <c r="AU1413">
        <v>6.8959999999999999</v>
      </c>
      <c r="AV1413">
        <v>5.8666666666666671</v>
      </c>
      <c r="AW1413">
        <v>801.17000000000007</v>
      </c>
      <c r="AX1413">
        <v>68.8</v>
      </c>
      <c r="BD1413" t="s">
        <v>405</v>
      </c>
    </row>
    <row r="1414" spans="1:56" x14ac:dyDescent="0.3">
      <c r="A1414">
        <v>20209</v>
      </c>
      <c r="B1414">
        <v>1</v>
      </c>
      <c r="C1414">
        <v>67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12.2</v>
      </c>
      <c r="K1414">
        <v>5.9</v>
      </c>
      <c r="L1414">
        <v>1.7</v>
      </c>
      <c r="M1414">
        <v>12.4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1</v>
      </c>
      <c r="W1414">
        <v>0</v>
      </c>
      <c r="X1414">
        <v>0</v>
      </c>
      <c r="Y1414">
        <v>0</v>
      </c>
      <c r="Z1414">
        <v>1</v>
      </c>
      <c r="AA1414">
        <v>0</v>
      </c>
      <c r="AB1414">
        <v>0</v>
      </c>
      <c r="AC1414">
        <v>0</v>
      </c>
      <c r="AD1414">
        <v>1200</v>
      </c>
      <c r="AE1414">
        <v>24</v>
      </c>
      <c r="AF1414">
        <v>1</v>
      </c>
      <c r="AG1414">
        <v>0</v>
      </c>
      <c r="AH1414">
        <v>0</v>
      </c>
      <c r="AI1414">
        <v>900</v>
      </c>
      <c r="AJ1414">
        <v>0.16666666666666666</v>
      </c>
      <c r="AK1414">
        <v>1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3.3520000000000003</v>
      </c>
      <c r="AV1414">
        <v>6.166666666666667</v>
      </c>
      <c r="AW1414">
        <v>833.75000000000011</v>
      </c>
      <c r="AX1414">
        <v>79.8</v>
      </c>
      <c r="BD1414" t="s">
        <v>401</v>
      </c>
    </row>
    <row r="1415" spans="1:56" x14ac:dyDescent="0.3">
      <c r="A1415">
        <v>20210</v>
      </c>
      <c r="B1415">
        <v>1</v>
      </c>
      <c r="C1415">
        <v>65.599999999999994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11.6</v>
      </c>
      <c r="K1415">
        <v>5.7</v>
      </c>
      <c r="L1415">
        <v>5.3</v>
      </c>
      <c r="M1415">
        <v>11.8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1</v>
      </c>
      <c r="W1415">
        <v>0</v>
      </c>
      <c r="X1415">
        <v>0</v>
      </c>
      <c r="Y1415">
        <v>0</v>
      </c>
      <c r="Z1415">
        <v>1</v>
      </c>
      <c r="AA1415">
        <v>0</v>
      </c>
      <c r="AB1415">
        <v>0</v>
      </c>
      <c r="AC1415">
        <v>0</v>
      </c>
      <c r="AD1415">
        <v>1200</v>
      </c>
      <c r="AE1415">
        <v>24</v>
      </c>
      <c r="AF1415">
        <v>1</v>
      </c>
      <c r="AG1415">
        <v>0</v>
      </c>
      <c r="AH1415">
        <v>0</v>
      </c>
      <c r="AI1415">
        <v>900</v>
      </c>
      <c r="AJ1415">
        <v>0.16666666666666666</v>
      </c>
      <c r="AK1415">
        <v>1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6.8959999999999999</v>
      </c>
      <c r="AV1415">
        <v>5.8666666666666671</v>
      </c>
      <c r="AW1415">
        <v>801.17000000000007</v>
      </c>
      <c r="AX1415">
        <v>69.3</v>
      </c>
      <c r="BD1415" t="s">
        <v>401</v>
      </c>
    </row>
    <row r="1416" spans="1:56" x14ac:dyDescent="0.3">
      <c r="A1416">
        <v>20211</v>
      </c>
      <c r="B1416">
        <v>1</v>
      </c>
      <c r="C1416">
        <v>70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30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1</v>
      </c>
      <c r="W1416">
        <v>0</v>
      </c>
      <c r="X1416">
        <v>0</v>
      </c>
      <c r="Y1416">
        <v>0</v>
      </c>
      <c r="Z1416">
        <v>1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6.6</v>
      </c>
      <c r="AV1416">
        <v>0</v>
      </c>
      <c r="AW1416">
        <v>882</v>
      </c>
      <c r="AX1416">
        <v>50</v>
      </c>
      <c r="BD1416" t="s">
        <v>430</v>
      </c>
    </row>
    <row r="1417" spans="1:56" x14ac:dyDescent="0.3">
      <c r="A1417">
        <v>20212</v>
      </c>
      <c r="B1417">
        <v>1</v>
      </c>
      <c r="C1417">
        <v>51.81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48.19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1</v>
      </c>
      <c r="W1417">
        <v>0</v>
      </c>
      <c r="X1417">
        <v>0</v>
      </c>
      <c r="Y1417">
        <v>0</v>
      </c>
      <c r="Z1417">
        <v>1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10.601799999999999</v>
      </c>
      <c r="AV1417">
        <v>0</v>
      </c>
      <c r="AW1417">
        <v>882</v>
      </c>
      <c r="AX1417">
        <v>75.77</v>
      </c>
      <c r="AY1417">
        <v>883</v>
      </c>
      <c r="AZ1417">
        <v>944</v>
      </c>
      <c r="BA1417">
        <v>11.72</v>
      </c>
      <c r="BD1417" t="s">
        <v>430</v>
      </c>
    </row>
    <row r="1418" spans="1:56" x14ac:dyDescent="0.3">
      <c r="A1418">
        <v>20213</v>
      </c>
      <c r="B1418">
        <v>1</v>
      </c>
      <c r="C1418">
        <v>48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52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1</v>
      </c>
      <c r="W1418">
        <v>0</v>
      </c>
      <c r="X1418">
        <v>0</v>
      </c>
      <c r="Y1418">
        <v>0</v>
      </c>
      <c r="Z1418">
        <v>1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11.44</v>
      </c>
      <c r="AV1418">
        <v>0</v>
      </c>
      <c r="AW1418">
        <v>882</v>
      </c>
      <c r="AX1418">
        <v>32</v>
      </c>
      <c r="BD1418" t="s">
        <v>430</v>
      </c>
    </row>
    <row r="1419" spans="1:56" x14ac:dyDescent="0.3">
      <c r="A1419">
        <v>20214</v>
      </c>
      <c r="B1419">
        <v>1</v>
      </c>
      <c r="C1419">
        <v>30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70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1</v>
      </c>
      <c r="X1419">
        <v>0</v>
      </c>
      <c r="Y1419">
        <v>80</v>
      </c>
      <c r="Z1419">
        <v>0</v>
      </c>
      <c r="AA1419">
        <v>1</v>
      </c>
      <c r="AB1419">
        <v>0</v>
      </c>
      <c r="AC1419">
        <v>0</v>
      </c>
      <c r="AD1419">
        <v>900</v>
      </c>
      <c r="AE1419">
        <v>6</v>
      </c>
      <c r="AF1419">
        <v>1</v>
      </c>
      <c r="AG1419">
        <v>0</v>
      </c>
      <c r="AH1419">
        <v>0</v>
      </c>
      <c r="AI1419">
        <v>950</v>
      </c>
      <c r="AJ1419">
        <v>1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15.4</v>
      </c>
      <c r="AV1419">
        <v>0</v>
      </c>
      <c r="AW1419">
        <v>882</v>
      </c>
      <c r="AX1419">
        <v>67</v>
      </c>
      <c r="AZ1419">
        <v>600</v>
      </c>
      <c r="BB1419">
        <v>227</v>
      </c>
      <c r="BD1419" t="s">
        <v>431</v>
      </c>
    </row>
    <row r="1420" spans="1:56" x14ac:dyDescent="0.3">
      <c r="A1420">
        <v>20215</v>
      </c>
      <c r="B1420">
        <v>1</v>
      </c>
      <c r="C1420">
        <v>50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25</v>
      </c>
      <c r="L1420">
        <v>0</v>
      </c>
      <c r="M1420">
        <v>0</v>
      </c>
      <c r="N1420">
        <v>0</v>
      </c>
      <c r="O1420">
        <v>25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1</v>
      </c>
      <c r="X1420">
        <v>0</v>
      </c>
      <c r="Y1420">
        <v>80</v>
      </c>
      <c r="Z1420">
        <v>0</v>
      </c>
      <c r="AA1420">
        <v>1</v>
      </c>
      <c r="AB1420">
        <v>0</v>
      </c>
      <c r="AC1420">
        <v>0</v>
      </c>
      <c r="AD1420">
        <v>950</v>
      </c>
      <c r="AE1420">
        <v>20</v>
      </c>
      <c r="AF1420">
        <v>1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12.5</v>
      </c>
      <c r="AV1420">
        <v>0</v>
      </c>
      <c r="AW1420">
        <v>882</v>
      </c>
      <c r="AX1420">
        <v>55</v>
      </c>
      <c r="AZ1420">
        <v>530</v>
      </c>
      <c r="BB1420">
        <v>145</v>
      </c>
      <c r="BD1420" t="s">
        <v>406</v>
      </c>
    </row>
    <row r="1421" spans="1:56" x14ac:dyDescent="0.3">
      <c r="A1421">
        <v>20216</v>
      </c>
      <c r="B1421">
        <v>1</v>
      </c>
      <c r="C1421">
        <v>82.698999999999998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1.49</v>
      </c>
      <c r="K1421">
        <v>0</v>
      </c>
      <c r="L1421">
        <v>0</v>
      </c>
      <c r="M1421">
        <v>0</v>
      </c>
      <c r="N1421">
        <v>0</v>
      </c>
      <c r="O1421">
        <v>15.1</v>
      </c>
      <c r="P1421">
        <v>0</v>
      </c>
      <c r="Q1421">
        <v>0</v>
      </c>
      <c r="R1421">
        <v>0</v>
      </c>
      <c r="S1421">
        <v>3.1E-2</v>
      </c>
      <c r="T1421">
        <v>0.68</v>
      </c>
      <c r="U1421">
        <v>0</v>
      </c>
      <c r="V1421">
        <v>1</v>
      </c>
      <c r="W1421">
        <v>0</v>
      </c>
      <c r="X1421">
        <v>0</v>
      </c>
      <c r="Y1421">
        <v>0</v>
      </c>
      <c r="Z1421">
        <v>1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3.3220000000000001</v>
      </c>
      <c r="AV1421">
        <v>0.31943333333333335</v>
      </c>
      <c r="AW1421">
        <v>955.35900000000004</v>
      </c>
      <c r="AX1421">
        <v>92.18</v>
      </c>
      <c r="AY1421">
        <v>869</v>
      </c>
      <c r="AZ1421">
        <v>890</v>
      </c>
      <c r="BA1421">
        <v>16.11</v>
      </c>
      <c r="BD1421" t="s">
        <v>432</v>
      </c>
    </row>
    <row r="1422" spans="1:56" x14ac:dyDescent="0.3">
      <c r="A1422">
        <v>20217</v>
      </c>
      <c r="B1422">
        <v>1</v>
      </c>
      <c r="C1422">
        <v>78.881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5.51</v>
      </c>
      <c r="K1422">
        <v>0</v>
      </c>
      <c r="L1422">
        <v>0</v>
      </c>
      <c r="M1422">
        <v>0</v>
      </c>
      <c r="N1422">
        <v>0</v>
      </c>
      <c r="O1422">
        <v>14.9</v>
      </c>
      <c r="P1422">
        <v>0</v>
      </c>
      <c r="Q1422">
        <v>0</v>
      </c>
      <c r="R1422">
        <v>0</v>
      </c>
      <c r="S1422">
        <v>2.9000000000000001E-2</v>
      </c>
      <c r="T1422">
        <v>0.68</v>
      </c>
      <c r="U1422">
        <v>0</v>
      </c>
      <c r="V1422">
        <v>1</v>
      </c>
      <c r="W1422">
        <v>0</v>
      </c>
      <c r="X1422">
        <v>0</v>
      </c>
      <c r="Y1422">
        <v>0</v>
      </c>
      <c r="Z1422">
        <v>1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3.278</v>
      </c>
      <c r="AV1422">
        <v>0.9892333333333333</v>
      </c>
      <c r="AW1422">
        <v>927.62099999999998</v>
      </c>
      <c r="AX1422">
        <v>71.62</v>
      </c>
      <c r="AY1422">
        <v>925</v>
      </c>
      <c r="AZ1422">
        <v>960</v>
      </c>
      <c r="BA1422">
        <v>18.920000000000002</v>
      </c>
      <c r="BD1422" t="s">
        <v>432</v>
      </c>
    </row>
    <row r="1423" spans="1:56" x14ac:dyDescent="0.3">
      <c r="A1423">
        <v>20218</v>
      </c>
      <c r="B1423">
        <v>1</v>
      </c>
      <c r="C1423">
        <v>73.515999999999991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10.6</v>
      </c>
      <c r="K1423">
        <v>0</v>
      </c>
      <c r="L1423">
        <v>0</v>
      </c>
      <c r="M1423">
        <v>0</v>
      </c>
      <c r="N1423">
        <v>0</v>
      </c>
      <c r="O1423">
        <v>15</v>
      </c>
      <c r="P1423">
        <v>0</v>
      </c>
      <c r="Q1423">
        <v>0</v>
      </c>
      <c r="R1423">
        <v>0</v>
      </c>
      <c r="S1423">
        <v>2.4E-2</v>
      </c>
      <c r="T1423">
        <v>0.86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1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3.3</v>
      </c>
      <c r="AV1423">
        <v>1.8550666666666666</v>
      </c>
      <c r="AW1423">
        <v>914.64</v>
      </c>
      <c r="AX1423">
        <v>42.93</v>
      </c>
      <c r="AY1423">
        <v>768</v>
      </c>
      <c r="AZ1423">
        <v>805</v>
      </c>
      <c r="BA1423">
        <v>15.12</v>
      </c>
      <c r="BD1423" t="s">
        <v>432</v>
      </c>
    </row>
    <row r="1424" spans="1:56" x14ac:dyDescent="0.3">
      <c r="A1424">
        <v>20219</v>
      </c>
      <c r="B1424">
        <v>1</v>
      </c>
      <c r="C1424">
        <v>65.745100000000008</v>
      </c>
      <c r="D1424">
        <v>0</v>
      </c>
      <c r="E1424">
        <v>0</v>
      </c>
      <c r="F1424">
        <v>4.04</v>
      </c>
      <c r="G1424">
        <v>0</v>
      </c>
      <c r="H1424">
        <v>0</v>
      </c>
      <c r="I1424">
        <v>0</v>
      </c>
      <c r="J1424">
        <v>30.08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2.7900000000000001E-2</v>
      </c>
      <c r="T1424">
        <v>0.107</v>
      </c>
      <c r="U1424">
        <v>0</v>
      </c>
      <c r="V1424">
        <v>0</v>
      </c>
      <c r="W1424">
        <v>1</v>
      </c>
      <c r="X1424">
        <v>1000</v>
      </c>
      <c r="Y1424">
        <v>70</v>
      </c>
      <c r="Z1424">
        <v>0</v>
      </c>
      <c r="AA1424">
        <v>1</v>
      </c>
      <c r="AB1424">
        <v>0</v>
      </c>
      <c r="AC1424">
        <v>0</v>
      </c>
      <c r="AD1424">
        <v>850</v>
      </c>
      <c r="AE1424">
        <v>1</v>
      </c>
      <c r="AF1424">
        <v>1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6.4640000000000004</v>
      </c>
      <c r="AV1424">
        <v>5.0268233333333328</v>
      </c>
      <c r="AW1424">
        <v>638.72499999999991</v>
      </c>
      <c r="AX1424">
        <v>67</v>
      </c>
      <c r="AY1424">
        <v>525</v>
      </c>
      <c r="AZ1424">
        <v>755</v>
      </c>
      <c r="BA1424">
        <v>2.5</v>
      </c>
      <c r="BD1424" t="s">
        <v>433</v>
      </c>
    </row>
    <row r="1425" spans="1:56" x14ac:dyDescent="0.3">
      <c r="A1425">
        <v>20220</v>
      </c>
      <c r="B1425">
        <v>1</v>
      </c>
      <c r="C1425">
        <v>64.550899999999999</v>
      </c>
      <c r="D1425">
        <v>0</v>
      </c>
      <c r="E1425">
        <v>0</v>
      </c>
      <c r="F1425">
        <v>5.1100000000000003</v>
      </c>
      <c r="G1425">
        <v>0</v>
      </c>
      <c r="H1425">
        <v>0</v>
      </c>
      <c r="I1425">
        <v>0</v>
      </c>
      <c r="J1425">
        <v>30.25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8.0999999999999996E-3</v>
      </c>
      <c r="T1425">
        <v>8.1000000000000003E-2</v>
      </c>
      <c r="U1425">
        <v>0</v>
      </c>
      <c r="V1425">
        <v>0</v>
      </c>
      <c r="W1425">
        <v>1</v>
      </c>
      <c r="X1425">
        <v>1000</v>
      </c>
      <c r="Y1425">
        <v>70</v>
      </c>
      <c r="Z1425">
        <v>0</v>
      </c>
      <c r="AA1425">
        <v>1</v>
      </c>
      <c r="AB1425">
        <v>0</v>
      </c>
      <c r="AC1425">
        <v>0</v>
      </c>
      <c r="AD1425">
        <v>850</v>
      </c>
      <c r="AE1425">
        <v>1</v>
      </c>
      <c r="AF1425">
        <v>1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8.1760000000000002</v>
      </c>
      <c r="AV1425">
        <v>5.0505766666666672</v>
      </c>
      <c r="AW1425">
        <v>621.40699999999993</v>
      </c>
      <c r="AX1425">
        <v>76</v>
      </c>
      <c r="AY1425">
        <v>855</v>
      </c>
      <c r="AZ1425">
        <v>965</v>
      </c>
      <c r="BA1425">
        <v>4.5</v>
      </c>
      <c r="BD1425" t="s">
        <v>433</v>
      </c>
    </row>
    <row r="1426" spans="1:56" x14ac:dyDescent="0.3">
      <c r="A1426">
        <v>20221</v>
      </c>
      <c r="B1426">
        <v>1</v>
      </c>
      <c r="C1426">
        <v>65.745100000000008</v>
      </c>
      <c r="D1426">
        <v>0</v>
      </c>
      <c r="E1426">
        <v>0</v>
      </c>
      <c r="F1426">
        <v>4.04</v>
      </c>
      <c r="G1426">
        <v>0</v>
      </c>
      <c r="H1426">
        <v>0</v>
      </c>
      <c r="I1426">
        <v>0</v>
      </c>
      <c r="J1426">
        <v>30.08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2.7900000000000001E-2</v>
      </c>
      <c r="T1426">
        <v>0.107</v>
      </c>
      <c r="U1426">
        <v>0</v>
      </c>
      <c r="V1426">
        <v>0</v>
      </c>
      <c r="W1426">
        <v>1</v>
      </c>
      <c r="X1426">
        <v>1000</v>
      </c>
      <c r="Y1426">
        <v>70</v>
      </c>
      <c r="Z1426">
        <v>0</v>
      </c>
      <c r="AA1426">
        <v>1</v>
      </c>
      <c r="AB1426">
        <v>0</v>
      </c>
      <c r="AC1426">
        <v>0</v>
      </c>
      <c r="AD1426">
        <v>850</v>
      </c>
      <c r="AE1426">
        <v>1</v>
      </c>
      <c r="AF1426">
        <v>1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6.4640000000000004</v>
      </c>
      <c r="AV1426">
        <v>5.0268233333333328</v>
      </c>
      <c r="AW1426">
        <v>638.72499999999991</v>
      </c>
      <c r="AX1426">
        <v>69.400000000000006</v>
      </c>
      <c r="AY1426">
        <v>505</v>
      </c>
      <c r="AZ1426">
        <v>690</v>
      </c>
      <c r="BA1426">
        <v>11</v>
      </c>
      <c r="BD1426" t="s">
        <v>433</v>
      </c>
    </row>
    <row r="1427" spans="1:56" x14ac:dyDescent="0.3">
      <c r="A1427">
        <v>20222</v>
      </c>
      <c r="B1427">
        <v>1</v>
      </c>
      <c r="C1427">
        <v>64.550899999999999</v>
      </c>
      <c r="D1427">
        <v>0</v>
      </c>
      <c r="E1427">
        <v>0</v>
      </c>
      <c r="F1427">
        <v>5.1100000000000003</v>
      </c>
      <c r="G1427">
        <v>0</v>
      </c>
      <c r="H1427">
        <v>0</v>
      </c>
      <c r="I1427">
        <v>0</v>
      </c>
      <c r="J1427">
        <v>30.25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8.0999999999999996E-3</v>
      </c>
      <c r="T1427">
        <v>8.1000000000000003E-2</v>
      </c>
      <c r="U1427">
        <v>0</v>
      </c>
      <c r="V1427">
        <v>0</v>
      </c>
      <c r="W1427">
        <v>1</v>
      </c>
      <c r="X1427">
        <v>1000</v>
      </c>
      <c r="Y1427">
        <v>70</v>
      </c>
      <c r="Z1427">
        <v>0</v>
      </c>
      <c r="AA1427">
        <v>1</v>
      </c>
      <c r="AB1427">
        <v>0</v>
      </c>
      <c r="AC1427">
        <v>0</v>
      </c>
      <c r="AD1427">
        <v>850</v>
      </c>
      <c r="AE1427">
        <v>1</v>
      </c>
      <c r="AF1427">
        <v>1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8.1760000000000002</v>
      </c>
      <c r="AV1427">
        <v>5.0505766666666672</v>
      </c>
      <c r="AW1427">
        <v>621.40699999999993</v>
      </c>
      <c r="AX1427">
        <v>66.599999999999994</v>
      </c>
      <c r="AY1427">
        <v>820</v>
      </c>
      <c r="AZ1427">
        <v>880</v>
      </c>
      <c r="BA1427">
        <v>6</v>
      </c>
      <c r="BD1427" t="s">
        <v>433</v>
      </c>
    </row>
    <row r="1428" spans="1:56" x14ac:dyDescent="0.3">
      <c r="A1428">
        <v>20223</v>
      </c>
      <c r="B1428">
        <v>1</v>
      </c>
      <c r="C1428">
        <v>63.886500000000005</v>
      </c>
      <c r="D1428">
        <v>0</v>
      </c>
      <c r="E1428">
        <v>0</v>
      </c>
      <c r="F1428">
        <v>1.03</v>
      </c>
      <c r="G1428">
        <v>0</v>
      </c>
      <c r="H1428">
        <v>0</v>
      </c>
      <c r="I1428">
        <v>0</v>
      </c>
      <c r="J1428">
        <v>29.95</v>
      </c>
      <c r="K1428">
        <v>0</v>
      </c>
      <c r="L1428">
        <v>5.07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7.4999999999999997E-3</v>
      </c>
      <c r="T1428">
        <v>5.6000000000000001E-2</v>
      </c>
      <c r="U1428">
        <v>0</v>
      </c>
      <c r="V1428">
        <v>0</v>
      </c>
      <c r="W1428">
        <v>1</v>
      </c>
      <c r="X1428">
        <v>1000</v>
      </c>
      <c r="Y1428">
        <v>70</v>
      </c>
      <c r="Z1428">
        <v>0</v>
      </c>
      <c r="AA1428">
        <v>1</v>
      </c>
      <c r="AB1428">
        <v>0</v>
      </c>
      <c r="AC1428">
        <v>0</v>
      </c>
      <c r="AD1428">
        <v>850</v>
      </c>
      <c r="AE1428">
        <v>1</v>
      </c>
      <c r="AF1428">
        <v>1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6.718</v>
      </c>
      <c r="AV1428">
        <v>4.9980166666666666</v>
      </c>
      <c r="AW1428">
        <v>621.60500000000013</v>
      </c>
      <c r="AX1428">
        <v>67.5</v>
      </c>
      <c r="AY1428">
        <v>548</v>
      </c>
      <c r="AZ1428">
        <v>550</v>
      </c>
      <c r="BA1428">
        <v>11.5</v>
      </c>
      <c r="BD1428" t="s">
        <v>433</v>
      </c>
    </row>
    <row r="1429" spans="1:56" x14ac:dyDescent="0.3">
      <c r="A1429">
        <v>20224</v>
      </c>
      <c r="B1429">
        <v>1</v>
      </c>
      <c r="C1429">
        <v>63.886500000000005</v>
      </c>
      <c r="D1429">
        <v>0</v>
      </c>
      <c r="E1429">
        <v>0</v>
      </c>
      <c r="F1429">
        <v>1.03</v>
      </c>
      <c r="G1429">
        <v>0</v>
      </c>
      <c r="H1429">
        <v>0</v>
      </c>
      <c r="I1429">
        <v>0</v>
      </c>
      <c r="J1429">
        <v>29.95</v>
      </c>
      <c r="K1429">
        <v>0</v>
      </c>
      <c r="L1429">
        <v>5.07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7.4999999999999997E-3</v>
      </c>
      <c r="T1429">
        <v>5.6000000000000001E-2</v>
      </c>
      <c r="U1429">
        <v>0</v>
      </c>
      <c r="V1429">
        <v>0</v>
      </c>
      <c r="W1429">
        <v>1</v>
      </c>
      <c r="X1429">
        <v>1000</v>
      </c>
      <c r="Y1429">
        <v>70</v>
      </c>
      <c r="Z1429">
        <v>0</v>
      </c>
      <c r="AA1429">
        <v>1</v>
      </c>
      <c r="AB1429">
        <v>0</v>
      </c>
      <c r="AC1429">
        <v>0</v>
      </c>
      <c r="AD1429">
        <v>850</v>
      </c>
      <c r="AE1429">
        <v>1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6.718</v>
      </c>
      <c r="AV1429">
        <v>4.9980166666666666</v>
      </c>
      <c r="AW1429">
        <v>621.60500000000013</v>
      </c>
      <c r="AX1429">
        <v>69.099999999999994</v>
      </c>
      <c r="AY1429">
        <v>510</v>
      </c>
      <c r="AZ1429">
        <v>512</v>
      </c>
      <c r="BA1429">
        <v>41.5</v>
      </c>
      <c r="BD1429" t="s">
        <v>433</v>
      </c>
    </row>
    <row r="1430" spans="1:56" x14ac:dyDescent="0.3">
      <c r="A1430">
        <v>20225</v>
      </c>
      <c r="B1430">
        <v>1</v>
      </c>
      <c r="C1430">
        <v>64.113200000000006</v>
      </c>
      <c r="D1430">
        <v>0</v>
      </c>
      <c r="E1430">
        <v>0</v>
      </c>
      <c r="F1430">
        <v>2.04</v>
      </c>
      <c r="G1430">
        <v>0</v>
      </c>
      <c r="H1430">
        <v>0</v>
      </c>
      <c r="I1430">
        <v>0</v>
      </c>
      <c r="J1430">
        <v>29.7</v>
      </c>
      <c r="K1430">
        <v>0</v>
      </c>
      <c r="L1430">
        <v>4.08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3.8E-3</v>
      </c>
      <c r="T1430">
        <v>6.3E-2</v>
      </c>
      <c r="U1430">
        <v>0</v>
      </c>
      <c r="V1430">
        <v>0</v>
      </c>
      <c r="W1430">
        <v>1</v>
      </c>
      <c r="X1430">
        <v>1000</v>
      </c>
      <c r="Y1430">
        <v>70</v>
      </c>
      <c r="Z1430">
        <v>0</v>
      </c>
      <c r="AA1430">
        <v>1</v>
      </c>
      <c r="AB1430">
        <v>0</v>
      </c>
      <c r="AC1430">
        <v>0</v>
      </c>
      <c r="AD1430">
        <v>850</v>
      </c>
      <c r="AE1430">
        <v>1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7.3440000000000003</v>
      </c>
      <c r="AV1430">
        <v>4.9566800000000004</v>
      </c>
      <c r="AW1430">
        <v>621.375</v>
      </c>
      <c r="AX1430">
        <v>74</v>
      </c>
      <c r="AY1430">
        <v>610</v>
      </c>
      <c r="AZ1430">
        <v>635</v>
      </c>
      <c r="BA1430">
        <v>10.5</v>
      </c>
      <c r="BD1430" t="s">
        <v>433</v>
      </c>
    </row>
    <row r="1431" spans="1:56" x14ac:dyDescent="0.3">
      <c r="A1431">
        <v>20226</v>
      </c>
      <c r="B1431">
        <v>1</v>
      </c>
      <c r="C1431">
        <v>64.113200000000006</v>
      </c>
      <c r="D1431">
        <v>0</v>
      </c>
      <c r="E1431">
        <v>0</v>
      </c>
      <c r="F1431">
        <v>2.04</v>
      </c>
      <c r="G1431">
        <v>0</v>
      </c>
      <c r="H1431">
        <v>0</v>
      </c>
      <c r="I1431">
        <v>0</v>
      </c>
      <c r="J1431">
        <v>29.7</v>
      </c>
      <c r="K1431">
        <v>0</v>
      </c>
      <c r="L1431">
        <v>4.08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3.8E-3</v>
      </c>
      <c r="T1431">
        <v>6.3E-2</v>
      </c>
      <c r="U1431">
        <v>0</v>
      </c>
      <c r="V1431">
        <v>0</v>
      </c>
      <c r="W1431">
        <v>1</v>
      </c>
      <c r="X1431">
        <v>1000</v>
      </c>
      <c r="Y1431">
        <v>70</v>
      </c>
      <c r="Z1431">
        <v>0</v>
      </c>
      <c r="AA1431">
        <v>1</v>
      </c>
      <c r="AB1431">
        <v>0</v>
      </c>
      <c r="AC1431">
        <v>0</v>
      </c>
      <c r="AD1431">
        <v>850</v>
      </c>
      <c r="AE1431">
        <v>1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7.3440000000000003</v>
      </c>
      <c r="AV1431">
        <v>4.9566800000000004</v>
      </c>
      <c r="AW1431">
        <v>621.375</v>
      </c>
      <c r="AX1431">
        <v>64.2</v>
      </c>
      <c r="AY1431">
        <v>590</v>
      </c>
      <c r="AZ1431">
        <v>580</v>
      </c>
      <c r="BA1431">
        <v>34</v>
      </c>
      <c r="BD1431" t="s">
        <v>433</v>
      </c>
    </row>
    <row r="1432" spans="1:56" x14ac:dyDescent="0.3">
      <c r="A1432">
        <v>20227</v>
      </c>
      <c r="B1432">
        <v>1</v>
      </c>
      <c r="C1432">
        <v>63.973999999999997</v>
      </c>
      <c r="D1432">
        <v>0</v>
      </c>
      <c r="E1432">
        <v>0</v>
      </c>
      <c r="F1432">
        <v>3.06</v>
      </c>
      <c r="G1432">
        <v>0</v>
      </c>
      <c r="H1432">
        <v>0</v>
      </c>
      <c r="I1432">
        <v>0</v>
      </c>
      <c r="J1432">
        <v>29.85</v>
      </c>
      <c r="K1432">
        <v>0</v>
      </c>
      <c r="L1432">
        <v>3.05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6.0000000000000001E-3</v>
      </c>
      <c r="T1432">
        <v>0.06</v>
      </c>
      <c r="U1432">
        <v>0</v>
      </c>
      <c r="V1432">
        <v>0</v>
      </c>
      <c r="W1432">
        <v>1</v>
      </c>
      <c r="X1432">
        <v>1000</v>
      </c>
      <c r="Y1432">
        <v>70</v>
      </c>
      <c r="Z1432">
        <v>0</v>
      </c>
      <c r="AA1432">
        <v>1</v>
      </c>
      <c r="AB1432">
        <v>0</v>
      </c>
      <c r="AC1432">
        <v>0</v>
      </c>
      <c r="AD1432">
        <v>850</v>
      </c>
      <c r="AE1432">
        <v>1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7.9460000000000006</v>
      </c>
      <c r="AV1432">
        <v>4.9816000000000003</v>
      </c>
      <c r="AW1432">
        <v>617.41399999999999</v>
      </c>
      <c r="AX1432">
        <v>87</v>
      </c>
      <c r="AY1432">
        <v>760</v>
      </c>
      <c r="AZ1432">
        <v>752</v>
      </c>
      <c r="BA1432">
        <v>8</v>
      </c>
      <c r="BD1432" t="s">
        <v>433</v>
      </c>
    </row>
    <row r="1433" spans="1:56" x14ac:dyDescent="0.3">
      <c r="A1433">
        <v>20228</v>
      </c>
      <c r="B1433">
        <v>1</v>
      </c>
      <c r="C1433">
        <v>63.973999999999997</v>
      </c>
      <c r="D1433">
        <v>0</v>
      </c>
      <c r="E1433">
        <v>0</v>
      </c>
      <c r="F1433">
        <v>3.06</v>
      </c>
      <c r="G1433">
        <v>0</v>
      </c>
      <c r="H1433">
        <v>0</v>
      </c>
      <c r="I1433">
        <v>0</v>
      </c>
      <c r="J1433">
        <v>29.85</v>
      </c>
      <c r="K1433">
        <v>0</v>
      </c>
      <c r="L1433">
        <v>3.05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6.0000000000000001E-3</v>
      </c>
      <c r="T1433">
        <v>0.06</v>
      </c>
      <c r="U1433">
        <v>0</v>
      </c>
      <c r="V1433">
        <v>0</v>
      </c>
      <c r="W1433">
        <v>1</v>
      </c>
      <c r="X1433">
        <v>1000</v>
      </c>
      <c r="Y1433">
        <v>70</v>
      </c>
      <c r="Z1433">
        <v>0</v>
      </c>
      <c r="AA1433">
        <v>1</v>
      </c>
      <c r="AB1433">
        <v>0</v>
      </c>
      <c r="AC1433">
        <v>0</v>
      </c>
      <c r="AD1433">
        <v>850</v>
      </c>
      <c r="AE1433">
        <v>1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7.9460000000000006</v>
      </c>
      <c r="AV1433">
        <v>4.9816000000000003</v>
      </c>
      <c r="AW1433">
        <v>617.41399999999999</v>
      </c>
      <c r="AX1433">
        <v>68.5</v>
      </c>
      <c r="AY1433">
        <v>646</v>
      </c>
      <c r="AZ1433">
        <v>645</v>
      </c>
      <c r="BA1433">
        <v>27.6</v>
      </c>
      <c r="BD1433" t="s">
        <v>433</v>
      </c>
    </row>
    <row r="1434" spans="1:56" x14ac:dyDescent="0.3">
      <c r="A1434">
        <v>20229</v>
      </c>
      <c r="B1434">
        <v>0</v>
      </c>
      <c r="C1434">
        <v>75.75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13</v>
      </c>
      <c r="K1434">
        <v>0</v>
      </c>
      <c r="L1434">
        <v>10</v>
      </c>
      <c r="M1434">
        <v>0</v>
      </c>
      <c r="N1434">
        <v>0</v>
      </c>
      <c r="O1434">
        <v>0</v>
      </c>
      <c r="P1434">
        <v>0</v>
      </c>
      <c r="Q1434">
        <v>1.25</v>
      </c>
      <c r="R1434">
        <v>0</v>
      </c>
      <c r="S1434">
        <v>0</v>
      </c>
      <c r="T1434">
        <v>0</v>
      </c>
      <c r="U1434">
        <v>0</v>
      </c>
      <c r="V1434">
        <v>1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10</v>
      </c>
      <c r="AV1434">
        <v>2.1666666666666665</v>
      </c>
      <c r="AW1434">
        <v>726.42499999999995</v>
      </c>
      <c r="AX1434">
        <v>32.622999999999998</v>
      </c>
      <c r="BD1434" t="s">
        <v>378</v>
      </c>
    </row>
    <row r="1435" spans="1:56" x14ac:dyDescent="0.3">
      <c r="A1435">
        <v>20230</v>
      </c>
      <c r="B1435">
        <v>1</v>
      </c>
      <c r="C1435">
        <v>76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18</v>
      </c>
      <c r="K1435">
        <v>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875</v>
      </c>
      <c r="AE1435">
        <v>0.33333333333333331</v>
      </c>
      <c r="AF1435">
        <v>1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1.6800000000000002</v>
      </c>
      <c r="AV1435">
        <v>3</v>
      </c>
      <c r="AW1435">
        <v>757.8</v>
      </c>
      <c r="AX1435">
        <v>85.2</v>
      </c>
      <c r="AY1435">
        <v>659</v>
      </c>
      <c r="AZ1435">
        <v>807</v>
      </c>
      <c r="BA1435">
        <v>8</v>
      </c>
      <c r="BD1435" t="s">
        <v>434</v>
      </c>
    </row>
    <row r="1436" spans="1:56" x14ac:dyDescent="0.3">
      <c r="A1436">
        <v>20231</v>
      </c>
      <c r="B1436">
        <v>1</v>
      </c>
      <c r="C1436">
        <v>76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18</v>
      </c>
      <c r="K1436">
        <v>6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1</v>
      </c>
      <c r="AA1436">
        <v>0</v>
      </c>
      <c r="AB1436">
        <v>0</v>
      </c>
      <c r="AC1436">
        <v>0</v>
      </c>
      <c r="AD1436">
        <v>875</v>
      </c>
      <c r="AE1436">
        <v>0.5</v>
      </c>
      <c r="AF1436">
        <v>1</v>
      </c>
      <c r="AG1436">
        <v>0</v>
      </c>
      <c r="AH1436">
        <v>0</v>
      </c>
      <c r="AI1436">
        <v>500</v>
      </c>
      <c r="AJ1436">
        <v>6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1.6800000000000002</v>
      </c>
      <c r="AV1436">
        <v>3</v>
      </c>
      <c r="AW1436">
        <v>757.8</v>
      </c>
      <c r="AX1436">
        <v>86.8</v>
      </c>
      <c r="AY1436">
        <v>733</v>
      </c>
      <c r="AZ1436">
        <v>876</v>
      </c>
      <c r="BA1436">
        <v>8</v>
      </c>
      <c r="BD1436" t="s">
        <v>434</v>
      </c>
    </row>
    <row r="1437" spans="1:56" x14ac:dyDescent="0.3">
      <c r="A1437">
        <v>20232</v>
      </c>
      <c r="B1437">
        <v>1</v>
      </c>
      <c r="C1437">
        <v>62.5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16.100000000000001</v>
      </c>
      <c r="K1437">
        <v>15.3</v>
      </c>
      <c r="L1437">
        <v>0</v>
      </c>
      <c r="M1437">
        <v>6.1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1000</v>
      </c>
      <c r="Y1437">
        <v>0</v>
      </c>
      <c r="Z1437">
        <v>0</v>
      </c>
      <c r="AA1437">
        <v>1</v>
      </c>
      <c r="AB1437">
        <v>0</v>
      </c>
      <c r="AC1437">
        <v>0</v>
      </c>
      <c r="AD1437">
        <v>1200</v>
      </c>
      <c r="AE1437">
        <v>24</v>
      </c>
      <c r="AF1437">
        <v>1</v>
      </c>
      <c r="AG1437">
        <v>0</v>
      </c>
      <c r="AH1437">
        <v>0</v>
      </c>
      <c r="AI1437">
        <v>900</v>
      </c>
      <c r="AJ1437">
        <v>0.16666666666666666</v>
      </c>
      <c r="AK1437">
        <v>1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4.2840000000000007</v>
      </c>
      <c r="AV1437">
        <v>4.7166666666666668</v>
      </c>
      <c r="AW1437">
        <v>796.53</v>
      </c>
      <c r="AX1437">
        <v>72.2</v>
      </c>
      <c r="BD1437" t="s">
        <v>401</v>
      </c>
    </row>
    <row r="1438" spans="1:56" x14ac:dyDescent="0.3">
      <c r="A1438">
        <v>20233</v>
      </c>
      <c r="B1438">
        <v>1</v>
      </c>
      <c r="C1438">
        <v>62.5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16.100000000000001</v>
      </c>
      <c r="K1438">
        <v>15.3</v>
      </c>
      <c r="L1438">
        <v>0</v>
      </c>
      <c r="M1438">
        <v>6.1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1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4.2840000000000007</v>
      </c>
      <c r="AV1438">
        <v>4.7166666666666668</v>
      </c>
      <c r="AW1438">
        <v>796.53</v>
      </c>
      <c r="AX1438">
        <v>72</v>
      </c>
      <c r="BD1438" t="s">
        <v>401</v>
      </c>
    </row>
    <row r="1439" spans="1:56" x14ac:dyDescent="0.3">
      <c r="A1439">
        <v>20234</v>
      </c>
      <c r="B1439">
        <v>1</v>
      </c>
      <c r="C1439">
        <v>61.900000000000006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18.7</v>
      </c>
      <c r="K1439">
        <v>9.6</v>
      </c>
      <c r="L1439">
        <v>0</v>
      </c>
      <c r="M1439">
        <v>9.8000000000000007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1000</v>
      </c>
      <c r="Y1439">
        <v>0</v>
      </c>
      <c r="Z1439">
        <v>0</v>
      </c>
      <c r="AA1439">
        <v>1</v>
      </c>
      <c r="AB1439">
        <v>0</v>
      </c>
      <c r="AC1439">
        <v>0</v>
      </c>
      <c r="AD1439">
        <v>1200</v>
      </c>
      <c r="AE1439">
        <v>24</v>
      </c>
      <c r="AF1439">
        <v>1</v>
      </c>
      <c r="AG1439">
        <v>0</v>
      </c>
      <c r="AH1439">
        <v>0</v>
      </c>
      <c r="AI1439">
        <v>900</v>
      </c>
      <c r="AJ1439">
        <v>0.16666666666666666</v>
      </c>
      <c r="AK1439">
        <v>1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2.6880000000000002</v>
      </c>
      <c r="AV1439">
        <v>6.3833333333333337</v>
      </c>
      <c r="AW1439">
        <v>794.13</v>
      </c>
      <c r="AX1439">
        <v>77.400000000000006</v>
      </c>
      <c r="BD1439" t="s">
        <v>401</v>
      </c>
    </row>
    <row r="1440" spans="1:56" x14ac:dyDescent="0.3">
      <c r="A1440">
        <v>20235</v>
      </c>
      <c r="B1440">
        <v>1</v>
      </c>
      <c r="C1440">
        <v>61.900000000000006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18.7</v>
      </c>
      <c r="K1440">
        <v>9.6</v>
      </c>
      <c r="L1440">
        <v>0</v>
      </c>
      <c r="M1440">
        <v>9.8000000000000007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1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2.6880000000000002</v>
      </c>
      <c r="AV1440">
        <v>6.3833333333333337</v>
      </c>
      <c r="AW1440">
        <v>794.13</v>
      </c>
      <c r="AX1440">
        <v>77.2</v>
      </c>
      <c r="BD1440" t="s">
        <v>405</v>
      </c>
    </row>
    <row r="1441" spans="1:56" x14ac:dyDescent="0.3">
      <c r="A1441">
        <v>20236</v>
      </c>
      <c r="B1441">
        <v>1</v>
      </c>
      <c r="C1441">
        <v>67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12.1</v>
      </c>
      <c r="K1441">
        <v>6.3</v>
      </c>
      <c r="L1441">
        <v>2.9</v>
      </c>
      <c r="M1441">
        <v>11.7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1</v>
      </c>
      <c r="AA1441">
        <v>0</v>
      </c>
      <c r="AB1441">
        <v>0</v>
      </c>
      <c r="AC1441">
        <v>0</v>
      </c>
      <c r="AD1441">
        <v>1200</v>
      </c>
      <c r="AE1441">
        <v>24</v>
      </c>
      <c r="AF1441">
        <v>1</v>
      </c>
      <c r="AG1441">
        <v>0</v>
      </c>
      <c r="AH1441">
        <v>0</v>
      </c>
      <c r="AI1441">
        <v>900</v>
      </c>
      <c r="AJ1441">
        <v>0.16666666666666666</v>
      </c>
      <c r="AK1441">
        <v>1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4.6639999999999997</v>
      </c>
      <c r="AV1441">
        <v>5.9166666666666661</v>
      </c>
      <c r="AW1441">
        <v>820.1</v>
      </c>
      <c r="AX1441">
        <v>52.6</v>
      </c>
      <c r="BD1441" t="s">
        <v>401</v>
      </c>
    </row>
    <row r="1442" spans="1:56" x14ac:dyDescent="0.3">
      <c r="A1442">
        <v>20237</v>
      </c>
      <c r="B1442">
        <v>1</v>
      </c>
      <c r="C1442">
        <v>66.8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11.8</v>
      </c>
      <c r="K1442">
        <v>5.8</v>
      </c>
      <c r="L1442">
        <v>3.9</v>
      </c>
      <c r="M1442">
        <v>11.7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1</v>
      </c>
      <c r="W1442">
        <v>0</v>
      </c>
      <c r="X1442">
        <v>0</v>
      </c>
      <c r="Y1442">
        <v>0</v>
      </c>
      <c r="Z1442">
        <v>1</v>
      </c>
      <c r="AA1442">
        <v>0</v>
      </c>
      <c r="AB1442">
        <v>0</v>
      </c>
      <c r="AC1442">
        <v>0</v>
      </c>
      <c r="AD1442">
        <v>1200</v>
      </c>
      <c r="AE1442">
        <v>24</v>
      </c>
      <c r="AF1442">
        <v>1</v>
      </c>
      <c r="AG1442">
        <v>0</v>
      </c>
      <c r="AH1442">
        <v>0</v>
      </c>
      <c r="AI1442">
        <v>900</v>
      </c>
      <c r="AJ1442">
        <v>0.16666666666666666</v>
      </c>
      <c r="AK1442">
        <v>1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5.524</v>
      </c>
      <c r="AV1442">
        <v>5.8666666666666671</v>
      </c>
      <c r="AW1442">
        <v>812.67000000000007</v>
      </c>
      <c r="AX1442">
        <v>66.5</v>
      </c>
      <c r="BD1442" t="s">
        <v>401</v>
      </c>
    </row>
    <row r="1443" spans="1:56" x14ac:dyDescent="0.3">
      <c r="A1443">
        <v>20238</v>
      </c>
      <c r="B1443">
        <v>1</v>
      </c>
      <c r="C1443">
        <v>68.692000000000007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15.4</v>
      </c>
      <c r="K1443">
        <v>0</v>
      </c>
      <c r="L1443">
        <v>0</v>
      </c>
      <c r="M1443">
        <v>0</v>
      </c>
      <c r="N1443">
        <v>0</v>
      </c>
      <c r="O1443">
        <v>15.1</v>
      </c>
      <c r="P1443">
        <v>0</v>
      </c>
      <c r="Q1443">
        <v>0</v>
      </c>
      <c r="R1443">
        <v>0</v>
      </c>
      <c r="S1443">
        <v>2.8000000000000001E-2</v>
      </c>
      <c r="T1443">
        <v>0.78</v>
      </c>
      <c r="U1443">
        <v>0</v>
      </c>
      <c r="V1443">
        <v>1</v>
      </c>
      <c r="W1443">
        <v>0</v>
      </c>
      <c r="X1443">
        <v>0</v>
      </c>
      <c r="Y1443">
        <v>0</v>
      </c>
      <c r="Z1443">
        <v>1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3.3220000000000001</v>
      </c>
      <c r="AV1443">
        <v>2.6474666666666669</v>
      </c>
      <c r="AW1443">
        <v>871.68000000000006</v>
      </c>
      <c r="AX1443">
        <v>72.19</v>
      </c>
      <c r="AY1443">
        <v>663</v>
      </c>
      <c r="AZ1443">
        <v>699</v>
      </c>
      <c r="BA1443">
        <v>24.82</v>
      </c>
      <c r="BD1443" t="s">
        <v>432</v>
      </c>
    </row>
    <row r="1444" spans="1:56" x14ac:dyDescent="0.3">
      <c r="A1444">
        <v>20239</v>
      </c>
      <c r="B1444">
        <v>1</v>
      </c>
      <c r="C1444">
        <v>80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10</v>
      </c>
      <c r="K1444">
        <v>5</v>
      </c>
      <c r="L1444">
        <v>0</v>
      </c>
      <c r="M1444">
        <v>0</v>
      </c>
      <c r="N1444">
        <v>0</v>
      </c>
      <c r="O1444">
        <v>5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1</v>
      </c>
      <c r="W1444">
        <v>0</v>
      </c>
      <c r="X1444">
        <v>0</v>
      </c>
      <c r="Y1444">
        <v>0</v>
      </c>
      <c r="Z1444">
        <v>1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2.5</v>
      </c>
      <c r="AV1444">
        <v>1.6666666666666667</v>
      </c>
      <c r="AW1444">
        <v>813</v>
      </c>
      <c r="AX1444">
        <v>51.97</v>
      </c>
      <c r="BD1444" t="s">
        <v>435</v>
      </c>
    </row>
    <row r="1445" spans="1:56" x14ac:dyDescent="0.3">
      <c r="A1445">
        <v>30001</v>
      </c>
      <c r="B1445">
        <v>1</v>
      </c>
      <c r="C1445">
        <v>65</v>
      </c>
      <c r="D1445">
        <v>0</v>
      </c>
      <c r="E1445">
        <v>0</v>
      </c>
      <c r="F1445">
        <v>0</v>
      </c>
      <c r="G1445">
        <v>0</v>
      </c>
      <c r="H1445">
        <v>2</v>
      </c>
      <c r="I1445">
        <v>0</v>
      </c>
      <c r="J1445">
        <v>10</v>
      </c>
      <c r="K1445">
        <v>23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782.2</v>
      </c>
      <c r="AE1445">
        <v>0</v>
      </c>
      <c r="AF1445">
        <v>1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1</v>
      </c>
      <c r="AO1445">
        <v>0</v>
      </c>
      <c r="AP1445">
        <v>1</v>
      </c>
      <c r="AQ1445">
        <v>0</v>
      </c>
      <c r="AR1445">
        <v>0</v>
      </c>
      <c r="AS1445">
        <v>0</v>
      </c>
      <c r="AT1445">
        <v>0</v>
      </c>
      <c r="AU1445">
        <v>12.24</v>
      </c>
      <c r="AV1445">
        <v>1.6666666666666667</v>
      </c>
      <c r="AW1445">
        <v>782.2</v>
      </c>
      <c r="AX1445">
        <v>79</v>
      </c>
      <c r="AY1445">
        <v>782</v>
      </c>
      <c r="BB1445">
        <v>252</v>
      </c>
      <c r="BC1445" t="s">
        <v>436</v>
      </c>
      <c r="BD1445" t="s">
        <v>531</v>
      </c>
    </row>
    <row r="1446" spans="1:56" x14ac:dyDescent="0.3">
      <c r="A1446">
        <v>30002</v>
      </c>
      <c r="B1446">
        <v>1</v>
      </c>
      <c r="C1446">
        <v>61.5</v>
      </c>
      <c r="D1446">
        <v>0</v>
      </c>
      <c r="E1446">
        <v>0</v>
      </c>
      <c r="F1446">
        <v>0</v>
      </c>
      <c r="G1446">
        <v>0</v>
      </c>
      <c r="H1446">
        <v>1.5</v>
      </c>
      <c r="I1446">
        <v>0</v>
      </c>
      <c r="J1446">
        <v>10</v>
      </c>
      <c r="K1446">
        <v>27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789.9</v>
      </c>
      <c r="AE1446">
        <v>0</v>
      </c>
      <c r="AF1446">
        <v>1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1</v>
      </c>
      <c r="AO1446">
        <v>0</v>
      </c>
      <c r="AP1446">
        <v>1</v>
      </c>
      <c r="AQ1446">
        <v>0</v>
      </c>
      <c r="AR1446">
        <v>0</v>
      </c>
      <c r="AS1446">
        <v>0</v>
      </c>
      <c r="AT1446">
        <v>0</v>
      </c>
      <c r="AU1446">
        <v>11.91</v>
      </c>
      <c r="AV1446">
        <v>1.6666666666666667</v>
      </c>
      <c r="AW1446">
        <v>789.9</v>
      </c>
      <c r="AX1446">
        <v>78</v>
      </c>
      <c r="AY1446">
        <v>735</v>
      </c>
      <c r="BB1446">
        <v>229</v>
      </c>
      <c r="BC1446" t="s">
        <v>436</v>
      </c>
      <c r="BD1446" t="s">
        <v>531</v>
      </c>
    </row>
    <row r="1447" spans="1:56" x14ac:dyDescent="0.3">
      <c r="A1447">
        <v>30003</v>
      </c>
      <c r="B1447">
        <v>1</v>
      </c>
      <c r="C1447">
        <v>58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10</v>
      </c>
      <c r="K1447">
        <v>31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797.6</v>
      </c>
      <c r="AE1447">
        <v>0</v>
      </c>
      <c r="AF1447">
        <v>1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1</v>
      </c>
      <c r="AO1447">
        <v>0</v>
      </c>
      <c r="AP1447">
        <v>1</v>
      </c>
      <c r="AQ1447">
        <v>0</v>
      </c>
      <c r="AR1447">
        <v>0</v>
      </c>
      <c r="AS1447">
        <v>0</v>
      </c>
      <c r="AT1447">
        <v>0</v>
      </c>
      <c r="AU1447">
        <v>11.580000000000002</v>
      </c>
      <c r="AV1447">
        <v>1.6666666666666667</v>
      </c>
      <c r="AW1447">
        <v>797.6</v>
      </c>
      <c r="AX1447">
        <v>77</v>
      </c>
      <c r="AY1447">
        <v>672</v>
      </c>
      <c r="BB1447">
        <v>218</v>
      </c>
      <c r="BC1447" t="s">
        <v>436</v>
      </c>
      <c r="BD1447" t="s">
        <v>531</v>
      </c>
    </row>
    <row r="1448" spans="1:56" x14ac:dyDescent="0.3">
      <c r="A1448">
        <v>30004</v>
      </c>
      <c r="B1448">
        <v>1</v>
      </c>
      <c r="C1448">
        <v>78.5</v>
      </c>
      <c r="D1448">
        <v>0</v>
      </c>
      <c r="E1448">
        <v>0</v>
      </c>
      <c r="F1448">
        <v>0</v>
      </c>
      <c r="G1448">
        <v>0</v>
      </c>
      <c r="H1448">
        <v>3.5</v>
      </c>
      <c r="I1448">
        <v>0</v>
      </c>
      <c r="J1448">
        <v>7</v>
      </c>
      <c r="K1448">
        <v>11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779.80000000000007</v>
      </c>
      <c r="AE1448">
        <v>0</v>
      </c>
      <c r="AF1448">
        <v>1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1</v>
      </c>
      <c r="AO1448">
        <v>0</v>
      </c>
      <c r="AP1448">
        <v>1</v>
      </c>
      <c r="AQ1448">
        <v>0</v>
      </c>
      <c r="AR1448">
        <v>0</v>
      </c>
      <c r="AS1448">
        <v>1</v>
      </c>
      <c r="AT1448">
        <v>0</v>
      </c>
      <c r="AU1448">
        <v>13.23</v>
      </c>
      <c r="AV1448">
        <v>1.1666666666666667</v>
      </c>
      <c r="AW1448">
        <v>779.80000000000007</v>
      </c>
      <c r="AX1448">
        <v>90</v>
      </c>
      <c r="AY1448">
        <v>1011</v>
      </c>
      <c r="BB1448">
        <v>358</v>
      </c>
      <c r="BC1448" t="s">
        <v>437</v>
      </c>
      <c r="BD1448" t="s">
        <v>532</v>
      </c>
    </row>
    <row r="1449" spans="1:56" x14ac:dyDescent="0.3">
      <c r="A1449">
        <v>30005</v>
      </c>
      <c r="B1449">
        <v>1</v>
      </c>
      <c r="C1449">
        <v>72.5</v>
      </c>
      <c r="D1449">
        <v>0</v>
      </c>
      <c r="E1449">
        <v>0</v>
      </c>
      <c r="F1449">
        <v>0</v>
      </c>
      <c r="G1449">
        <v>0</v>
      </c>
      <c r="H1449">
        <v>2.5</v>
      </c>
      <c r="I1449">
        <v>0</v>
      </c>
      <c r="J1449">
        <v>0</v>
      </c>
      <c r="K1449">
        <v>19</v>
      </c>
      <c r="L1449">
        <v>0</v>
      </c>
      <c r="M1449">
        <v>6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868.7</v>
      </c>
      <c r="AE1449">
        <v>0</v>
      </c>
      <c r="AF1449">
        <v>1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1</v>
      </c>
      <c r="AO1449">
        <v>0</v>
      </c>
      <c r="AP1449">
        <v>1</v>
      </c>
      <c r="AQ1449">
        <v>0</v>
      </c>
      <c r="AR1449">
        <v>0</v>
      </c>
      <c r="AS1449">
        <v>1</v>
      </c>
      <c r="AT1449">
        <v>0</v>
      </c>
      <c r="AU1449">
        <v>12.57</v>
      </c>
      <c r="AV1449">
        <v>2</v>
      </c>
      <c r="AW1449">
        <v>868.7</v>
      </c>
      <c r="AX1449">
        <v>71</v>
      </c>
      <c r="AY1449">
        <v>765</v>
      </c>
      <c r="BB1449">
        <v>260</v>
      </c>
      <c r="BC1449" t="s">
        <v>437</v>
      </c>
      <c r="BD1449" t="s">
        <v>532</v>
      </c>
    </row>
    <row r="1450" spans="1:56" x14ac:dyDescent="0.3">
      <c r="A1450">
        <v>30006</v>
      </c>
      <c r="B1450">
        <v>1</v>
      </c>
      <c r="C1450">
        <v>68.5</v>
      </c>
      <c r="D1450">
        <v>0</v>
      </c>
      <c r="E1450">
        <v>0</v>
      </c>
      <c r="F1450">
        <v>0</v>
      </c>
      <c r="G1450">
        <v>0</v>
      </c>
      <c r="H1450">
        <v>2.5</v>
      </c>
      <c r="I1450">
        <v>0</v>
      </c>
      <c r="J1450">
        <v>10</v>
      </c>
      <c r="K1450">
        <v>19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774.5</v>
      </c>
      <c r="AE1450">
        <v>0</v>
      </c>
      <c r="AF1450">
        <v>1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1</v>
      </c>
      <c r="AO1450">
        <v>0</v>
      </c>
      <c r="AP1450">
        <v>1</v>
      </c>
      <c r="AQ1450">
        <v>0</v>
      </c>
      <c r="AR1450">
        <v>0</v>
      </c>
      <c r="AS1450">
        <v>1</v>
      </c>
      <c r="AT1450">
        <v>0</v>
      </c>
      <c r="AU1450">
        <v>12.57</v>
      </c>
      <c r="AV1450">
        <v>1.6666666666666667</v>
      </c>
      <c r="AW1450">
        <v>774.5</v>
      </c>
      <c r="AX1450">
        <v>69</v>
      </c>
      <c r="AY1450">
        <v>1027</v>
      </c>
      <c r="BB1450">
        <v>267</v>
      </c>
      <c r="BC1450" t="s">
        <v>437</v>
      </c>
      <c r="BD1450" t="s">
        <v>532</v>
      </c>
    </row>
    <row r="1451" spans="1:56" x14ac:dyDescent="0.3">
      <c r="A1451">
        <v>30007</v>
      </c>
      <c r="B1451">
        <v>1</v>
      </c>
      <c r="C1451">
        <v>68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K1451">
        <v>31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866.6</v>
      </c>
      <c r="AE1451">
        <v>0</v>
      </c>
      <c r="AF1451">
        <v>1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1</v>
      </c>
      <c r="AO1451">
        <v>0</v>
      </c>
      <c r="AP1451">
        <v>1</v>
      </c>
      <c r="AQ1451">
        <v>0</v>
      </c>
      <c r="AR1451">
        <v>0</v>
      </c>
      <c r="AS1451">
        <v>1</v>
      </c>
      <c r="AT1451">
        <v>0</v>
      </c>
      <c r="AU1451">
        <v>11.580000000000002</v>
      </c>
      <c r="AV1451">
        <v>0</v>
      </c>
      <c r="AW1451">
        <v>866.6</v>
      </c>
      <c r="AX1451">
        <v>81</v>
      </c>
      <c r="AY1451">
        <v>477</v>
      </c>
      <c r="BB1451">
        <v>230</v>
      </c>
      <c r="BC1451" t="s">
        <v>438</v>
      </c>
      <c r="BD1451" t="s">
        <v>533</v>
      </c>
    </row>
    <row r="1452" spans="1:56" x14ac:dyDescent="0.3">
      <c r="A1452">
        <v>30008</v>
      </c>
      <c r="B1452">
        <v>1</v>
      </c>
      <c r="C1452">
        <v>71.5</v>
      </c>
      <c r="D1452">
        <v>0</v>
      </c>
      <c r="E1452">
        <v>0</v>
      </c>
      <c r="F1452">
        <v>0</v>
      </c>
      <c r="G1452">
        <v>0</v>
      </c>
      <c r="H1452">
        <v>1.5</v>
      </c>
      <c r="I1452">
        <v>0</v>
      </c>
      <c r="J1452">
        <v>0</v>
      </c>
      <c r="K1452">
        <v>27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858.9</v>
      </c>
      <c r="AE1452">
        <v>0</v>
      </c>
      <c r="AF1452">
        <v>1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1</v>
      </c>
      <c r="AO1452">
        <v>0</v>
      </c>
      <c r="AP1452">
        <v>1</v>
      </c>
      <c r="AQ1452">
        <v>0</v>
      </c>
      <c r="AR1452">
        <v>0</v>
      </c>
      <c r="AS1452">
        <v>1</v>
      </c>
      <c r="AT1452">
        <v>0</v>
      </c>
      <c r="AU1452">
        <v>11.91</v>
      </c>
      <c r="AV1452">
        <v>0</v>
      </c>
      <c r="AW1452">
        <v>858.9</v>
      </c>
      <c r="AX1452">
        <v>94</v>
      </c>
      <c r="AY1452">
        <v>496</v>
      </c>
      <c r="BB1452">
        <v>277</v>
      </c>
      <c r="BC1452" t="s">
        <v>438</v>
      </c>
      <c r="BD1452" t="s">
        <v>533</v>
      </c>
    </row>
    <row r="1453" spans="1:56" x14ac:dyDescent="0.3">
      <c r="A1453">
        <v>30009</v>
      </c>
      <c r="B1453">
        <v>1</v>
      </c>
      <c r="C1453">
        <v>75</v>
      </c>
      <c r="D1453">
        <v>0</v>
      </c>
      <c r="E1453">
        <v>0</v>
      </c>
      <c r="F1453">
        <v>0</v>
      </c>
      <c r="G1453">
        <v>0</v>
      </c>
      <c r="H1453">
        <v>2</v>
      </c>
      <c r="I1453">
        <v>0</v>
      </c>
      <c r="J1453">
        <v>0</v>
      </c>
      <c r="K1453">
        <v>23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851.2</v>
      </c>
      <c r="AE1453">
        <v>0</v>
      </c>
      <c r="AF1453">
        <v>1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1</v>
      </c>
      <c r="AO1453">
        <v>0</v>
      </c>
      <c r="AP1453">
        <v>1</v>
      </c>
      <c r="AQ1453">
        <v>0</v>
      </c>
      <c r="AR1453">
        <v>0</v>
      </c>
      <c r="AS1453">
        <v>1</v>
      </c>
      <c r="AT1453">
        <v>0</v>
      </c>
      <c r="AU1453">
        <v>12.24</v>
      </c>
      <c r="AV1453">
        <v>0</v>
      </c>
      <c r="AW1453">
        <v>851.2</v>
      </c>
      <c r="AX1453">
        <v>95</v>
      </c>
      <c r="AY1453">
        <v>604</v>
      </c>
      <c r="BB1453">
        <v>314</v>
      </c>
      <c r="BC1453" t="s">
        <v>438</v>
      </c>
      <c r="BD1453" t="s">
        <v>533</v>
      </c>
    </row>
    <row r="1454" spans="1:56" x14ac:dyDescent="0.3">
      <c r="A1454">
        <v>30010</v>
      </c>
      <c r="B1454">
        <v>1</v>
      </c>
      <c r="C1454">
        <v>78.5</v>
      </c>
      <c r="D1454">
        <v>0</v>
      </c>
      <c r="E1454">
        <v>0</v>
      </c>
      <c r="F1454">
        <v>0</v>
      </c>
      <c r="G1454">
        <v>0</v>
      </c>
      <c r="H1454">
        <v>2.5</v>
      </c>
      <c r="I1454">
        <v>0</v>
      </c>
      <c r="J1454">
        <v>0</v>
      </c>
      <c r="K1454">
        <v>19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843.5</v>
      </c>
      <c r="AE1454">
        <v>0</v>
      </c>
      <c r="AF1454">
        <v>1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1</v>
      </c>
      <c r="AO1454">
        <v>0</v>
      </c>
      <c r="AP1454">
        <v>1</v>
      </c>
      <c r="AQ1454">
        <v>0</v>
      </c>
      <c r="AR1454">
        <v>0</v>
      </c>
      <c r="AS1454">
        <v>1</v>
      </c>
      <c r="AT1454">
        <v>0</v>
      </c>
      <c r="AU1454">
        <v>12.57</v>
      </c>
      <c r="AV1454">
        <v>0</v>
      </c>
      <c r="AW1454">
        <v>843.5</v>
      </c>
      <c r="AX1454">
        <v>90</v>
      </c>
      <c r="AY1454">
        <v>672</v>
      </c>
      <c r="BB1454">
        <v>334</v>
      </c>
      <c r="BC1454" t="s">
        <v>438</v>
      </c>
      <c r="BD1454" t="s">
        <v>533</v>
      </c>
    </row>
    <row r="1455" spans="1:56" x14ac:dyDescent="0.3">
      <c r="A1455">
        <v>30011</v>
      </c>
      <c r="B1455">
        <v>1</v>
      </c>
      <c r="C1455">
        <v>82</v>
      </c>
      <c r="D1455">
        <v>0</v>
      </c>
      <c r="E1455">
        <v>0</v>
      </c>
      <c r="F1455">
        <v>0</v>
      </c>
      <c r="G1455">
        <v>0</v>
      </c>
      <c r="H1455">
        <v>3</v>
      </c>
      <c r="I1455">
        <v>0</v>
      </c>
      <c r="J1455">
        <v>0</v>
      </c>
      <c r="K1455">
        <v>15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835.8</v>
      </c>
      <c r="AE1455">
        <v>0</v>
      </c>
      <c r="AF1455">
        <v>1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1</v>
      </c>
      <c r="AO1455">
        <v>0</v>
      </c>
      <c r="AP1455">
        <v>1</v>
      </c>
      <c r="AQ1455">
        <v>0</v>
      </c>
      <c r="AR1455">
        <v>0</v>
      </c>
      <c r="AS1455">
        <v>1</v>
      </c>
      <c r="AT1455">
        <v>0</v>
      </c>
      <c r="AU1455">
        <v>12.899999999999999</v>
      </c>
      <c r="AV1455">
        <v>0</v>
      </c>
      <c r="AW1455">
        <v>835.8</v>
      </c>
      <c r="AX1455">
        <v>94</v>
      </c>
      <c r="AY1455">
        <v>695</v>
      </c>
      <c r="BB1455">
        <v>362</v>
      </c>
      <c r="BC1455" t="s">
        <v>438</v>
      </c>
      <c r="BD1455" t="s">
        <v>533</v>
      </c>
    </row>
    <row r="1456" spans="1:56" x14ac:dyDescent="0.3">
      <c r="A1456">
        <v>30012</v>
      </c>
      <c r="B1456">
        <v>1</v>
      </c>
      <c r="C1456">
        <v>85.5</v>
      </c>
      <c r="D1456">
        <v>0</v>
      </c>
      <c r="E1456">
        <v>0</v>
      </c>
      <c r="F1456">
        <v>0</v>
      </c>
      <c r="G1456">
        <v>0</v>
      </c>
      <c r="H1456">
        <v>3.5</v>
      </c>
      <c r="I1456">
        <v>0</v>
      </c>
      <c r="J1456">
        <v>0</v>
      </c>
      <c r="K1456">
        <v>11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828.1</v>
      </c>
      <c r="AE1456">
        <v>0</v>
      </c>
      <c r="AF1456">
        <v>1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1</v>
      </c>
      <c r="AO1456">
        <v>0</v>
      </c>
      <c r="AP1456">
        <v>1</v>
      </c>
      <c r="AQ1456">
        <v>0</v>
      </c>
      <c r="AR1456">
        <v>0</v>
      </c>
      <c r="AS1456">
        <v>1</v>
      </c>
      <c r="AT1456">
        <v>0</v>
      </c>
      <c r="AU1456">
        <v>13.23</v>
      </c>
      <c r="AV1456">
        <v>0</v>
      </c>
      <c r="AW1456">
        <v>828.1</v>
      </c>
      <c r="AX1456">
        <v>97</v>
      </c>
      <c r="AY1456">
        <v>715</v>
      </c>
      <c r="BB1456">
        <v>382</v>
      </c>
      <c r="BC1456" t="s">
        <v>438</v>
      </c>
      <c r="BD1456" t="s">
        <v>533</v>
      </c>
    </row>
    <row r="1457" spans="1:56" x14ac:dyDescent="0.3">
      <c r="A1457">
        <v>30013</v>
      </c>
      <c r="B1457">
        <v>1</v>
      </c>
      <c r="C1457">
        <v>70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30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882</v>
      </c>
      <c r="AE1457">
        <v>0</v>
      </c>
      <c r="AF1457">
        <v>1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1</v>
      </c>
      <c r="AO1457">
        <v>0</v>
      </c>
      <c r="AP1457">
        <v>1</v>
      </c>
      <c r="AQ1457">
        <v>0</v>
      </c>
      <c r="AR1457">
        <v>0</v>
      </c>
      <c r="AS1457">
        <v>1</v>
      </c>
      <c r="AT1457">
        <v>0</v>
      </c>
      <c r="AU1457">
        <v>8.4</v>
      </c>
      <c r="AV1457">
        <v>0</v>
      </c>
      <c r="AW1457">
        <v>882</v>
      </c>
      <c r="AX1457">
        <v>79</v>
      </c>
      <c r="AY1457">
        <v>348</v>
      </c>
      <c r="AZ1457">
        <v>601</v>
      </c>
      <c r="BB1457">
        <v>202</v>
      </c>
      <c r="BC1457" t="s">
        <v>439</v>
      </c>
      <c r="BD1457" t="s">
        <v>534</v>
      </c>
    </row>
    <row r="1458" spans="1:56" x14ac:dyDescent="0.3">
      <c r="A1458">
        <v>30014</v>
      </c>
      <c r="B1458">
        <v>1</v>
      </c>
      <c r="C1458">
        <v>69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K1458">
        <v>30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866.6</v>
      </c>
      <c r="AE1458">
        <v>0</v>
      </c>
      <c r="AF1458">
        <v>1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1</v>
      </c>
      <c r="AO1458">
        <v>0</v>
      </c>
      <c r="AP1458">
        <v>1</v>
      </c>
      <c r="AQ1458">
        <v>0</v>
      </c>
      <c r="AR1458">
        <v>0</v>
      </c>
      <c r="AS1458">
        <v>1</v>
      </c>
      <c r="AT1458">
        <v>0</v>
      </c>
      <c r="AU1458">
        <v>11.3</v>
      </c>
      <c r="AV1458">
        <v>0</v>
      </c>
      <c r="AW1458">
        <v>866.6</v>
      </c>
      <c r="AX1458">
        <v>79</v>
      </c>
      <c r="AY1458">
        <v>606</v>
      </c>
      <c r="AZ1458">
        <v>633</v>
      </c>
      <c r="BB1458">
        <v>284</v>
      </c>
      <c r="BC1458" t="s">
        <v>439</v>
      </c>
      <c r="BD1458" t="s">
        <v>534</v>
      </c>
    </row>
    <row r="1459" spans="1:56" x14ac:dyDescent="0.3">
      <c r="A1459">
        <v>30015</v>
      </c>
      <c r="B1459">
        <v>1</v>
      </c>
      <c r="C1459">
        <v>67</v>
      </c>
      <c r="D1459">
        <v>0</v>
      </c>
      <c r="E1459">
        <v>0</v>
      </c>
      <c r="F1459">
        <v>0</v>
      </c>
      <c r="G1459">
        <v>0</v>
      </c>
      <c r="H1459">
        <v>3</v>
      </c>
      <c r="I1459">
        <v>0</v>
      </c>
      <c r="J1459">
        <v>0</v>
      </c>
      <c r="K1459">
        <v>30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835.8</v>
      </c>
      <c r="AE1459">
        <v>0</v>
      </c>
      <c r="AF1459">
        <v>1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1</v>
      </c>
      <c r="AO1459">
        <v>0</v>
      </c>
      <c r="AP1459">
        <v>1</v>
      </c>
      <c r="AQ1459">
        <v>0</v>
      </c>
      <c r="AR1459">
        <v>0</v>
      </c>
      <c r="AS1459">
        <v>1</v>
      </c>
      <c r="AT1459">
        <v>0</v>
      </c>
      <c r="AU1459">
        <v>17.100000000000001</v>
      </c>
      <c r="AV1459">
        <v>0</v>
      </c>
      <c r="AW1459">
        <v>835.8</v>
      </c>
      <c r="AX1459">
        <v>78</v>
      </c>
      <c r="AY1459">
        <v>625</v>
      </c>
      <c r="AZ1459">
        <v>656</v>
      </c>
      <c r="BB1459">
        <v>255</v>
      </c>
      <c r="BC1459" t="s">
        <v>439</v>
      </c>
      <c r="BD1459" t="s">
        <v>534</v>
      </c>
    </row>
    <row r="1460" spans="1:56" x14ac:dyDescent="0.3">
      <c r="A1460">
        <v>30016</v>
      </c>
      <c r="B1460">
        <v>1</v>
      </c>
      <c r="C1460">
        <v>65</v>
      </c>
      <c r="D1460">
        <v>0</v>
      </c>
      <c r="E1460">
        <v>0</v>
      </c>
      <c r="F1460">
        <v>0</v>
      </c>
      <c r="G1460">
        <v>0</v>
      </c>
      <c r="H1460">
        <v>5</v>
      </c>
      <c r="I1460">
        <v>0</v>
      </c>
      <c r="J1460">
        <v>0</v>
      </c>
      <c r="K1460">
        <v>30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805</v>
      </c>
      <c r="AE1460">
        <v>0</v>
      </c>
      <c r="AF1460">
        <v>1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1</v>
      </c>
      <c r="AO1460">
        <v>0</v>
      </c>
      <c r="AP1460">
        <v>1</v>
      </c>
      <c r="AQ1460">
        <v>0</v>
      </c>
      <c r="AR1460">
        <v>0</v>
      </c>
      <c r="AS1460">
        <v>1</v>
      </c>
      <c r="AT1460">
        <v>0</v>
      </c>
      <c r="AU1460">
        <v>22.9</v>
      </c>
      <c r="AV1460">
        <v>0</v>
      </c>
      <c r="AW1460">
        <v>805</v>
      </c>
      <c r="AX1460">
        <v>79</v>
      </c>
      <c r="AY1460">
        <v>629</v>
      </c>
      <c r="AZ1460">
        <v>689</v>
      </c>
      <c r="BB1460">
        <v>246</v>
      </c>
      <c r="BC1460" t="s">
        <v>439</v>
      </c>
      <c r="BD1460" t="s">
        <v>534</v>
      </c>
    </row>
    <row r="1461" spans="1:56" x14ac:dyDescent="0.3">
      <c r="A1461">
        <v>30017</v>
      </c>
      <c r="B1461">
        <v>1</v>
      </c>
      <c r="C1461">
        <v>83</v>
      </c>
      <c r="D1461">
        <v>0</v>
      </c>
      <c r="E1461">
        <v>0</v>
      </c>
      <c r="F1461">
        <v>0</v>
      </c>
      <c r="G1461">
        <v>0</v>
      </c>
      <c r="H1461">
        <v>5</v>
      </c>
      <c r="I1461">
        <v>0</v>
      </c>
      <c r="J1461">
        <v>0</v>
      </c>
      <c r="K1461">
        <v>12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805</v>
      </c>
      <c r="AE1461">
        <v>0</v>
      </c>
      <c r="AF1461">
        <v>1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1</v>
      </c>
      <c r="AO1461">
        <v>0</v>
      </c>
      <c r="AP1461">
        <v>1</v>
      </c>
      <c r="AQ1461">
        <v>0</v>
      </c>
      <c r="AR1461">
        <v>0</v>
      </c>
      <c r="AS1461">
        <v>0</v>
      </c>
      <c r="AT1461">
        <v>0</v>
      </c>
      <c r="AU1461">
        <v>17.86</v>
      </c>
      <c r="AV1461">
        <v>0</v>
      </c>
      <c r="AW1461">
        <v>805</v>
      </c>
      <c r="AX1461">
        <v>90</v>
      </c>
      <c r="AY1461">
        <v>740</v>
      </c>
      <c r="BB1461">
        <v>293</v>
      </c>
      <c r="BC1461" t="s">
        <v>440</v>
      </c>
      <c r="BD1461" t="s">
        <v>535</v>
      </c>
    </row>
    <row r="1462" spans="1:56" x14ac:dyDescent="0.3">
      <c r="A1462">
        <v>30018</v>
      </c>
      <c r="B1462">
        <v>1</v>
      </c>
      <c r="C1462">
        <v>89</v>
      </c>
      <c r="D1462">
        <v>0</v>
      </c>
      <c r="E1462">
        <v>0</v>
      </c>
      <c r="F1462">
        <v>0</v>
      </c>
      <c r="G1462">
        <v>0</v>
      </c>
      <c r="H1462">
        <v>4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7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820.4</v>
      </c>
      <c r="AE1462">
        <v>0</v>
      </c>
      <c r="AF1462">
        <v>1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1</v>
      </c>
      <c r="AO1462">
        <v>0</v>
      </c>
      <c r="AP1462">
        <v>1</v>
      </c>
      <c r="AQ1462">
        <v>0</v>
      </c>
      <c r="AR1462">
        <v>1</v>
      </c>
      <c r="AS1462">
        <v>0</v>
      </c>
      <c r="AT1462">
        <v>0</v>
      </c>
      <c r="AU1462">
        <v>13.14</v>
      </c>
      <c r="AV1462">
        <v>0</v>
      </c>
      <c r="AW1462">
        <v>820.4</v>
      </c>
      <c r="AX1462">
        <v>110</v>
      </c>
      <c r="AY1462">
        <v>1250</v>
      </c>
      <c r="BB1462">
        <v>430</v>
      </c>
      <c r="BC1462" t="s">
        <v>440</v>
      </c>
      <c r="BD1462" t="s">
        <v>535</v>
      </c>
    </row>
    <row r="1463" spans="1:56" x14ac:dyDescent="0.3">
      <c r="A1463">
        <v>30019</v>
      </c>
      <c r="B1463">
        <v>1</v>
      </c>
      <c r="C1463">
        <v>86</v>
      </c>
      <c r="D1463">
        <v>0</v>
      </c>
      <c r="E1463">
        <v>0</v>
      </c>
      <c r="F1463">
        <v>0</v>
      </c>
      <c r="G1463">
        <v>0</v>
      </c>
      <c r="H1463">
        <v>4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820.4</v>
      </c>
      <c r="AE1463">
        <v>0</v>
      </c>
      <c r="AF1463">
        <v>1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1</v>
      </c>
      <c r="AO1463">
        <v>0</v>
      </c>
      <c r="AP1463">
        <v>1</v>
      </c>
      <c r="AQ1463">
        <v>0</v>
      </c>
      <c r="AR1463">
        <v>0</v>
      </c>
      <c r="AS1463">
        <v>1</v>
      </c>
      <c r="AT1463">
        <v>0</v>
      </c>
      <c r="AU1463">
        <v>13.8</v>
      </c>
      <c r="AV1463">
        <v>0</v>
      </c>
      <c r="AW1463">
        <v>820.4</v>
      </c>
      <c r="AX1463">
        <v>121</v>
      </c>
      <c r="AY1463">
        <v>1360</v>
      </c>
      <c r="BB1463">
        <v>410</v>
      </c>
      <c r="BC1463" t="s">
        <v>440</v>
      </c>
      <c r="BD1463" t="s">
        <v>535</v>
      </c>
    </row>
    <row r="1464" spans="1:56" x14ac:dyDescent="0.3">
      <c r="A1464">
        <v>30020</v>
      </c>
      <c r="B1464">
        <v>1</v>
      </c>
      <c r="C1464">
        <v>81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13</v>
      </c>
      <c r="M1464">
        <v>6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783.7</v>
      </c>
      <c r="AE1464">
        <v>0</v>
      </c>
      <c r="AF1464">
        <v>1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1</v>
      </c>
      <c r="AO1464">
        <v>0</v>
      </c>
      <c r="AP1464">
        <v>1</v>
      </c>
      <c r="AQ1464">
        <v>0</v>
      </c>
      <c r="AR1464">
        <v>0</v>
      </c>
      <c r="AS1464">
        <v>0</v>
      </c>
      <c r="AT1464">
        <v>0</v>
      </c>
      <c r="AU1464">
        <v>13</v>
      </c>
      <c r="AV1464">
        <v>2</v>
      </c>
      <c r="AW1464">
        <v>783.7</v>
      </c>
      <c r="AX1464">
        <v>66</v>
      </c>
      <c r="AY1464">
        <v>650</v>
      </c>
      <c r="BB1464">
        <v>314</v>
      </c>
      <c r="BC1464" t="s">
        <v>441</v>
      </c>
      <c r="BD1464" t="s">
        <v>536</v>
      </c>
    </row>
    <row r="1465" spans="1:56" x14ac:dyDescent="0.3">
      <c r="A1465">
        <v>30021</v>
      </c>
      <c r="B1465">
        <v>1</v>
      </c>
      <c r="C1465">
        <v>91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9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796.5</v>
      </c>
      <c r="AE1465">
        <v>0</v>
      </c>
      <c r="AF1465">
        <v>1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1</v>
      </c>
      <c r="AO1465">
        <v>0</v>
      </c>
      <c r="AP1465">
        <v>1</v>
      </c>
      <c r="AQ1465">
        <v>0</v>
      </c>
      <c r="AR1465">
        <v>0</v>
      </c>
      <c r="AS1465">
        <v>1</v>
      </c>
      <c r="AT1465">
        <v>0</v>
      </c>
      <c r="AU1465">
        <v>9</v>
      </c>
      <c r="AV1465">
        <v>0</v>
      </c>
      <c r="AW1465">
        <v>796.5</v>
      </c>
      <c r="AX1465">
        <v>91</v>
      </c>
      <c r="AY1465">
        <v>537</v>
      </c>
      <c r="AZ1465">
        <v>852</v>
      </c>
      <c r="BB1465">
        <v>350</v>
      </c>
      <c r="BC1465" t="s">
        <v>442</v>
      </c>
      <c r="BD1465" t="s">
        <v>537</v>
      </c>
    </row>
    <row r="1466" spans="1:56" x14ac:dyDescent="0.3">
      <c r="A1466">
        <v>30022</v>
      </c>
      <c r="B1466">
        <v>1</v>
      </c>
      <c r="C1466">
        <v>89.5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9</v>
      </c>
      <c r="M1466">
        <v>1.5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802.8</v>
      </c>
      <c r="AE1466">
        <v>0</v>
      </c>
      <c r="AF1466">
        <v>1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1</v>
      </c>
      <c r="AO1466">
        <v>0</v>
      </c>
      <c r="AP1466">
        <v>1</v>
      </c>
      <c r="AQ1466">
        <v>0</v>
      </c>
      <c r="AR1466">
        <v>0</v>
      </c>
      <c r="AS1466">
        <v>1</v>
      </c>
      <c r="AT1466">
        <v>0</v>
      </c>
      <c r="AU1466">
        <v>9</v>
      </c>
      <c r="AV1466">
        <v>0.5</v>
      </c>
      <c r="AW1466">
        <v>802.8</v>
      </c>
      <c r="AX1466">
        <v>89</v>
      </c>
      <c r="AY1466">
        <v>511</v>
      </c>
      <c r="AZ1466">
        <v>847</v>
      </c>
      <c r="BB1466">
        <v>312</v>
      </c>
      <c r="BC1466" t="s">
        <v>442</v>
      </c>
      <c r="BD1466" t="s">
        <v>537</v>
      </c>
    </row>
    <row r="1467" spans="1:56" x14ac:dyDescent="0.3">
      <c r="A1467">
        <v>30023</v>
      </c>
      <c r="B1467">
        <v>1</v>
      </c>
      <c r="C1467">
        <v>85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9</v>
      </c>
      <c r="M1467">
        <v>6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821.7</v>
      </c>
      <c r="AE1467">
        <v>0</v>
      </c>
      <c r="AF1467">
        <v>1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1</v>
      </c>
      <c r="AO1467">
        <v>0</v>
      </c>
      <c r="AP1467">
        <v>1</v>
      </c>
      <c r="AQ1467">
        <v>0</v>
      </c>
      <c r="AR1467">
        <v>0</v>
      </c>
      <c r="AS1467">
        <v>1</v>
      </c>
      <c r="AT1467">
        <v>0</v>
      </c>
      <c r="AU1467">
        <v>9</v>
      </c>
      <c r="AV1467">
        <v>2</v>
      </c>
      <c r="AW1467">
        <v>821.7</v>
      </c>
      <c r="AX1467">
        <v>78</v>
      </c>
      <c r="AY1467">
        <v>441</v>
      </c>
      <c r="AZ1467">
        <v>803</v>
      </c>
      <c r="BB1467">
        <v>271</v>
      </c>
      <c r="BC1467" t="s">
        <v>442</v>
      </c>
      <c r="BD1467" t="s">
        <v>537</v>
      </c>
    </row>
    <row r="1468" spans="1:56" x14ac:dyDescent="0.3">
      <c r="A1468">
        <v>30024</v>
      </c>
      <c r="B1468">
        <v>1</v>
      </c>
      <c r="C1468">
        <v>51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25</v>
      </c>
      <c r="K1468">
        <v>24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1</v>
      </c>
      <c r="W1468">
        <v>0</v>
      </c>
      <c r="X1468">
        <v>0</v>
      </c>
      <c r="Y1468">
        <v>0</v>
      </c>
      <c r="Z1468">
        <v>1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1</v>
      </c>
      <c r="AO1468">
        <v>0</v>
      </c>
      <c r="AP1468">
        <v>1</v>
      </c>
      <c r="AQ1468">
        <v>0</v>
      </c>
      <c r="AR1468">
        <v>0</v>
      </c>
      <c r="AS1468">
        <v>0</v>
      </c>
      <c r="AT1468">
        <v>0</v>
      </c>
      <c r="AU1468">
        <v>6.7200000000000006</v>
      </c>
      <c r="AV1468">
        <v>4.166666666666667</v>
      </c>
      <c r="AW1468">
        <v>709.5</v>
      </c>
      <c r="AX1468">
        <v>62</v>
      </c>
      <c r="AY1468">
        <v>810</v>
      </c>
      <c r="BB1468">
        <v>241.3</v>
      </c>
      <c r="BC1468" t="s">
        <v>443</v>
      </c>
      <c r="BD1468" t="s">
        <v>538</v>
      </c>
    </row>
    <row r="1469" spans="1:56" x14ac:dyDescent="0.3">
      <c r="A1469">
        <v>30025</v>
      </c>
      <c r="B1469">
        <v>1</v>
      </c>
      <c r="C1469">
        <v>38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32</v>
      </c>
      <c r="K1469">
        <v>30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1</v>
      </c>
      <c r="W1469">
        <v>0</v>
      </c>
      <c r="X1469">
        <v>0</v>
      </c>
      <c r="Y1469">
        <v>0</v>
      </c>
      <c r="Z1469">
        <v>1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1</v>
      </c>
      <c r="AO1469">
        <v>0</v>
      </c>
      <c r="AP1469">
        <v>1</v>
      </c>
      <c r="AQ1469">
        <v>0</v>
      </c>
      <c r="AR1469">
        <v>0</v>
      </c>
      <c r="AS1469">
        <v>0</v>
      </c>
      <c r="AT1469">
        <v>0</v>
      </c>
      <c r="AU1469">
        <v>8.4</v>
      </c>
      <c r="AV1469">
        <v>5.333333333333333</v>
      </c>
      <c r="AW1469">
        <v>661.2</v>
      </c>
      <c r="AX1469">
        <v>65</v>
      </c>
      <c r="AY1469">
        <v>782</v>
      </c>
      <c r="BB1469">
        <v>244.4</v>
      </c>
      <c r="BC1469" t="s">
        <v>443</v>
      </c>
      <c r="BD1469" t="s">
        <v>538</v>
      </c>
    </row>
    <row r="1470" spans="1:56" x14ac:dyDescent="0.3">
      <c r="A1470">
        <v>30026</v>
      </c>
      <c r="B1470">
        <v>1</v>
      </c>
      <c r="C1470">
        <v>37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35</v>
      </c>
      <c r="K1470">
        <v>28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X1470">
        <v>0</v>
      </c>
      <c r="Y1470">
        <v>0</v>
      </c>
      <c r="Z1470">
        <v>1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1</v>
      </c>
      <c r="AO1470">
        <v>0</v>
      </c>
      <c r="AP1470">
        <v>1</v>
      </c>
      <c r="AQ1470">
        <v>0</v>
      </c>
      <c r="AR1470">
        <v>0</v>
      </c>
      <c r="AS1470">
        <v>0</v>
      </c>
      <c r="AT1470">
        <v>0</v>
      </c>
      <c r="AU1470">
        <v>7.8400000000000007</v>
      </c>
      <c r="AV1470">
        <v>5.833333333333333</v>
      </c>
      <c r="AW1470">
        <v>640.5</v>
      </c>
      <c r="AX1470">
        <v>64</v>
      </c>
      <c r="AY1470">
        <v>729</v>
      </c>
      <c r="BB1470">
        <v>244</v>
      </c>
      <c r="BC1470" t="s">
        <v>443</v>
      </c>
      <c r="BD1470" t="s">
        <v>538</v>
      </c>
    </row>
    <row r="1471" spans="1:56" x14ac:dyDescent="0.3">
      <c r="A1471">
        <v>30027</v>
      </c>
      <c r="B1471">
        <v>1</v>
      </c>
      <c r="C1471">
        <v>34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41</v>
      </c>
      <c r="K1471">
        <v>25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1</v>
      </c>
      <c r="W1471">
        <v>0</v>
      </c>
      <c r="X1471">
        <v>0</v>
      </c>
      <c r="Y1471">
        <v>0</v>
      </c>
      <c r="Z1471">
        <v>1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1</v>
      </c>
      <c r="AO1471">
        <v>0</v>
      </c>
      <c r="AP1471">
        <v>1</v>
      </c>
      <c r="AQ1471">
        <v>0</v>
      </c>
      <c r="AR1471">
        <v>0</v>
      </c>
      <c r="AS1471">
        <v>0</v>
      </c>
      <c r="AT1471">
        <v>0</v>
      </c>
      <c r="AU1471">
        <v>7.0000000000000009</v>
      </c>
      <c r="AV1471">
        <v>6.833333333333333</v>
      </c>
      <c r="AW1471">
        <v>599.09999999999991</v>
      </c>
      <c r="AX1471">
        <v>63</v>
      </c>
      <c r="AY1471">
        <v>682</v>
      </c>
      <c r="BB1471">
        <v>235.6</v>
      </c>
      <c r="BC1471" t="s">
        <v>443</v>
      </c>
      <c r="BD1471" t="s">
        <v>538</v>
      </c>
    </row>
    <row r="1472" spans="1:56" x14ac:dyDescent="0.3">
      <c r="A1472">
        <v>30028</v>
      </c>
      <c r="B1472">
        <v>1</v>
      </c>
      <c r="C1472">
        <v>74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13</v>
      </c>
      <c r="K1472">
        <v>13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792.3</v>
      </c>
      <c r="AE1472">
        <v>0</v>
      </c>
      <c r="AF1472">
        <v>1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1</v>
      </c>
      <c r="AO1472">
        <v>0</v>
      </c>
      <c r="AP1472">
        <v>1</v>
      </c>
      <c r="AQ1472">
        <v>0</v>
      </c>
      <c r="AR1472">
        <v>1</v>
      </c>
      <c r="AS1472">
        <v>0</v>
      </c>
      <c r="AT1472">
        <v>0</v>
      </c>
      <c r="AU1472">
        <v>3.6400000000000006</v>
      </c>
      <c r="AV1472">
        <v>2.1666666666666665</v>
      </c>
      <c r="AW1472">
        <v>792.3</v>
      </c>
      <c r="AX1472">
        <v>66</v>
      </c>
      <c r="AY1472">
        <v>501</v>
      </c>
      <c r="BB1472">
        <v>220</v>
      </c>
      <c r="BC1472" t="s">
        <v>342</v>
      </c>
      <c r="BD1472" t="s">
        <v>539</v>
      </c>
    </row>
    <row r="1473" spans="1:56" x14ac:dyDescent="0.3">
      <c r="A1473">
        <v>30029</v>
      </c>
      <c r="B1473">
        <v>1</v>
      </c>
      <c r="C1473">
        <v>58.5</v>
      </c>
      <c r="D1473">
        <v>0</v>
      </c>
      <c r="E1473">
        <v>0</v>
      </c>
      <c r="F1473">
        <v>0</v>
      </c>
      <c r="G1473">
        <v>0</v>
      </c>
      <c r="H1473">
        <v>0.5</v>
      </c>
      <c r="I1473">
        <v>0</v>
      </c>
      <c r="J1473">
        <v>13</v>
      </c>
      <c r="K1473">
        <v>28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784.59999999999991</v>
      </c>
      <c r="AE1473">
        <v>0</v>
      </c>
      <c r="AF1473">
        <v>1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1</v>
      </c>
      <c r="AO1473">
        <v>0</v>
      </c>
      <c r="AP1473">
        <v>1</v>
      </c>
      <c r="AQ1473">
        <v>0</v>
      </c>
      <c r="AR1473">
        <v>1</v>
      </c>
      <c r="AS1473">
        <v>0</v>
      </c>
      <c r="AT1473">
        <v>0</v>
      </c>
      <c r="AU1473">
        <v>9.2900000000000009</v>
      </c>
      <c r="AV1473">
        <v>2.1666666666666665</v>
      </c>
      <c r="AW1473">
        <v>784.59999999999991</v>
      </c>
      <c r="AX1473">
        <v>58</v>
      </c>
      <c r="AY1473">
        <v>780</v>
      </c>
      <c r="BC1473" t="s">
        <v>444</v>
      </c>
      <c r="BD1473" t="s">
        <v>540</v>
      </c>
    </row>
    <row r="1474" spans="1:56" x14ac:dyDescent="0.3">
      <c r="A1474">
        <v>30030</v>
      </c>
      <c r="B1474">
        <v>1</v>
      </c>
      <c r="C1474">
        <v>70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10</v>
      </c>
      <c r="K1474">
        <v>19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797.6</v>
      </c>
      <c r="AE1474">
        <v>0</v>
      </c>
      <c r="AF1474">
        <v>1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1</v>
      </c>
      <c r="AO1474">
        <v>0</v>
      </c>
      <c r="AP1474">
        <v>1</v>
      </c>
      <c r="AQ1474">
        <v>0</v>
      </c>
      <c r="AR1474">
        <v>0</v>
      </c>
      <c r="AS1474">
        <v>1</v>
      </c>
      <c r="AT1474">
        <v>0</v>
      </c>
      <c r="AU1474">
        <v>8.2200000000000006</v>
      </c>
      <c r="AV1474">
        <v>1.6666666666666667</v>
      </c>
      <c r="AW1474">
        <v>797.6</v>
      </c>
      <c r="AX1474">
        <v>59</v>
      </c>
      <c r="AY1474">
        <v>553</v>
      </c>
      <c r="AZ1474">
        <v>723</v>
      </c>
      <c r="BC1474" t="s">
        <v>445</v>
      </c>
      <c r="BD1474" t="s">
        <v>541</v>
      </c>
    </row>
    <row r="1475" spans="1:56" x14ac:dyDescent="0.3">
      <c r="A1475">
        <v>30031</v>
      </c>
      <c r="B1475">
        <v>1</v>
      </c>
      <c r="C1475">
        <v>60.5</v>
      </c>
      <c r="D1475">
        <v>0</v>
      </c>
      <c r="E1475">
        <v>0</v>
      </c>
      <c r="F1475">
        <v>0</v>
      </c>
      <c r="G1475">
        <v>0</v>
      </c>
      <c r="H1475">
        <v>1.5</v>
      </c>
      <c r="I1475">
        <v>0</v>
      </c>
      <c r="J1475">
        <v>6</v>
      </c>
      <c r="K1475">
        <v>32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817.5</v>
      </c>
      <c r="AE1475">
        <v>0</v>
      </c>
      <c r="AF1475">
        <v>1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1</v>
      </c>
      <c r="AO1475">
        <v>0</v>
      </c>
      <c r="AP1475">
        <v>1</v>
      </c>
      <c r="AQ1475">
        <v>0</v>
      </c>
      <c r="AR1475">
        <v>0</v>
      </c>
      <c r="AS1475">
        <v>0</v>
      </c>
      <c r="AT1475">
        <v>0</v>
      </c>
      <c r="AU1475">
        <v>13.31</v>
      </c>
      <c r="AV1475">
        <v>1</v>
      </c>
      <c r="AW1475">
        <v>817.5</v>
      </c>
      <c r="AX1475">
        <v>62</v>
      </c>
      <c r="AY1475">
        <v>1038</v>
      </c>
      <c r="AZ1475">
        <v>1083</v>
      </c>
      <c r="BB1475">
        <v>218</v>
      </c>
      <c r="BC1475" t="s">
        <v>446</v>
      </c>
      <c r="BD1475" t="s">
        <v>542</v>
      </c>
    </row>
    <row r="1476" spans="1:56" x14ac:dyDescent="0.3">
      <c r="A1476">
        <v>30032</v>
      </c>
      <c r="B1476">
        <v>1</v>
      </c>
      <c r="C1476">
        <v>66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32</v>
      </c>
      <c r="L1476">
        <v>0</v>
      </c>
      <c r="M1476">
        <v>2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890.4</v>
      </c>
      <c r="AE1476">
        <v>0</v>
      </c>
      <c r="AF1476">
        <v>1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1</v>
      </c>
      <c r="AO1476">
        <v>0</v>
      </c>
      <c r="AP1476">
        <v>1</v>
      </c>
      <c r="AQ1476">
        <v>0</v>
      </c>
      <c r="AR1476">
        <v>0</v>
      </c>
      <c r="AS1476">
        <v>0</v>
      </c>
      <c r="AT1476">
        <v>0</v>
      </c>
      <c r="AU1476">
        <v>8.9600000000000009</v>
      </c>
      <c r="AV1476">
        <v>0.66666666666666663</v>
      </c>
      <c r="AW1476">
        <v>890.4</v>
      </c>
      <c r="AX1476">
        <v>60</v>
      </c>
      <c r="AY1476">
        <v>665</v>
      </c>
      <c r="BB1476">
        <v>260</v>
      </c>
      <c r="BC1476" t="s">
        <v>259</v>
      </c>
      <c r="BD1476" t="s">
        <v>543</v>
      </c>
    </row>
    <row r="1477" spans="1:56" x14ac:dyDescent="0.3">
      <c r="A1477">
        <v>30033</v>
      </c>
      <c r="B1477">
        <v>1</v>
      </c>
      <c r="C1477">
        <v>32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22</v>
      </c>
      <c r="K1477">
        <v>8</v>
      </c>
      <c r="L1477">
        <v>0</v>
      </c>
      <c r="M1477">
        <v>0</v>
      </c>
      <c r="N1477">
        <v>0</v>
      </c>
      <c r="O1477">
        <v>38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730.2</v>
      </c>
      <c r="AE1477">
        <v>0</v>
      </c>
      <c r="AF1477">
        <v>1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1</v>
      </c>
      <c r="AO1477">
        <v>0</v>
      </c>
      <c r="AP1477">
        <v>1</v>
      </c>
      <c r="AQ1477">
        <v>0</v>
      </c>
      <c r="AR1477">
        <v>0</v>
      </c>
      <c r="AS1477">
        <v>1</v>
      </c>
      <c r="AT1477">
        <v>0</v>
      </c>
      <c r="AU1477">
        <v>10.6</v>
      </c>
      <c r="AV1477">
        <v>3.6666666666666665</v>
      </c>
      <c r="AW1477">
        <v>730.2</v>
      </c>
      <c r="AX1477">
        <v>73</v>
      </c>
      <c r="AY1477">
        <v>1107</v>
      </c>
      <c r="BB1477">
        <v>365</v>
      </c>
      <c r="BC1477" t="s">
        <v>447</v>
      </c>
      <c r="BD1477" t="s">
        <v>544</v>
      </c>
    </row>
    <row r="1478" spans="1:56" x14ac:dyDescent="0.3">
      <c r="A1478">
        <v>30034</v>
      </c>
      <c r="B1478">
        <v>1</v>
      </c>
      <c r="C1478">
        <v>31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25</v>
      </c>
      <c r="K1478">
        <v>5</v>
      </c>
      <c r="L1478">
        <v>0</v>
      </c>
      <c r="M1478">
        <v>0</v>
      </c>
      <c r="N1478">
        <v>0</v>
      </c>
      <c r="O1478">
        <v>39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709.5</v>
      </c>
      <c r="AE1478">
        <v>0</v>
      </c>
      <c r="AF1478">
        <v>1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1</v>
      </c>
      <c r="AO1478">
        <v>0</v>
      </c>
      <c r="AP1478">
        <v>1</v>
      </c>
      <c r="AQ1478">
        <v>0</v>
      </c>
      <c r="AR1478">
        <v>0</v>
      </c>
      <c r="AS1478">
        <v>1</v>
      </c>
      <c r="AT1478">
        <v>0</v>
      </c>
      <c r="AU1478">
        <v>9.98</v>
      </c>
      <c r="AV1478">
        <v>4.166666666666667</v>
      </c>
      <c r="AW1478">
        <v>709.5</v>
      </c>
      <c r="AX1478">
        <v>75</v>
      </c>
      <c r="AY1478">
        <v>932</v>
      </c>
      <c r="BB1478">
        <v>422</v>
      </c>
      <c r="BC1478" t="s">
        <v>447</v>
      </c>
      <c r="BD1478" t="s">
        <v>544</v>
      </c>
    </row>
    <row r="1479" spans="1:56" x14ac:dyDescent="0.3">
      <c r="A1479">
        <v>30035</v>
      </c>
      <c r="B1479">
        <v>1</v>
      </c>
      <c r="C1479">
        <v>30.5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28</v>
      </c>
      <c r="K1479">
        <v>2.5</v>
      </c>
      <c r="L1479">
        <v>0</v>
      </c>
      <c r="M1479">
        <v>0</v>
      </c>
      <c r="N1479">
        <v>0</v>
      </c>
      <c r="O1479">
        <v>39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688.8</v>
      </c>
      <c r="AE1479">
        <v>0</v>
      </c>
      <c r="AF1479">
        <v>1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1</v>
      </c>
      <c r="AO1479">
        <v>0</v>
      </c>
      <c r="AP1479">
        <v>1</v>
      </c>
      <c r="AQ1479">
        <v>0</v>
      </c>
      <c r="AR1479">
        <v>0</v>
      </c>
      <c r="AS1479">
        <v>1</v>
      </c>
      <c r="AT1479">
        <v>0</v>
      </c>
      <c r="AU1479">
        <v>9.2799999999999994</v>
      </c>
      <c r="AV1479">
        <v>4.666666666666667</v>
      </c>
      <c r="AW1479">
        <v>688.8</v>
      </c>
      <c r="AX1479">
        <v>77</v>
      </c>
      <c r="AY1479">
        <v>953</v>
      </c>
      <c r="BB1479">
        <v>433</v>
      </c>
      <c r="BC1479" t="s">
        <v>447</v>
      </c>
      <c r="BD1479" t="s">
        <v>544</v>
      </c>
    </row>
    <row r="1480" spans="1:56" x14ac:dyDescent="0.3">
      <c r="A1480">
        <v>30036</v>
      </c>
      <c r="B1480">
        <v>1</v>
      </c>
      <c r="C1480">
        <v>90</v>
      </c>
      <c r="D1480">
        <v>0</v>
      </c>
      <c r="E1480">
        <v>0</v>
      </c>
      <c r="F1480">
        <v>0</v>
      </c>
      <c r="G1480">
        <v>0</v>
      </c>
      <c r="H1480">
        <v>5</v>
      </c>
      <c r="I1480">
        <v>0</v>
      </c>
      <c r="J1480">
        <v>0</v>
      </c>
      <c r="K1480">
        <v>0</v>
      </c>
      <c r="L1480">
        <v>5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757.5</v>
      </c>
      <c r="AE1480">
        <v>0</v>
      </c>
      <c r="AF1480">
        <v>1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1</v>
      </c>
      <c r="AO1480">
        <v>0</v>
      </c>
      <c r="AP1480">
        <v>1</v>
      </c>
      <c r="AQ1480">
        <v>0</v>
      </c>
      <c r="AR1480">
        <v>1</v>
      </c>
      <c r="AS1480">
        <v>0</v>
      </c>
      <c r="AT1480">
        <v>0</v>
      </c>
      <c r="AU1480">
        <v>19.5</v>
      </c>
      <c r="AV1480">
        <v>0</v>
      </c>
      <c r="AW1480">
        <v>757.5</v>
      </c>
      <c r="AX1480">
        <v>83</v>
      </c>
      <c r="AY1480">
        <v>936</v>
      </c>
      <c r="BB1480">
        <v>452</v>
      </c>
      <c r="BC1480" t="s">
        <v>448</v>
      </c>
      <c r="BD1480" t="s">
        <v>545</v>
      </c>
    </row>
    <row r="1481" spans="1:56" x14ac:dyDescent="0.3">
      <c r="A1481">
        <v>30037</v>
      </c>
      <c r="B1481">
        <v>1</v>
      </c>
      <c r="C1481">
        <v>54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12</v>
      </c>
      <c r="K1481">
        <v>26</v>
      </c>
      <c r="L1481">
        <v>8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723.2</v>
      </c>
      <c r="AE1481">
        <v>0</v>
      </c>
      <c r="AF1481">
        <v>1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1</v>
      </c>
      <c r="AO1481">
        <v>0</v>
      </c>
      <c r="AP1481">
        <v>1</v>
      </c>
      <c r="AQ1481">
        <v>0</v>
      </c>
      <c r="AR1481">
        <v>0</v>
      </c>
      <c r="AS1481">
        <v>0</v>
      </c>
      <c r="AT1481">
        <v>0</v>
      </c>
      <c r="AU1481">
        <v>15.280000000000001</v>
      </c>
      <c r="AV1481">
        <v>2</v>
      </c>
      <c r="AW1481">
        <v>723.2</v>
      </c>
      <c r="AX1481">
        <v>66.599999999999994</v>
      </c>
      <c r="AY1481">
        <v>754.7</v>
      </c>
      <c r="AZ1481">
        <v>759</v>
      </c>
      <c r="BC1481" t="s">
        <v>449</v>
      </c>
      <c r="BD1481" t="s">
        <v>546</v>
      </c>
    </row>
    <row r="1482" spans="1:56" x14ac:dyDescent="0.3">
      <c r="A1482">
        <v>30038</v>
      </c>
      <c r="B1482">
        <v>1</v>
      </c>
      <c r="C1482">
        <v>65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30</v>
      </c>
      <c r="L1482">
        <v>1</v>
      </c>
      <c r="M1482">
        <v>4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889.3</v>
      </c>
      <c r="AE1482">
        <v>0</v>
      </c>
      <c r="AF1482">
        <v>1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1</v>
      </c>
      <c r="AO1482">
        <v>0</v>
      </c>
      <c r="AP1482">
        <v>1</v>
      </c>
      <c r="AQ1482">
        <v>0</v>
      </c>
      <c r="AR1482">
        <v>1</v>
      </c>
      <c r="AS1482">
        <v>0</v>
      </c>
      <c r="AT1482">
        <v>0</v>
      </c>
      <c r="AU1482">
        <v>9.4</v>
      </c>
      <c r="AV1482">
        <v>1.3333333333333333</v>
      </c>
      <c r="AW1482">
        <v>889.3</v>
      </c>
      <c r="AX1482">
        <v>46</v>
      </c>
      <c r="AY1482">
        <v>130</v>
      </c>
      <c r="AZ1482">
        <v>380</v>
      </c>
      <c r="BC1482" t="s">
        <v>450</v>
      </c>
      <c r="BD1482" t="s">
        <v>547</v>
      </c>
    </row>
    <row r="1483" spans="1:56" x14ac:dyDescent="0.3">
      <c r="A1483">
        <v>30039</v>
      </c>
      <c r="B1483">
        <v>1</v>
      </c>
      <c r="C1483">
        <v>53.4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4.5999999999999996</v>
      </c>
      <c r="K1483">
        <v>29</v>
      </c>
      <c r="L1483">
        <v>0</v>
      </c>
      <c r="M1483">
        <v>0</v>
      </c>
      <c r="N1483">
        <v>0</v>
      </c>
      <c r="O1483">
        <v>13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850.26</v>
      </c>
      <c r="AE1483">
        <v>0</v>
      </c>
      <c r="AF1483">
        <v>1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1</v>
      </c>
      <c r="AO1483">
        <v>0</v>
      </c>
      <c r="AP1483">
        <v>1</v>
      </c>
      <c r="AQ1483">
        <v>0</v>
      </c>
      <c r="AR1483">
        <v>0</v>
      </c>
      <c r="AS1483">
        <v>0</v>
      </c>
      <c r="AT1483">
        <v>0</v>
      </c>
      <c r="AU1483">
        <v>10.98</v>
      </c>
      <c r="AV1483">
        <v>0.76666666666666661</v>
      </c>
      <c r="AW1483">
        <v>850.26</v>
      </c>
      <c r="AX1483">
        <v>65</v>
      </c>
      <c r="AY1483">
        <v>600</v>
      </c>
      <c r="AZ1483">
        <v>650</v>
      </c>
      <c r="BB1483">
        <v>175</v>
      </c>
      <c r="BC1483" t="s">
        <v>451</v>
      </c>
      <c r="BD1483" t="s">
        <v>548</v>
      </c>
    </row>
    <row r="1484" spans="1:56" x14ac:dyDescent="0.3">
      <c r="A1484">
        <v>30040</v>
      </c>
      <c r="B1484">
        <v>1</v>
      </c>
      <c r="C1484">
        <v>62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9</v>
      </c>
      <c r="K1484">
        <v>18</v>
      </c>
      <c r="L1484">
        <v>5</v>
      </c>
      <c r="M1484">
        <v>6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1</v>
      </c>
      <c r="W1484">
        <v>0</v>
      </c>
      <c r="X1484">
        <v>0</v>
      </c>
      <c r="Y1484">
        <v>0</v>
      </c>
      <c r="Z1484">
        <v>1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1</v>
      </c>
      <c r="AO1484">
        <v>0</v>
      </c>
      <c r="AP1484">
        <v>1</v>
      </c>
      <c r="AQ1484">
        <v>0</v>
      </c>
      <c r="AR1484">
        <v>1</v>
      </c>
      <c r="AS1484">
        <v>0</v>
      </c>
      <c r="AT1484">
        <v>0</v>
      </c>
      <c r="AU1484">
        <v>10.040000000000001</v>
      </c>
      <c r="AV1484">
        <v>3.5</v>
      </c>
      <c r="AW1484">
        <v>797.6</v>
      </c>
      <c r="AX1484">
        <v>72</v>
      </c>
      <c r="AY1484">
        <v>499</v>
      </c>
      <c r="AZ1484">
        <v>519</v>
      </c>
      <c r="BC1484" t="s">
        <v>304</v>
      </c>
      <c r="BD1484" t="s">
        <v>549</v>
      </c>
    </row>
    <row r="1485" spans="1:56" x14ac:dyDescent="0.3">
      <c r="A1485">
        <v>30041</v>
      </c>
      <c r="B1485">
        <v>1</v>
      </c>
      <c r="C1485">
        <v>66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9</v>
      </c>
      <c r="K1485">
        <v>14</v>
      </c>
      <c r="L1485">
        <v>5</v>
      </c>
      <c r="M1485">
        <v>6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1</v>
      </c>
      <c r="AO1485">
        <v>0</v>
      </c>
      <c r="AP1485">
        <v>1</v>
      </c>
      <c r="AQ1485">
        <v>0</v>
      </c>
      <c r="AR1485">
        <v>1</v>
      </c>
      <c r="AS1485">
        <v>0</v>
      </c>
      <c r="AT1485">
        <v>0</v>
      </c>
      <c r="AU1485">
        <v>8.92</v>
      </c>
      <c r="AV1485">
        <v>3.5</v>
      </c>
      <c r="AW1485">
        <v>797.6</v>
      </c>
      <c r="AX1485">
        <v>56</v>
      </c>
      <c r="AY1485">
        <v>566</v>
      </c>
      <c r="AZ1485">
        <v>701</v>
      </c>
      <c r="BC1485" t="s">
        <v>304</v>
      </c>
      <c r="BD1485" t="s">
        <v>549</v>
      </c>
    </row>
    <row r="1486" spans="1:56" x14ac:dyDescent="0.3">
      <c r="A1486">
        <v>30042</v>
      </c>
      <c r="B1486">
        <v>1</v>
      </c>
      <c r="C1486">
        <v>69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5</v>
      </c>
      <c r="K1486">
        <v>15</v>
      </c>
      <c r="L1486">
        <v>5</v>
      </c>
      <c r="M1486">
        <v>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1</v>
      </c>
      <c r="AO1486">
        <v>0</v>
      </c>
      <c r="AP1486">
        <v>1</v>
      </c>
      <c r="AQ1486">
        <v>0</v>
      </c>
      <c r="AR1486">
        <v>1</v>
      </c>
      <c r="AS1486">
        <v>0</v>
      </c>
      <c r="AT1486">
        <v>0</v>
      </c>
      <c r="AU1486">
        <v>9.1999999999999993</v>
      </c>
      <c r="AV1486">
        <v>2.8333333333333335</v>
      </c>
      <c r="AW1486">
        <v>825.2</v>
      </c>
      <c r="AX1486">
        <v>55</v>
      </c>
      <c r="AY1486">
        <v>533</v>
      </c>
      <c r="AZ1486">
        <v>692</v>
      </c>
      <c r="BC1486" t="s">
        <v>304</v>
      </c>
      <c r="BD1486" t="s">
        <v>549</v>
      </c>
    </row>
    <row r="1487" spans="1:56" x14ac:dyDescent="0.3">
      <c r="A1487">
        <v>30043</v>
      </c>
      <c r="B1487">
        <v>1</v>
      </c>
      <c r="C1487">
        <v>57.7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7</v>
      </c>
      <c r="K1487">
        <v>32</v>
      </c>
      <c r="L1487">
        <v>0</v>
      </c>
      <c r="M1487">
        <v>3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0.3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883.2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1</v>
      </c>
      <c r="AO1487">
        <v>0</v>
      </c>
      <c r="AP1487">
        <v>1</v>
      </c>
      <c r="AQ1487">
        <v>0</v>
      </c>
      <c r="AR1487">
        <v>0</v>
      </c>
      <c r="AS1487">
        <v>0</v>
      </c>
      <c r="AT1487">
        <v>0</v>
      </c>
      <c r="AU1487">
        <v>8.9600000000000009</v>
      </c>
      <c r="AV1487">
        <v>2.1966666666666668</v>
      </c>
      <c r="AW1487">
        <v>883.2</v>
      </c>
      <c r="AX1487">
        <v>66.900000000000006</v>
      </c>
      <c r="AY1487">
        <v>806</v>
      </c>
      <c r="AZ1487">
        <v>829</v>
      </c>
      <c r="BB1487">
        <v>282</v>
      </c>
      <c r="BC1487" t="s">
        <v>452</v>
      </c>
      <c r="BD1487" t="s">
        <v>550</v>
      </c>
    </row>
    <row r="1488" spans="1:56" x14ac:dyDescent="0.3">
      <c r="A1488">
        <v>30044</v>
      </c>
      <c r="B1488">
        <v>1</v>
      </c>
      <c r="C1488">
        <v>69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25</v>
      </c>
      <c r="L1488">
        <v>2</v>
      </c>
      <c r="M1488">
        <v>4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879.8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1</v>
      </c>
      <c r="AO1488">
        <v>0</v>
      </c>
      <c r="AP1488">
        <v>1</v>
      </c>
      <c r="AQ1488">
        <v>0</v>
      </c>
      <c r="AR1488">
        <v>1</v>
      </c>
      <c r="AS1488">
        <v>0</v>
      </c>
      <c r="AT1488">
        <v>0</v>
      </c>
      <c r="AU1488">
        <v>9</v>
      </c>
      <c r="AV1488">
        <v>1.3333333333333333</v>
      </c>
      <c r="AW1488">
        <v>879.8</v>
      </c>
      <c r="AX1488">
        <v>53.1</v>
      </c>
      <c r="AY1488">
        <v>361</v>
      </c>
      <c r="AZ1488">
        <v>511</v>
      </c>
      <c r="BC1488" t="s">
        <v>351</v>
      </c>
      <c r="BD1488" t="s">
        <v>551</v>
      </c>
    </row>
    <row r="1489" spans="1:56" x14ac:dyDescent="0.3">
      <c r="A1489">
        <v>30045</v>
      </c>
      <c r="B1489">
        <v>1</v>
      </c>
      <c r="C1489">
        <v>80</v>
      </c>
      <c r="D1489">
        <v>0</v>
      </c>
      <c r="E1489">
        <v>0</v>
      </c>
      <c r="F1489">
        <v>0</v>
      </c>
      <c r="G1489">
        <v>0</v>
      </c>
      <c r="H1489">
        <v>2</v>
      </c>
      <c r="I1489">
        <v>0</v>
      </c>
      <c r="J1489">
        <v>6</v>
      </c>
      <c r="K1489">
        <v>0</v>
      </c>
      <c r="L1489">
        <v>12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695.80000000000007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1</v>
      </c>
      <c r="AO1489">
        <v>0</v>
      </c>
      <c r="AP1489">
        <v>1</v>
      </c>
      <c r="AQ1489">
        <v>0</v>
      </c>
      <c r="AR1489">
        <v>0</v>
      </c>
      <c r="AS1489">
        <v>0</v>
      </c>
      <c r="AT1489">
        <v>0</v>
      </c>
      <c r="AU1489">
        <v>17.8</v>
      </c>
      <c r="AV1489">
        <v>1</v>
      </c>
      <c r="AW1489">
        <v>695.80000000000007</v>
      </c>
      <c r="AX1489">
        <v>79.5</v>
      </c>
      <c r="AY1489">
        <v>897</v>
      </c>
      <c r="AZ1489">
        <v>931.5</v>
      </c>
      <c r="BC1489" t="s">
        <v>453</v>
      </c>
      <c r="BD1489" t="s">
        <v>552</v>
      </c>
    </row>
    <row r="1490" spans="1:56" x14ac:dyDescent="0.3">
      <c r="A1490">
        <v>30046</v>
      </c>
      <c r="B1490">
        <v>1</v>
      </c>
      <c r="C1490">
        <v>90</v>
      </c>
      <c r="D1490">
        <v>6</v>
      </c>
      <c r="E1490">
        <v>4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847.4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1</v>
      </c>
      <c r="AO1490">
        <v>1</v>
      </c>
      <c r="AP1490">
        <v>1</v>
      </c>
      <c r="AQ1490">
        <v>0</v>
      </c>
      <c r="AR1490">
        <v>0</v>
      </c>
      <c r="AS1490">
        <v>0</v>
      </c>
      <c r="AT1490">
        <v>0</v>
      </c>
      <c r="AU1490">
        <v>-3.32</v>
      </c>
      <c r="AV1490">
        <v>6</v>
      </c>
      <c r="AW1490">
        <v>847.4</v>
      </c>
      <c r="AX1490">
        <v>110</v>
      </c>
      <c r="AY1490">
        <v>760</v>
      </c>
      <c r="AZ1490">
        <v>825</v>
      </c>
      <c r="BC1490" t="s">
        <v>454</v>
      </c>
      <c r="BD1490" t="s">
        <v>553</v>
      </c>
    </row>
    <row r="1491" spans="1:56" x14ac:dyDescent="0.3">
      <c r="A1491">
        <v>30047</v>
      </c>
      <c r="B1491">
        <v>1</v>
      </c>
      <c r="C1491">
        <v>87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894.6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1</v>
      </c>
      <c r="AO1491">
        <v>1</v>
      </c>
      <c r="AP1491">
        <v>1</v>
      </c>
      <c r="AQ1491">
        <v>0</v>
      </c>
      <c r="AR1491">
        <v>0</v>
      </c>
      <c r="AS1491">
        <v>0</v>
      </c>
      <c r="AT1491">
        <v>0</v>
      </c>
      <c r="AU1491">
        <v>-4.04</v>
      </c>
      <c r="AV1491">
        <v>6</v>
      </c>
      <c r="AW1491">
        <v>894.6</v>
      </c>
      <c r="AX1491">
        <v>110</v>
      </c>
      <c r="AY1491">
        <v>800</v>
      </c>
      <c r="AZ1491">
        <v>900</v>
      </c>
      <c r="BC1491" t="s">
        <v>455</v>
      </c>
      <c r="BD1491" t="s">
        <v>554</v>
      </c>
    </row>
    <row r="1492" spans="1:56" x14ac:dyDescent="0.3">
      <c r="A1492">
        <v>30048</v>
      </c>
      <c r="B1492">
        <v>1</v>
      </c>
      <c r="C1492">
        <v>90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882</v>
      </c>
      <c r="AE1492">
        <v>0</v>
      </c>
      <c r="AF1492">
        <v>1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1</v>
      </c>
      <c r="AO1492">
        <v>0</v>
      </c>
      <c r="AP1492">
        <v>0</v>
      </c>
      <c r="AQ1492">
        <v>1</v>
      </c>
      <c r="AR1492">
        <v>0</v>
      </c>
      <c r="AS1492">
        <v>0</v>
      </c>
      <c r="AT1492">
        <v>0</v>
      </c>
      <c r="AU1492">
        <v>2.2000000000000002</v>
      </c>
      <c r="AV1492">
        <v>0</v>
      </c>
      <c r="AW1492">
        <v>882</v>
      </c>
      <c r="AX1492">
        <v>100</v>
      </c>
      <c r="AY1492">
        <v>396</v>
      </c>
      <c r="AZ1492">
        <v>504</v>
      </c>
      <c r="BC1492" t="s">
        <v>456</v>
      </c>
      <c r="BD1492" t="s">
        <v>555</v>
      </c>
    </row>
    <row r="1493" spans="1:56" x14ac:dyDescent="0.3">
      <c r="A1493">
        <v>30049</v>
      </c>
      <c r="B1493">
        <v>1</v>
      </c>
      <c r="C1493">
        <v>70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30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882</v>
      </c>
      <c r="AE1493">
        <v>0</v>
      </c>
      <c r="AF1493">
        <v>1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1</v>
      </c>
      <c r="AO1493">
        <v>0</v>
      </c>
      <c r="AP1493">
        <v>0</v>
      </c>
      <c r="AQ1493">
        <v>0</v>
      </c>
      <c r="AR1493">
        <v>1</v>
      </c>
      <c r="AS1493">
        <v>0</v>
      </c>
      <c r="AT1493">
        <v>0</v>
      </c>
      <c r="AU1493">
        <v>6.6</v>
      </c>
      <c r="AV1493">
        <v>0</v>
      </c>
      <c r="AW1493">
        <v>882</v>
      </c>
      <c r="AX1493">
        <v>69</v>
      </c>
      <c r="AY1493">
        <v>441</v>
      </c>
      <c r="AZ1493">
        <v>587</v>
      </c>
      <c r="BC1493" t="s">
        <v>456</v>
      </c>
      <c r="BD1493" t="s">
        <v>555</v>
      </c>
    </row>
    <row r="1494" spans="1:56" x14ac:dyDescent="0.3">
      <c r="A1494">
        <v>30050</v>
      </c>
      <c r="B1494">
        <v>1</v>
      </c>
      <c r="C1494">
        <v>50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50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882</v>
      </c>
      <c r="AE1494">
        <v>0</v>
      </c>
      <c r="AF1494">
        <v>1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1</v>
      </c>
      <c r="AO1494">
        <v>0</v>
      </c>
      <c r="AP1494">
        <v>1</v>
      </c>
      <c r="AQ1494">
        <v>0</v>
      </c>
      <c r="AR1494">
        <v>1</v>
      </c>
      <c r="AS1494">
        <v>0</v>
      </c>
      <c r="AT1494">
        <v>0</v>
      </c>
      <c r="AU1494">
        <v>11</v>
      </c>
      <c r="AV1494">
        <v>0</v>
      </c>
      <c r="AW1494">
        <v>882</v>
      </c>
      <c r="AX1494">
        <v>88</v>
      </c>
      <c r="AY1494">
        <v>379</v>
      </c>
      <c r="AZ1494">
        <v>530</v>
      </c>
      <c r="BC1494" t="s">
        <v>456</v>
      </c>
      <c r="BD1494" t="s">
        <v>555</v>
      </c>
    </row>
    <row r="1495" spans="1:56" x14ac:dyDescent="0.3">
      <c r="A1495">
        <v>30051</v>
      </c>
      <c r="B1495">
        <v>1</v>
      </c>
      <c r="C1495">
        <v>30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70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882</v>
      </c>
      <c r="AE1495">
        <v>0</v>
      </c>
      <c r="AF1495">
        <v>1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1</v>
      </c>
      <c r="AO1495">
        <v>0</v>
      </c>
      <c r="AP1495">
        <v>1</v>
      </c>
      <c r="AQ1495">
        <v>0</v>
      </c>
      <c r="AR1495">
        <v>0</v>
      </c>
      <c r="AS1495">
        <v>0</v>
      </c>
      <c r="AT1495">
        <v>0</v>
      </c>
      <c r="AU1495">
        <v>15.4</v>
      </c>
      <c r="AV1495">
        <v>0</v>
      </c>
      <c r="AW1495">
        <v>882</v>
      </c>
      <c r="AX1495">
        <v>67</v>
      </c>
      <c r="AY1495">
        <v>373</v>
      </c>
      <c r="AZ1495">
        <v>600</v>
      </c>
      <c r="BC1495" t="s">
        <v>456</v>
      </c>
      <c r="BD1495" t="s">
        <v>555</v>
      </c>
    </row>
    <row r="1496" spans="1:56" x14ac:dyDescent="0.3">
      <c r="A1496">
        <v>30052</v>
      </c>
      <c r="B1496">
        <v>1</v>
      </c>
      <c r="C1496">
        <v>61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35</v>
      </c>
      <c r="L1496">
        <v>0</v>
      </c>
      <c r="M1496">
        <v>4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898.8</v>
      </c>
      <c r="AE1496">
        <v>0</v>
      </c>
      <c r="AF1496">
        <v>1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1</v>
      </c>
      <c r="AO1496">
        <v>0</v>
      </c>
      <c r="AP1496">
        <v>1</v>
      </c>
      <c r="AQ1496">
        <v>0</v>
      </c>
      <c r="AR1496">
        <v>1</v>
      </c>
      <c r="AS1496">
        <v>0</v>
      </c>
      <c r="AT1496">
        <v>0</v>
      </c>
      <c r="AU1496">
        <v>9.8000000000000007</v>
      </c>
      <c r="AV1496">
        <v>1.3333333333333333</v>
      </c>
      <c r="AW1496">
        <v>898.8</v>
      </c>
      <c r="AX1496">
        <v>55</v>
      </c>
      <c r="AY1496">
        <v>376</v>
      </c>
      <c r="AZ1496">
        <v>480</v>
      </c>
      <c r="BC1496" t="s">
        <v>253</v>
      </c>
      <c r="BD1496" t="s">
        <v>556</v>
      </c>
    </row>
    <row r="1497" spans="1:56" x14ac:dyDescent="0.3">
      <c r="A1497">
        <v>30053</v>
      </c>
      <c r="B1497">
        <v>1</v>
      </c>
      <c r="C1497">
        <v>57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35</v>
      </c>
      <c r="L1497">
        <v>0</v>
      </c>
      <c r="M1497">
        <v>8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915.6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1</v>
      </c>
      <c r="AO1497">
        <v>0</v>
      </c>
      <c r="AP1497">
        <v>1</v>
      </c>
      <c r="AQ1497">
        <v>0</v>
      </c>
      <c r="AR1497">
        <v>0</v>
      </c>
      <c r="AS1497">
        <v>0</v>
      </c>
      <c r="AT1497">
        <v>0</v>
      </c>
      <c r="AU1497">
        <v>9.8000000000000007</v>
      </c>
      <c r="AV1497">
        <v>2.6666666666666665</v>
      </c>
      <c r="AW1497">
        <v>915.6</v>
      </c>
      <c r="AX1497">
        <v>61</v>
      </c>
      <c r="AY1497">
        <v>444</v>
      </c>
      <c r="AZ1497">
        <v>480</v>
      </c>
      <c r="BC1497" t="s">
        <v>253</v>
      </c>
      <c r="BD1497" t="s">
        <v>556</v>
      </c>
    </row>
    <row r="1498" spans="1:56" x14ac:dyDescent="0.3">
      <c r="A1498">
        <v>30054</v>
      </c>
      <c r="B1498">
        <v>1</v>
      </c>
      <c r="C1498">
        <v>53.4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4.5999999999999996</v>
      </c>
      <c r="K1498">
        <v>29</v>
      </c>
      <c r="L1498">
        <v>0</v>
      </c>
      <c r="M1498">
        <v>0</v>
      </c>
      <c r="N1498">
        <v>0</v>
      </c>
      <c r="O1498">
        <v>13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850.26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1</v>
      </c>
      <c r="AO1498">
        <v>0</v>
      </c>
      <c r="AP1498">
        <v>1</v>
      </c>
      <c r="AQ1498">
        <v>0</v>
      </c>
      <c r="AR1498">
        <v>0</v>
      </c>
      <c r="AS1498">
        <v>0</v>
      </c>
      <c r="AT1498">
        <v>0</v>
      </c>
      <c r="AU1498">
        <v>10.98</v>
      </c>
      <c r="AV1498">
        <v>0.76666666666666661</v>
      </c>
      <c r="AW1498">
        <v>850.26</v>
      </c>
      <c r="AX1498">
        <v>55</v>
      </c>
      <c r="AY1498">
        <v>257</v>
      </c>
      <c r="AZ1498">
        <v>535</v>
      </c>
      <c r="BC1498" t="s">
        <v>242</v>
      </c>
      <c r="BD1498" t="s">
        <v>557</v>
      </c>
    </row>
    <row r="1499" spans="1:56" x14ac:dyDescent="0.3">
      <c r="A1499">
        <v>30055</v>
      </c>
      <c r="B1499">
        <v>1</v>
      </c>
      <c r="C1499">
        <v>67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16</v>
      </c>
      <c r="L1499">
        <v>4</v>
      </c>
      <c r="M1499">
        <v>0</v>
      </c>
      <c r="N1499">
        <v>0</v>
      </c>
      <c r="O1499">
        <v>13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844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1</v>
      </c>
      <c r="AO1499">
        <v>0</v>
      </c>
      <c r="AP1499">
        <v>1</v>
      </c>
      <c r="AQ1499">
        <v>0</v>
      </c>
      <c r="AR1499">
        <v>0</v>
      </c>
      <c r="AS1499">
        <v>0</v>
      </c>
      <c r="AT1499">
        <v>0</v>
      </c>
      <c r="AU1499">
        <v>11.34</v>
      </c>
      <c r="AV1499">
        <v>0</v>
      </c>
      <c r="AW1499">
        <v>844</v>
      </c>
      <c r="AX1499">
        <v>50</v>
      </c>
      <c r="AY1499">
        <v>557</v>
      </c>
      <c r="AZ1499">
        <v>641</v>
      </c>
      <c r="BC1499" t="s">
        <v>242</v>
      </c>
      <c r="BD1499" t="s">
        <v>557</v>
      </c>
    </row>
    <row r="1500" spans="1:56" x14ac:dyDescent="0.3">
      <c r="A1500">
        <v>30056</v>
      </c>
      <c r="B1500">
        <v>1</v>
      </c>
      <c r="C1500">
        <v>58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29</v>
      </c>
      <c r="L1500">
        <v>0</v>
      </c>
      <c r="M1500">
        <v>0</v>
      </c>
      <c r="N1500">
        <v>0</v>
      </c>
      <c r="O1500">
        <v>13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882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1</v>
      </c>
      <c r="AO1500">
        <v>0</v>
      </c>
      <c r="AP1500">
        <v>1</v>
      </c>
      <c r="AQ1500">
        <v>0</v>
      </c>
      <c r="AR1500">
        <v>0</v>
      </c>
      <c r="AS1500">
        <v>0</v>
      </c>
      <c r="AT1500">
        <v>0</v>
      </c>
      <c r="AU1500">
        <v>10.98</v>
      </c>
      <c r="AV1500">
        <v>0</v>
      </c>
      <c r="AW1500">
        <v>882</v>
      </c>
      <c r="AX1500">
        <v>66</v>
      </c>
      <c r="AY1500">
        <v>213</v>
      </c>
      <c r="AZ1500">
        <v>572</v>
      </c>
      <c r="BC1500" t="s">
        <v>242</v>
      </c>
      <c r="BD1500" t="s">
        <v>557</v>
      </c>
    </row>
    <row r="1501" spans="1:56" x14ac:dyDescent="0.3">
      <c r="A1501">
        <v>30057</v>
      </c>
      <c r="B1501">
        <v>1</v>
      </c>
      <c r="C1501">
        <v>54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29</v>
      </c>
      <c r="L1501">
        <v>4</v>
      </c>
      <c r="M1501">
        <v>0</v>
      </c>
      <c r="N1501">
        <v>0</v>
      </c>
      <c r="O1501">
        <v>13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844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1</v>
      </c>
      <c r="AO1501">
        <v>0</v>
      </c>
      <c r="AP1501">
        <v>1</v>
      </c>
      <c r="AQ1501">
        <v>0</v>
      </c>
      <c r="AR1501">
        <v>0</v>
      </c>
      <c r="AS1501">
        <v>0</v>
      </c>
      <c r="AT1501">
        <v>0</v>
      </c>
      <c r="AU1501">
        <v>14.98</v>
      </c>
      <c r="AV1501">
        <v>0</v>
      </c>
      <c r="AW1501">
        <v>844</v>
      </c>
      <c r="AX1501">
        <v>53</v>
      </c>
      <c r="AY1501">
        <v>599</v>
      </c>
      <c r="AZ1501">
        <v>608</v>
      </c>
      <c r="BC1501" t="s">
        <v>242</v>
      </c>
      <c r="BD1501" t="s">
        <v>557</v>
      </c>
    </row>
    <row r="1502" spans="1:56" x14ac:dyDescent="0.3">
      <c r="A1502">
        <v>30058</v>
      </c>
      <c r="B1502">
        <v>1</v>
      </c>
      <c r="C1502">
        <v>56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29</v>
      </c>
      <c r="L1502">
        <v>0</v>
      </c>
      <c r="M1502">
        <v>2</v>
      </c>
      <c r="N1502">
        <v>0</v>
      </c>
      <c r="O1502">
        <v>13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890.4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1</v>
      </c>
      <c r="AO1502">
        <v>0</v>
      </c>
      <c r="AP1502">
        <v>1</v>
      </c>
      <c r="AQ1502">
        <v>0</v>
      </c>
      <c r="AR1502">
        <v>0</v>
      </c>
      <c r="AS1502">
        <v>0</v>
      </c>
      <c r="AT1502">
        <v>0</v>
      </c>
      <c r="AU1502">
        <v>10.98</v>
      </c>
      <c r="AV1502">
        <v>0.66666666666666663</v>
      </c>
      <c r="AW1502">
        <v>890.4</v>
      </c>
      <c r="AX1502">
        <v>48</v>
      </c>
      <c r="AY1502">
        <v>432</v>
      </c>
      <c r="AZ1502">
        <v>497</v>
      </c>
      <c r="BC1502" t="s">
        <v>242</v>
      </c>
      <c r="BD1502" t="s">
        <v>557</v>
      </c>
    </row>
    <row r="1503" spans="1:56" x14ac:dyDescent="0.3">
      <c r="A1503">
        <v>30059</v>
      </c>
      <c r="B1503">
        <v>1</v>
      </c>
      <c r="C1503">
        <v>53.4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29</v>
      </c>
      <c r="L1503">
        <v>0</v>
      </c>
      <c r="M1503">
        <v>4.5999999999999996</v>
      </c>
      <c r="N1503">
        <v>0</v>
      </c>
      <c r="O1503">
        <v>13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901.32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1</v>
      </c>
      <c r="AO1503">
        <v>0</v>
      </c>
      <c r="AP1503">
        <v>1</v>
      </c>
      <c r="AQ1503">
        <v>0</v>
      </c>
      <c r="AR1503">
        <v>0</v>
      </c>
      <c r="AS1503">
        <v>0</v>
      </c>
      <c r="AT1503">
        <v>0</v>
      </c>
      <c r="AU1503">
        <v>10.98</v>
      </c>
      <c r="AV1503">
        <v>1.5333333333333332</v>
      </c>
      <c r="AW1503">
        <v>901.32</v>
      </c>
      <c r="AX1503">
        <v>55</v>
      </c>
      <c r="AY1503">
        <v>367</v>
      </c>
      <c r="AZ1503">
        <v>528</v>
      </c>
      <c r="BC1503" t="s">
        <v>242</v>
      </c>
      <c r="BD1503" t="s">
        <v>557</v>
      </c>
    </row>
    <row r="1504" spans="1:56" x14ac:dyDescent="0.3">
      <c r="A1504">
        <v>30060</v>
      </c>
      <c r="B1504">
        <v>1</v>
      </c>
      <c r="C1504">
        <v>52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29</v>
      </c>
      <c r="L1504">
        <v>0</v>
      </c>
      <c r="M1504">
        <v>6</v>
      </c>
      <c r="N1504">
        <v>0</v>
      </c>
      <c r="O1504">
        <v>13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907.2</v>
      </c>
      <c r="AE1504">
        <v>0</v>
      </c>
      <c r="AF1504">
        <v>1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1</v>
      </c>
      <c r="AO1504">
        <v>0</v>
      </c>
      <c r="AP1504">
        <v>1</v>
      </c>
      <c r="AQ1504">
        <v>0</v>
      </c>
      <c r="AR1504">
        <v>0</v>
      </c>
      <c r="AS1504">
        <v>0</v>
      </c>
      <c r="AT1504">
        <v>0</v>
      </c>
      <c r="AU1504">
        <v>10.98</v>
      </c>
      <c r="AV1504">
        <v>2</v>
      </c>
      <c r="AW1504">
        <v>907.2</v>
      </c>
      <c r="AX1504">
        <v>69</v>
      </c>
      <c r="AY1504">
        <v>501</v>
      </c>
      <c r="AZ1504">
        <v>523</v>
      </c>
      <c r="BC1504" t="s">
        <v>242</v>
      </c>
      <c r="BD1504" t="s">
        <v>557</v>
      </c>
    </row>
    <row r="1505" spans="1:56" x14ac:dyDescent="0.3">
      <c r="A1505">
        <v>30061</v>
      </c>
      <c r="B1505">
        <v>1</v>
      </c>
      <c r="C1505">
        <v>83</v>
      </c>
      <c r="D1505">
        <v>0</v>
      </c>
      <c r="E1505">
        <v>0</v>
      </c>
      <c r="F1505">
        <v>0</v>
      </c>
      <c r="G1505">
        <v>0</v>
      </c>
      <c r="H1505">
        <v>6</v>
      </c>
      <c r="I1505">
        <v>0</v>
      </c>
      <c r="J1505">
        <v>0</v>
      </c>
      <c r="K1505">
        <v>11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1</v>
      </c>
      <c r="W1505">
        <v>0</v>
      </c>
      <c r="X1505">
        <v>0</v>
      </c>
      <c r="Y1505">
        <v>0</v>
      </c>
      <c r="Z1505">
        <v>1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1</v>
      </c>
      <c r="AO1505">
        <v>0</v>
      </c>
      <c r="AP1505">
        <v>1</v>
      </c>
      <c r="AQ1505">
        <v>0</v>
      </c>
      <c r="AR1505">
        <v>1</v>
      </c>
      <c r="AS1505">
        <v>0</v>
      </c>
      <c r="AT1505">
        <v>0</v>
      </c>
      <c r="AU1505">
        <v>20.479999999999997</v>
      </c>
      <c r="AV1505">
        <v>0</v>
      </c>
      <c r="AW1505">
        <v>789.6</v>
      </c>
      <c r="AX1505">
        <v>89</v>
      </c>
      <c r="AY1505">
        <v>1137</v>
      </c>
      <c r="BB1505">
        <v>357</v>
      </c>
      <c r="BC1505" t="s">
        <v>457</v>
      </c>
      <c r="BD1505" t="s">
        <v>558</v>
      </c>
    </row>
    <row r="1506" spans="1:56" x14ac:dyDescent="0.3">
      <c r="A1506">
        <v>30062</v>
      </c>
      <c r="B1506">
        <v>1</v>
      </c>
      <c r="C1506">
        <v>80</v>
      </c>
      <c r="D1506">
        <v>0</v>
      </c>
      <c r="E1506">
        <v>0</v>
      </c>
      <c r="F1506">
        <v>0</v>
      </c>
      <c r="G1506">
        <v>0</v>
      </c>
      <c r="H1506">
        <v>9</v>
      </c>
      <c r="I1506">
        <v>0</v>
      </c>
      <c r="J1506">
        <v>0</v>
      </c>
      <c r="K1506">
        <v>11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1</v>
      </c>
      <c r="W1506">
        <v>0</v>
      </c>
      <c r="X1506">
        <v>0</v>
      </c>
      <c r="Y1506">
        <v>0</v>
      </c>
      <c r="Z1506">
        <v>1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1</v>
      </c>
      <c r="AO1506">
        <v>0</v>
      </c>
      <c r="AP1506">
        <v>1</v>
      </c>
      <c r="AQ1506">
        <v>0</v>
      </c>
      <c r="AR1506">
        <v>0</v>
      </c>
      <c r="AS1506">
        <v>0</v>
      </c>
      <c r="AT1506">
        <v>0</v>
      </c>
      <c r="AU1506">
        <v>29.18</v>
      </c>
      <c r="AV1506">
        <v>0</v>
      </c>
      <c r="AW1506">
        <v>743.4</v>
      </c>
      <c r="AX1506">
        <v>82</v>
      </c>
      <c r="AY1506">
        <v>1078</v>
      </c>
      <c r="BB1506">
        <v>334</v>
      </c>
      <c r="BC1506" t="s">
        <v>457</v>
      </c>
      <c r="BD1506" t="s">
        <v>558</v>
      </c>
    </row>
    <row r="1507" spans="1:56" x14ac:dyDescent="0.3">
      <c r="A1507">
        <v>30063</v>
      </c>
      <c r="B1507">
        <v>1</v>
      </c>
      <c r="C1507">
        <v>82</v>
      </c>
      <c r="D1507">
        <v>5</v>
      </c>
      <c r="E1507">
        <v>5</v>
      </c>
      <c r="F1507">
        <v>3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5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749.7</v>
      </c>
      <c r="AE1507">
        <v>0</v>
      </c>
      <c r="AF1507">
        <v>1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1</v>
      </c>
      <c r="AO1507">
        <v>0</v>
      </c>
      <c r="AP1507">
        <v>1</v>
      </c>
      <c r="AQ1507">
        <v>0</v>
      </c>
      <c r="AR1507">
        <v>0</v>
      </c>
      <c r="AS1507">
        <v>1</v>
      </c>
      <c r="AT1507">
        <v>0</v>
      </c>
      <c r="AU1507">
        <v>8.15</v>
      </c>
      <c r="AV1507">
        <v>5</v>
      </c>
      <c r="AW1507">
        <v>749.7</v>
      </c>
      <c r="AX1507">
        <v>115</v>
      </c>
      <c r="AY1507">
        <v>636</v>
      </c>
      <c r="BB1507">
        <v>314</v>
      </c>
      <c r="BC1507" t="s">
        <v>458</v>
      </c>
      <c r="BD1507" t="s">
        <v>559</v>
      </c>
    </row>
    <row r="1508" spans="1:56" x14ac:dyDescent="0.3">
      <c r="A1508">
        <v>30064</v>
      </c>
      <c r="B1508">
        <v>1</v>
      </c>
      <c r="C1508">
        <v>90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10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787</v>
      </c>
      <c r="AE1508">
        <v>0</v>
      </c>
      <c r="AF1508">
        <v>1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1</v>
      </c>
      <c r="AO1508">
        <v>0</v>
      </c>
      <c r="AP1508">
        <v>1</v>
      </c>
      <c r="AQ1508">
        <v>0</v>
      </c>
      <c r="AR1508">
        <v>0</v>
      </c>
      <c r="AS1508">
        <v>1</v>
      </c>
      <c r="AT1508">
        <v>0</v>
      </c>
      <c r="AU1508">
        <v>10</v>
      </c>
      <c r="AV1508">
        <v>0</v>
      </c>
      <c r="AW1508">
        <v>787</v>
      </c>
      <c r="AX1508">
        <v>93</v>
      </c>
      <c r="AY1508">
        <v>731</v>
      </c>
      <c r="BC1508" t="s">
        <v>459</v>
      </c>
      <c r="BD1508" t="s">
        <v>560</v>
      </c>
    </row>
    <row r="1509" spans="1:56" x14ac:dyDescent="0.3">
      <c r="A1509">
        <v>30065</v>
      </c>
      <c r="B1509">
        <v>1</v>
      </c>
      <c r="C1509">
        <v>80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20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692</v>
      </c>
      <c r="AE1509">
        <v>0</v>
      </c>
      <c r="AF1509">
        <v>1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1</v>
      </c>
      <c r="AO1509">
        <v>0</v>
      </c>
      <c r="AP1509">
        <v>1</v>
      </c>
      <c r="AQ1509">
        <v>0</v>
      </c>
      <c r="AR1509">
        <v>0</v>
      </c>
      <c r="AS1509">
        <v>0</v>
      </c>
      <c r="AT1509">
        <v>0</v>
      </c>
      <c r="AU1509">
        <v>20</v>
      </c>
      <c r="AV1509">
        <v>0</v>
      </c>
      <c r="AW1509">
        <v>692</v>
      </c>
      <c r="AX1509">
        <v>75</v>
      </c>
      <c r="AY1509">
        <v>823</v>
      </c>
      <c r="BC1509" t="s">
        <v>459</v>
      </c>
      <c r="BD1509" t="s">
        <v>560</v>
      </c>
    </row>
    <row r="1510" spans="1:56" x14ac:dyDescent="0.3">
      <c r="A1510">
        <v>30066</v>
      </c>
      <c r="B1510">
        <v>1</v>
      </c>
      <c r="C1510">
        <v>90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10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1</v>
      </c>
      <c r="W1510">
        <v>0</v>
      </c>
      <c r="X1510">
        <v>0</v>
      </c>
      <c r="Y1510">
        <v>0</v>
      </c>
      <c r="Z1510">
        <v>1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1</v>
      </c>
      <c r="AO1510">
        <v>1</v>
      </c>
      <c r="AP1510">
        <v>1</v>
      </c>
      <c r="AQ1510">
        <v>0</v>
      </c>
      <c r="AR1510">
        <v>0</v>
      </c>
      <c r="AS1510">
        <v>0</v>
      </c>
      <c r="AT1510">
        <v>0</v>
      </c>
      <c r="AU1510">
        <v>10</v>
      </c>
      <c r="AV1510">
        <v>0</v>
      </c>
      <c r="AW1510">
        <v>787</v>
      </c>
      <c r="AX1510">
        <v>77.599999999999994</v>
      </c>
      <c r="AY1510">
        <v>862</v>
      </c>
      <c r="AZ1510">
        <v>916</v>
      </c>
      <c r="BC1510" t="s">
        <v>460</v>
      </c>
      <c r="BD1510" t="s">
        <v>561</v>
      </c>
    </row>
    <row r="1511" spans="1:56" x14ac:dyDescent="0.3">
      <c r="A1511">
        <v>30067</v>
      </c>
      <c r="B1511">
        <v>0</v>
      </c>
      <c r="C1511">
        <v>89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1</v>
      </c>
      <c r="J1511">
        <v>0</v>
      </c>
      <c r="K1511">
        <v>0</v>
      </c>
      <c r="L1511">
        <v>10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1</v>
      </c>
      <c r="AO1511">
        <v>1</v>
      </c>
      <c r="AP1511">
        <v>1</v>
      </c>
      <c r="AQ1511">
        <v>0</v>
      </c>
      <c r="AR1511">
        <v>0</v>
      </c>
      <c r="AS1511">
        <v>0</v>
      </c>
      <c r="AT1511">
        <v>1</v>
      </c>
      <c r="AU1511">
        <v>10</v>
      </c>
      <c r="AV1511">
        <v>0</v>
      </c>
      <c r="AW1511">
        <v>787</v>
      </c>
      <c r="AX1511">
        <v>73.5</v>
      </c>
      <c r="AY1511">
        <v>972</v>
      </c>
      <c r="AZ1511">
        <v>1002.3</v>
      </c>
      <c r="BC1511" t="s">
        <v>460</v>
      </c>
      <c r="BD1511" t="s">
        <v>561</v>
      </c>
    </row>
    <row r="1512" spans="1:56" x14ac:dyDescent="0.3">
      <c r="A1512">
        <v>30068</v>
      </c>
      <c r="B1512">
        <v>0</v>
      </c>
      <c r="C1512">
        <v>87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3</v>
      </c>
      <c r="J1512">
        <v>0</v>
      </c>
      <c r="K1512">
        <v>0</v>
      </c>
      <c r="L1512">
        <v>10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1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1</v>
      </c>
      <c r="AO1512">
        <v>1</v>
      </c>
      <c r="AP1512">
        <v>1</v>
      </c>
      <c r="AQ1512">
        <v>0</v>
      </c>
      <c r="AR1512">
        <v>0</v>
      </c>
      <c r="AS1512">
        <v>0</v>
      </c>
      <c r="AT1512">
        <v>1</v>
      </c>
      <c r="AU1512">
        <v>10</v>
      </c>
      <c r="AV1512">
        <v>0</v>
      </c>
      <c r="AW1512">
        <v>787</v>
      </c>
      <c r="AX1512">
        <v>71.099999999999994</v>
      </c>
      <c r="AY1512">
        <v>1062</v>
      </c>
      <c r="AZ1512">
        <v>1098.0999999999999</v>
      </c>
      <c r="BC1512" t="s">
        <v>460</v>
      </c>
      <c r="BD1512" t="s">
        <v>561</v>
      </c>
    </row>
    <row r="1513" spans="1:56" x14ac:dyDescent="0.3">
      <c r="A1513">
        <v>30069</v>
      </c>
      <c r="B1513">
        <v>0</v>
      </c>
      <c r="C1513">
        <v>85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5</v>
      </c>
      <c r="J1513">
        <v>0</v>
      </c>
      <c r="K1513">
        <v>0</v>
      </c>
      <c r="L1513">
        <v>10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1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1</v>
      </c>
      <c r="AO1513">
        <v>1</v>
      </c>
      <c r="AP1513">
        <v>1</v>
      </c>
      <c r="AQ1513">
        <v>0</v>
      </c>
      <c r="AR1513">
        <v>0</v>
      </c>
      <c r="AS1513">
        <v>0</v>
      </c>
      <c r="AT1513">
        <v>1</v>
      </c>
      <c r="AU1513">
        <v>10</v>
      </c>
      <c r="AV1513">
        <v>0</v>
      </c>
      <c r="AW1513">
        <v>787</v>
      </c>
      <c r="AX1513">
        <v>74.900000000000006</v>
      </c>
      <c r="AY1513">
        <v>1152</v>
      </c>
      <c r="AZ1513">
        <v>1162.2</v>
      </c>
      <c r="BC1513" t="s">
        <v>460</v>
      </c>
      <c r="BD1513" t="s">
        <v>561</v>
      </c>
    </row>
    <row r="1514" spans="1:56" x14ac:dyDescent="0.3">
      <c r="A1514">
        <v>30070</v>
      </c>
      <c r="B1514">
        <v>0</v>
      </c>
      <c r="C1514">
        <v>97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882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1</v>
      </c>
      <c r="AO1514">
        <v>0</v>
      </c>
      <c r="AP1514">
        <v>0</v>
      </c>
      <c r="AQ1514">
        <v>1</v>
      </c>
      <c r="AR1514">
        <v>0</v>
      </c>
      <c r="AS1514">
        <v>0</v>
      </c>
      <c r="AT1514">
        <v>1</v>
      </c>
      <c r="AU1514">
        <v>0</v>
      </c>
      <c r="AV1514">
        <v>0</v>
      </c>
      <c r="AW1514">
        <v>882</v>
      </c>
      <c r="AY1514">
        <v>535</v>
      </c>
      <c r="AZ1514">
        <v>633</v>
      </c>
      <c r="BB1514">
        <v>243</v>
      </c>
      <c r="BC1514" t="s">
        <v>461</v>
      </c>
      <c r="BD1514" t="s">
        <v>562</v>
      </c>
    </row>
    <row r="1515" spans="1:56" x14ac:dyDescent="0.3">
      <c r="A1515">
        <v>30071</v>
      </c>
      <c r="B1515">
        <v>0</v>
      </c>
      <c r="C1515">
        <v>95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882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1</v>
      </c>
      <c r="AO1515">
        <v>0</v>
      </c>
      <c r="AP1515">
        <v>0</v>
      </c>
      <c r="AQ1515">
        <v>1</v>
      </c>
      <c r="AR1515">
        <v>0</v>
      </c>
      <c r="AS1515">
        <v>0</v>
      </c>
      <c r="AT1515">
        <v>1</v>
      </c>
      <c r="AU1515">
        <v>0</v>
      </c>
      <c r="AV1515">
        <v>0</v>
      </c>
      <c r="AW1515">
        <v>882</v>
      </c>
      <c r="AY1515">
        <v>588</v>
      </c>
      <c r="AZ1515">
        <v>745</v>
      </c>
      <c r="BB1515">
        <v>272</v>
      </c>
      <c r="BC1515" t="s">
        <v>461</v>
      </c>
      <c r="BD1515" t="s">
        <v>562</v>
      </c>
    </row>
    <row r="1516" spans="1:56" x14ac:dyDescent="0.3">
      <c r="A1516">
        <v>30072</v>
      </c>
      <c r="B1516">
        <v>0</v>
      </c>
      <c r="C1516">
        <v>93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882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1</v>
      </c>
      <c r="AO1516">
        <v>0</v>
      </c>
      <c r="AP1516">
        <v>0</v>
      </c>
      <c r="AQ1516">
        <v>1</v>
      </c>
      <c r="AR1516">
        <v>0</v>
      </c>
      <c r="AS1516">
        <v>0</v>
      </c>
      <c r="AT1516">
        <v>1</v>
      </c>
      <c r="AU1516">
        <v>0</v>
      </c>
      <c r="AV1516">
        <v>0</v>
      </c>
      <c r="AW1516">
        <v>882</v>
      </c>
      <c r="AY1516">
        <v>711</v>
      </c>
      <c r="AZ1516">
        <v>877</v>
      </c>
      <c r="BB1516">
        <v>298</v>
      </c>
      <c r="BC1516" t="s">
        <v>461</v>
      </c>
      <c r="BD1516" t="s">
        <v>562</v>
      </c>
    </row>
    <row r="1517" spans="1:56" x14ac:dyDescent="0.3">
      <c r="A1517">
        <v>30073</v>
      </c>
      <c r="B1517">
        <v>1</v>
      </c>
      <c r="C1517">
        <v>62</v>
      </c>
      <c r="D1517">
        <v>5</v>
      </c>
      <c r="E1517">
        <v>3</v>
      </c>
      <c r="F1517">
        <v>0</v>
      </c>
      <c r="G1517">
        <v>0</v>
      </c>
      <c r="H1517">
        <v>0</v>
      </c>
      <c r="I1517">
        <v>0</v>
      </c>
      <c r="J1517">
        <v>30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650.1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1</v>
      </c>
      <c r="AO1517">
        <v>0</v>
      </c>
      <c r="AP1517">
        <v>1</v>
      </c>
      <c r="AQ1517">
        <v>1</v>
      </c>
      <c r="AR1517">
        <v>0</v>
      </c>
      <c r="AS1517">
        <v>0</v>
      </c>
      <c r="AT1517">
        <v>0</v>
      </c>
      <c r="AU1517">
        <v>-2.9899999999999998</v>
      </c>
      <c r="AV1517">
        <v>10</v>
      </c>
      <c r="AW1517">
        <v>650.1</v>
      </c>
      <c r="AX1517">
        <v>97</v>
      </c>
      <c r="AY1517">
        <v>1181</v>
      </c>
      <c r="AZ1517">
        <v>1302</v>
      </c>
      <c r="BB1517">
        <v>400</v>
      </c>
      <c r="BC1517" t="s">
        <v>462</v>
      </c>
      <c r="BD1517" t="s">
        <v>563</v>
      </c>
    </row>
    <row r="1518" spans="1:56" x14ac:dyDescent="0.3">
      <c r="A1518">
        <v>30074</v>
      </c>
      <c r="B1518">
        <v>1</v>
      </c>
      <c r="C1518">
        <v>61.5</v>
      </c>
      <c r="D1518">
        <v>5</v>
      </c>
      <c r="E1518">
        <v>3</v>
      </c>
      <c r="F1518">
        <v>0</v>
      </c>
      <c r="G1518">
        <v>0</v>
      </c>
      <c r="H1518">
        <v>0.5</v>
      </c>
      <c r="I1518">
        <v>0</v>
      </c>
      <c r="J1518">
        <v>30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642.4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1</v>
      </c>
      <c r="AO1518">
        <v>0</v>
      </c>
      <c r="AP1518">
        <v>1</v>
      </c>
      <c r="AQ1518">
        <v>1</v>
      </c>
      <c r="AR1518">
        <v>0</v>
      </c>
      <c r="AS1518">
        <v>0</v>
      </c>
      <c r="AT1518">
        <v>0</v>
      </c>
      <c r="AU1518">
        <v>-1.54</v>
      </c>
      <c r="AV1518">
        <v>10</v>
      </c>
      <c r="AW1518">
        <v>642.4</v>
      </c>
      <c r="AX1518">
        <v>92</v>
      </c>
      <c r="AY1518">
        <v>1299</v>
      </c>
      <c r="AZ1518">
        <v>1420</v>
      </c>
      <c r="BB1518">
        <v>439</v>
      </c>
      <c r="BC1518" t="s">
        <v>462</v>
      </c>
      <c r="BD1518" t="s">
        <v>563</v>
      </c>
    </row>
    <row r="1519" spans="1:56" x14ac:dyDescent="0.3">
      <c r="A1519">
        <v>30075</v>
      </c>
      <c r="B1519">
        <v>1</v>
      </c>
      <c r="C1519">
        <v>61</v>
      </c>
      <c r="D1519">
        <v>5</v>
      </c>
      <c r="E1519">
        <v>3</v>
      </c>
      <c r="F1519">
        <v>0</v>
      </c>
      <c r="G1519">
        <v>0</v>
      </c>
      <c r="H1519">
        <v>1</v>
      </c>
      <c r="I1519">
        <v>0</v>
      </c>
      <c r="J1519">
        <v>30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634.70000000000005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1</v>
      </c>
      <c r="AO1519">
        <v>0</v>
      </c>
      <c r="AP1519">
        <v>1</v>
      </c>
      <c r="AQ1519">
        <v>1</v>
      </c>
      <c r="AR1519">
        <v>0</v>
      </c>
      <c r="AS1519">
        <v>0</v>
      </c>
      <c r="AT1519">
        <v>0</v>
      </c>
      <c r="AU1519">
        <v>-8.9999999999999858E-2</v>
      </c>
      <c r="AV1519">
        <v>10</v>
      </c>
      <c r="AW1519">
        <v>634.70000000000005</v>
      </c>
      <c r="AX1519">
        <v>100</v>
      </c>
      <c r="AY1519">
        <v>1421</v>
      </c>
      <c r="AZ1519">
        <v>1533</v>
      </c>
      <c r="BB1519">
        <v>475</v>
      </c>
      <c r="BC1519" t="s">
        <v>462</v>
      </c>
      <c r="BD1519" t="s">
        <v>563</v>
      </c>
    </row>
    <row r="1520" spans="1:56" x14ac:dyDescent="0.3">
      <c r="A1520">
        <v>30076</v>
      </c>
      <c r="B1520">
        <v>1</v>
      </c>
      <c r="C1520">
        <v>60.5</v>
      </c>
      <c r="D1520">
        <v>5</v>
      </c>
      <c r="E1520">
        <v>3</v>
      </c>
      <c r="F1520">
        <v>0</v>
      </c>
      <c r="G1520">
        <v>0</v>
      </c>
      <c r="H1520">
        <v>1.5</v>
      </c>
      <c r="I1520">
        <v>0</v>
      </c>
      <c r="J1520">
        <v>30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627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1</v>
      </c>
      <c r="AO1520">
        <v>0</v>
      </c>
      <c r="AP1520">
        <v>1</v>
      </c>
      <c r="AQ1520">
        <v>1</v>
      </c>
      <c r="AR1520">
        <v>0</v>
      </c>
      <c r="AS1520">
        <v>0</v>
      </c>
      <c r="AT1520">
        <v>0</v>
      </c>
      <c r="AU1520">
        <v>1.3599999999999994</v>
      </c>
      <c r="AV1520">
        <v>10</v>
      </c>
      <c r="AW1520">
        <v>627</v>
      </c>
      <c r="AX1520">
        <v>96</v>
      </c>
      <c r="AY1520">
        <v>1553</v>
      </c>
      <c r="AZ1520">
        <v>1667</v>
      </c>
      <c r="BB1520">
        <v>488</v>
      </c>
      <c r="BC1520" t="s">
        <v>462</v>
      </c>
      <c r="BD1520" t="s">
        <v>563</v>
      </c>
    </row>
    <row r="1521" spans="1:56" x14ac:dyDescent="0.3">
      <c r="A1521">
        <v>30077</v>
      </c>
      <c r="B1521">
        <v>1</v>
      </c>
      <c r="C1521">
        <v>60</v>
      </c>
      <c r="D1521">
        <v>5</v>
      </c>
      <c r="E1521">
        <v>3</v>
      </c>
      <c r="F1521">
        <v>0</v>
      </c>
      <c r="G1521">
        <v>0</v>
      </c>
      <c r="H1521">
        <v>2</v>
      </c>
      <c r="I1521">
        <v>0</v>
      </c>
      <c r="J1521">
        <v>30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619.30000000000007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1</v>
      </c>
      <c r="AO1521">
        <v>0</v>
      </c>
      <c r="AP1521">
        <v>1</v>
      </c>
      <c r="AQ1521">
        <v>1</v>
      </c>
      <c r="AR1521">
        <v>0</v>
      </c>
      <c r="AS1521">
        <v>0</v>
      </c>
      <c r="AT1521">
        <v>0</v>
      </c>
      <c r="AU1521">
        <v>2.8100000000000005</v>
      </c>
      <c r="AV1521">
        <v>10</v>
      </c>
      <c r="AW1521">
        <v>619.30000000000007</v>
      </c>
      <c r="AX1521">
        <v>103</v>
      </c>
      <c r="AY1521">
        <v>1399</v>
      </c>
      <c r="AZ1521">
        <v>1538</v>
      </c>
      <c r="BB1521">
        <v>484</v>
      </c>
      <c r="BC1521" t="s">
        <v>462</v>
      </c>
      <c r="BD1521" t="s">
        <v>563</v>
      </c>
    </row>
    <row r="1522" spans="1:56" x14ac:dyDescent="0.3">
      <c r="A1522">
        <v>30078</v>
      </c>
      <c r="B1522">
        <v>1</v>
      </c>
      <c r="C1522">
        <v>59.5</v>
      </c>
      <c r="D1522">
        <v>5</v>
      </c>
      <c r="E1522">
        <v>3</v>
      </c>
      <c r="F1522">
        <v>0</v>
      </c>
      <c r="G1522">
        <v>0</v>
      </c>
      <c r="H1522">
        <v>2.5</v>
      </c>
      <c r="I1522">
        <v>0</v>
      </c>
      <c r="J1522">
        <v>30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611.6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1</v>
      </c>
      <c r="AO1522">
        <v>0</v>
      </c>
      <c r="AP1522">
        <v>1</v>
      </c>
      <c r="AQ1522">
        <v>1</v>
      </c>
      <c r="AR1522">
        <v>0</v>
      </c>
      <c r="AS1522">
        <v>0</v>
      </c>
      <c r="AT1522">
        <v>0</v>
      </c>
      <c r="AU1522">
        <v>4.26</v>
      </c>
      <c r="AV1522">
        <v>10</v>
      </c>
      <c r="AW1522">
        <v>611.6</v>
      </c>
      <c r="AX1522">
        <v>79</v>
      </c>
      <c r="AY1522">
        <v>1068</v>
      </c>
      <c r="AZ1522">
        <v>1115</v>
      </c>
      <c r="BB1522">
        <v>403</v>
      </c>
      <c r="BC1522" t="s">
        <v>462</v>
      </c>
      <c r="BD1522" t="s">
        <v>563</v>
      </c>
    </row>
    <row r="1523" spans="1:56" x14ac:dyDescent="0.3">
      <c r="A1523">
        <v>30079</v>
      </c>
      <c r="B1523">
        <v>1</v>
      </c>
      <c r="C1523">
        <v>67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</v>
      </c>
      <c r="K1523">
        <v>25</v>
      </c>
      <c r="L1523">
        <v>3</v>
      </c>
      <c r="M1523">
        <v>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841.19999999999993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1</v>
      </c>
      <c r="AO1523">
        <v>0</v>
      </c>
      <c r="AP1523">
        <v>1</v>
      </c>
      <c r="AQ1523">
        <v>0</v>
      </c>
      <c r="AR1523">
        <v>0</v>
      </c>
      <c r="AS1523">
        <v>0</v>
      </c>
      <c r="AT1523">
        <v>0</v>
      </c>
      <c r="AU1523">
        <v>10</v>
      </c>
      <c r="AV1523">
        <v>1.1666666666666665</v>
      </c>
      <c r="AW1523">
        <v>841.19999999999993</v>
      </c>
      <c r="AX1523">
        <v>83</v>
      </c>
      <c r="AY1523">
        <v>499.1</v>
      </c>
      <c r="AZ1523">
        <v>708.5</v>
      </c>
      <c r="BC1523" t="s">
        <v>463</v>
      </c>
      <c r="BD1523" t="s">
        <v>564</v>
      </c>
    </row>
    <row r="1524" spans="1:56" x14ac:dyDescent="0.3">
      <c r="A1524">
        <v>30080</v>
      </c>
      <c r="B1524">
        <v>0</v>
      </c>
      <c r="C1524">
        <v>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882</v>
      </c>
      <c r="AE1524">
        <v>0</v>
      </c>
      <c r="AF1524">
        <v>1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1</v>
      </c>
      <c r="AO1524">
        <v>0</v>
      </c>
      <c r="AP1524">
        <v>0</v>
      </c>
      <c r="AQ1524">
        <v>1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882</v>
      </c>
      <c r="AX1524">
        <v>115</v>
      </c>
      <c r="AY1524">
        <v>369</v>
      </c>
      <c r="AZ1524">
        <v>455</v>
      </c>
      <c r="BC1524" t="s">
        <v>464</v>
      </c>
      <c r="BD1524" t="s">
        <v>565</v>
      </c>
    </row>
    <row r="1525" spans="1:56" x14ac:dyDescent="0.3">
      <c r="A1525">
        <v>30081</v>
      </c>
      <c r="B1525">
        <v>0</v>
      </c>
      <c r="C1525">
        <v>90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882</v>
      </c>
      <c r="AE1525">
        <v>0</v>
      </c>
      <c r="AF1525">
        <v>1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1</v>
      </c>
      <c r="AO1525">
        <v>0</v>
      </c>
      <c r="AP1525">
        <v>0</v>
      </c>
      <c r="AQ1525">
        <v>1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882</v>
      </c>
      <c r="AX1525">
        <v>114</v>
      </c>
      <c r="AY1525">
        <v>406</v>
      </c>
      <c r="AZ1525">
        <v>482</v>
      </c>
      <c r="BC1525" t="s">
        <v>464</v>
      </c>
      <c r="BD1525" t="s">
        <v>565</v>
      </c>
    </row>
    <row r="1526" spans="1:56" x14ac:dyDescent="0.3">
      <c r="A1526">
        <v>30082</v>
      </c>
      <c r="B1526">
        <v>0</v>
      </c>
      <c r="C1526">
        <v>85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15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882</v>
      </c>
      <c r="AE1526">
        <v>0</v>
      </c>
      <c r="AF1526">
        <v>1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1</v>
      </c>
      <c r="AO1526">
        <v>0</v>
      </c>
      <c r="AP1526">
        <v>0</v>
      </c>
      <c r="AQ1526">
        <v>1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882</v>
      </c>
      <c r="AX1526">
        <v>113</v>
      </c>
      <c r="AY1526">
        <v>439</v>
      </c>
      <c r="AZ1526">
        <v>546</v>
      </c>
      <c r="BC1526" t="s">
        <v>464</v>
      </c>
      <c r="BD1526" t="s">
        <v>565</v>
      </c>
    </row>
    <row r="1527" spans="1:56" x14ac:dyDescent="0.3">
      <c r="A1527">
        <v>30083</v>
      </c>
      <c r="B1527">
        <v>0</v>
      </c>
      <c r="C1527">
        <v>80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20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882</v>
      </c>
      <c r="AE1527">
        <v>0</v>
      </c>
      <c r="AF1527">
        <v>1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1</v>
      </c>
      <c r="AO1527">
        <v>0</v>
      </c>
      <c r="AP1527">
        <v>0</v>
      </c>
      <c r="AQ1527">
        <v>1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882</v>
      </c>
      <c r="AX1527">
        <v>112</v>
      </c>
      <c r="AY1527">
        <v>530</v>
      </c>
      <c r="AZ1527">
        <v>634</v>
      </c>
      <c r="BC1527" t="s">
        <v>464</v>
      </c>
      <c r="BD1527" t="s">
        <v>565</v>
      </c>
    </row>
    <row r="1528" spans="1:56" x14ac:dyDescent="0.3">
      <c r="A1528">
        <v>30084</v>
      </c>
      <c r="B1528">
        <v>0</v>
      </c>
      <c r="C1528">
        <v>70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30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882</v>
      </c>
      <c r="AE1528">
        <v>0</v>
      </c>
      <c r="AF1528">
        <v>1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1</v>
      </c>
      <c r="AO1528">
        <v>0</v>
      </c>
      <c r="AP1528">
        <v>0</v>
      </c>
      <c r="AQ1528">
        <v>1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882</v>
      </c>
      <c r="AX1528">
        <v>110</v>
      </c>
      <c r="AY1528">
        <v>551</v>
      </c>
      <c r="AZ1528">
        <v>681</v>
      </c>
      <c r="BC1528" t="s">
        <v>464</v>
      </c>
      <c r="BD1528" t="s">
        <v>565</v>
      </c>
    </row>
    <row r="1529" spans="1:56" x14ac:dyDescent="0.3">
      <c r="A1529">
        <v>30085</v>
      </c>
      <c r="B1529">
        <v>0</v>
      </c>
      <c r="C1529">
        <v>60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40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882</v>
      </c>
      <c r="AE1529">
        <v>0</v>
      </c>
      <c r="AF1529">
        <v>1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1</v>
      </c>
      <c r="AO1529">
        <v>0</v>
      </c>
      <c r="AP1529">
        <v>0</v>
      </c>
      <c r="AQ1529">
        <v>1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882</v>
      </c>
      <c r="AX1529">
        <v>109</v>
      </c>
      <c r="AY1529">
        <v>964</v>
      </c>
      <c r="AZ1529">
        <v>1106</v>
      </c>
      <c r="BC1529" t="s">
        <v>464</v>
      </c>
      <c r="BD1529" t="s">
        <v>565</v>
      </c>
    </row>
    <row r="1530" spans="1:56" x14ac:dyDescent="0.3">
      <c r="A1530">
        <v>30086</v>
      </c>
      <c r="B1530">
        <v>1</v>
      </c>
      <c r="C1530">
        <v>50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25</v>
      </c>
      <c r="K1530">
        <v>25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709.5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1</v>
      </c>
      <c r="AO1530">
        <v>0</v>
      </c>
      <c r="AP1530">
        <v>1</v>
      </c>
      <c r="AQ1530">
        <v>0</v>
      </c>
      <c r="AR1530">
        <v>0</v>
      </c>
      <c r="AS1530">
        <v>0</v>
      </c>
      <c r="AT1530">
        <v>0</v>
      </c>
      <c r="AU1530">
        <v>7.0000000000000009</v>
      </c>
      <c r="AV1530">
        <v>4.166666666666667</v>
      </c>
      <c r="AW1530">
        <v>709.5</v>
      </c>
      <c r="AX1530">
        <v>70</v>
      </c>
      <c r="AY1530">
        <v>480</v>
      </c>
      <c r="AZ1530">
        <v>552</v>
      </c>
      <c r="BB1530">
        <v>220</v>
      </c>
      <c r="BC1530" t="s">
        <v>465</v>
      </c>
      <c r="BD1530" t="s">
        <v>566</v>
      </c>
    </row>
    <row r="1531" spans="1:56" x14ac:dyDescent="0.3">
      <c r="A1531">
        <v>30087</v>
      </c>
      <c r="B1531">
        <v>1</v>
      </c>
      <c r="C1531">
        <v>92</v>
      </c>
      <c r="D1531">
        <v>0</v>
      </c>
      <c r="E1531">
        <v>0</v>
      </c>
      <c r="F1531">
        <v>0</v>
      </c>
      <c r="G1531">
        <v>0</v>
      </c>
      <c r="H1531">
        <v>8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1</v>
      </c>
      <c r="W1531">
        <v>0</v>
      </c>
      <c r="X1531">
        <v>0</v>
      </c>
      <c r="Y1531">
        <v>0</v>
      </c>
      <c r="Z1531">
        <v>1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1</v>
      </c>
      <c r="AO1531">
        <v>0</v>
      </c>
      <c r="AP1531">
        <v>1</v>
      </c>
      <c r="AQ1531">
        <v>0</v>
      </c>
      <c r="AR1531">
        <v>1</v>
      </c>
      <c r="AS1531">
        <v>0</v>
      </c>
      <c r="AT1531">
        <v>0</v>
      </c>
      <c r="AU1531">
        <v>23.2</v>
      </c>
      <c r="AV1531">
        <v>0</v>
      </c>
      <c r="AW1531">
        <v>758.8</v>
      </c>
      <c r="AX1531">
        <v>129</v>
      </c>
      <c r="AY1531">
        <v>1560</v>
      </c>
      <c r="BB1531">
        <v>468</v>
      </c>
      <c r="BC1531" t="s">
        <v>466</v>
      </c>
      <c r="BD1531" t="s">
        <v>567</v>
      </c>
    </row>
    <row r="1532" spans="1:56" x14ac:dyDescent="0.3">
      <c r="A1532">
        <v>30088</v>
      </c>
      <c r="B1532">
        <v>1</v>
      </c>
      <c r="C1532">
        <v>87</v>
      </c>
      <c r="D1532">
        <v>0</v>
      </c>
      <c r="E1532">
        <v>0</v>
      </c>
      <c r="F1532">
        <v>0</v>
      </c>
      <c r="G1532">
        <v>0</v>
      </c>
      <c r="H1532">
        <v>8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1</v>
      </c>
      <c r="W1532">
        <v>0</v>
      </c>
      <c r="X1532">
        <v>0</v>
      </c>
      <c r="Y1532">
        <v>0</v>
      </c>
      <c r="Z1532">
        <v>1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1</v>
      </c>
      <c r="AO1532">
        <v>0</v>
      </c>
      <c r="AP1532">
        <v>1</v>
      </c>
      <c r="AQ1532">
        <v>0</v>
      </c>
      <c r="AR1532">
        <v>1</v>
      </c>
      <c r="AS1532">
        <v>0</v>
      </c>
      <c r="AT1532">
        <v>0</v>
      </c>
      <c r="AU1532">
        <v>24.3</v>
      </c>
      <c r="AV1532">
        <v>0</v>
      </c>
      <c r="AW1532">
        <v>758.8</v>
      </c>
      <c r="AX1532">
        <v>120</v>
      </c>
      <c r="AY1532">
        <v>1103</v>
      </c>
      <c r="BB1532">
        <v>389</v>
      </c>
      <c r="BC1532" t="s">
        <v>466</v>
      </c>
      <c r="BD1532" t="s">
        <v>567</v>
      </c>
    </row>
    <row r="1533" spans="1:56" x14ac:dyDescent="0.3">
      <c r="A1533">
        <v>30089</v>
      </c>
      <c r="B1533">
        <v>1</v>
      </c>
      <c r="C1533">
        <v>84</v>
      </c>
      <c r="D1533">
        <v>0</v>
      </c>
      <c r="E1533">
        <v>0</v>
      </c>
      <c r="F1533">
        <v>0</v>
      </c>
      <c r="G1533">
        <v>0</v>
      </c>
      <c r="H1533">
        <v>8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8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1</v>
      </c>
      <c r="W1533">
        <v>0</v>
      </c>
      <c r="X1533">
        <v>0</v>
      </c>
      <c r="Y1533">
        <v>0</v>
      </c>
      <c r="Z1533">
        <v>1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1</v>
      </c>
      <c r="AO1533">
        <v>0</v>
      </c>
      <c r="AP1533">
        <v>1</v>
      </c>
      <c r="AQ1533">
        <v>0</v>
      </c>
      <c r="AR1533">
        <v>1</v>
      </c>
      <c r="AS1533">
        <v>0</v>
      </c>
      <c r="AT1533">
        <v>0</v>
      </c>
      <c r="AU1533">
        <v>24.96</v>
      </c>
      <c r="AV1533">
        <v>0</v>
      </c>
      <c r="AW1533">
        <v>758.8</v>
      </c>
      <c r="AX1533">
        <v>106</v>
      </c>
      <c r="AY1533">
        <v>1050</v>
      </c>
      <c r="BB1533">
        <v>379</v>
      </c>
      <c r="BC1533" t="s">
        <v>466</v>
      </c>
      <c r="BD1533" t="s">
        <v>567</v>
      </c>
    </row>
    <row r="1534" spans="1:56" x14ac:dyDescent="0.3">
      <c r="A1534">
        <v>30090</v>
      </c>
      <c r="B1534">
        <v>1</v>
      </c>
      <c r="C1534">
        <v>89</v>
      </c>
      <c r="D1534">
        <v>0</v>
      </c>
      <c r="E1534">
        <v>0</v>
      </c>
      <c r="F1534">
        <v>0</v>
      </c>
      <c r="G1534">
        <v>0</v>
      </c>
      <c r="H1534">
        <v>9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1</v>
      </c>
      <c r="W1534">
        <v>0</v>
      </c>
      <c r="X1534">
        <v>0</v>
      </c>
      <c r="Y1534">
        <v>0</v>
      </c>
      <c r="Z1534">
        <v>1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1</v>
      </c>
      <c r="AO1534">
        <v>0</v>
      </c>
      <c r="AP1534">
        <v>1</v>
      </c>
      <c r="AQ1534">
        <v>0</v>
      </c>
      <c r="AR1534">
        <v>1</v>
      </c>
      <c r="AS1534">
        <v>0</v>
      </c>
      <c r="AT1534">
        <v>0</v>
      </c>
      <c r="AU1534">
        <v>26.54</v>
      </c>
      <c r="AV1534">
        <v>0</v>
      </c>
      <c r="AW1534">
        <v>743.4</v>
      </c>
      <c r="AX1534">
        <v>110</v>
      </c>
      <c r="AY1534">
        <v>1143</v>
      </c>
      <c r="BB1534">
        <v>390</v>
      </c>
      <c r="BC1534" t="s">
        <v>466</v>
      </c>
      <c r="BD1534" t="s">
        <v>567</v>
      </c>
    </row>
    <row r="1535" spans="1:56" x14ac:dyDescent="0.3">
      <c r="A1535">
        <v>30091</v>
      </c>
      <c r="B1535">
        <v>1</v>
      </c>
      <c r="C1535">
        <v>86</v>
      </c>
      <c r="D1535">
        <v>0</v>
      </c>
      <c r="E1535">
        <v>0</v>
      </c>
      <c r="F1535">
        <v>0</v>
      </c>
      <c r="G1535">
        <v>0</v>
      </c>
      <c r="H1535">
        <v>9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1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1</v>
      </c>
      <c r="AO1535">
        <v>0</v>
      </c>
      <c r="AP1535">
        <v>1</v>
      </c>
      <c r="AQ1535">
        <v>0</v>
      </c>
      <c r="AR1535">
        <v>1</v>
      </c>
      <c r="AS1535">
        <v>0</v>
      </c>
      <c r="AT1535">
        <v>0</v>
      </c>
      <c r="AU1535">
        <v>27.2</v>
      </c>
      <c r="AV1535">
        <v>0</v>
      </c>
      <c r="AW1535">
        <v>743.4</v>
      </c>
      <c r="AX1535">
        <v>103</v>
      </c>
      <c r="AY1535">
        <v>1079</v>
      </c>
      <c r="BB1535">
        <v>370</v>
      </c>
      <c r="BC1535" t="s">
        <v>466</v>
      </c>
      <c r="BD1535" t="s">
        <v>567</v>
      </c>
    </row>
    <row r="1536" spans="1:56" x14ac:dyDescent="0.3">
      <c r="A1536">
        <v>30092</v>
      </c>
      <c r="B1536">
        <v>1</v>
      </c>
      <c r="C1536">
        <v>82</v>
      </c>
      <c r="D1536">
        <v>0</v>
      </c>
      <c r="E1536">
        <v>0</v>
      </c>
      <c r="F1536">
        <v>0</v>
      </c>
      <c r="G1536">
        <v>0</v>
      </c>
      <c r="H1536">
        <v>9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1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1</v>
      </c>
      <c r="AO1536">
        <v>0</v>
      </c>
      <c r="AP1536">
        <v>1</v>
      </c>
      <c r="AQ1536">
        <v>0</v>
      </c>
      <c r="AR1536">
        <v>1</v>
      </c>
      <c r="AS1536">
        <v>0</v>
      </c>
      <c r="AT1536">
        <v>0</v>
      </c>
      <c r="AU1536">
        <v>28.08</v>
      </c>
      <c r="AV1536">
        <v>0</v>
      </c>
      <c r="AW1536">
        <v>743.4</v>
      </c>
      <c r="AX1536">
        <v>99</v>
      </c>
      <c r="AY1536">
        <v>1016</v>
      </c>
      <c r="BB1536">
        <v>351</v>
      </c>
      <c r="BC1536" t="s">
        <v>466</v>
      </c>
      <c r="BD1536" t="s">
        <v>567</v>
      </c>
    </row>
    <row r="1537" spans="1:56" x14ac:dyDescent="0.3">
      <c r="A1537">
        <v>30093</v>
      </c>
      <c r="B1537">
        <v>1</v>
      </c>
      <c r="C1537">
        <v>80</v>
      </c>
      <c r="D1537">
        <v>0</v>
      </c>
      <c r="E1537">
        <v>0</v>
      </c>
      <c r="F1537">
        <v>0</v>
      </c>
      <c r="G1537">
        <v>0</v>
      </c>
      <c r="H1537">
        <v>10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10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1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1</v>
      </c>
      <c r="AO1537">
        <v>0</v>
      </c>
      <c r="AP1537">
        <v>1</v>
      </c>
      <c r="AQ1537">
        <v>0</v>
      </c>
      <c r="AR1537">
        <v>1</v>
      </c>
      <c r="AS1537">
        <v>0</v>
      </c>
      <c r="AT1537">
        <v>0</v>
      </c>
      <c r="AU1537">
        <v>31.2</v>
      </c>
      <c r="AV1537">
        <v>0</v>
      </c>
      <c r="AW1537">
        <v>728</v>
      </c>
      <c r="AX1537">
        <v>92</v>
      </c>
      <c r="AY1537">
        <v>1008</v>
      </c>
      <c r="BB1537">
        <v>343</v>
      </c>
      <c r="BC1537" t="s">
        <v>466</v>
      </c>
      <c r="BD1537" t="s">
        <v>567</v>
      </c>
    </row>
    <row r="1538" spans="1:56" x14ac:dyDescent="0.3">
      <c r="A1538">
        <v>30094</v>
      </c>
      <c r="B1538">
        <v>1</v>
      </c>
      <c r="C1538">
        <v>83</v>
      </c>
      <c r="D1538">
        <v>4</v>
      </c>
      <c r="E1538">
        <v>3</v>
      </c>
      <c r="F1538">
        <v>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7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752.2</v>
      </c>
      <c r="AE1538">
        <v>0</v>
      </c>
      <c r="AF1538">
        <v>1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1</v>
      </c>
      <c r="AO1538">
        <v>0</v>
      </c>
      <c r="AP1538">
        <v>1</v>
      </c>
      <c r="AQ1538">
        <v>0</v>
      </c>
      <c r="AR1538">
        <v>0</v>
      </c>
      <c r="AS1538">
        <v>0</v>
      </c>
      <c r="AT1538">
        <v>0</v>
      </c>
      <c r="AU1538">
        <v>9.81</v>
      </c>
      <c r="AV1538">
        <v>4</v>
      </c>
      <c r="AW1538">
        <v>752.2</v>
      </c>
      <c r="AY1538">
        <v>829</v>
      </c>
      <c r="AZ1538">
        <v>884</v>
      </c>
      <c r="BC1538" t="s">
        <v>467</v>
      </c>
      <c r="BD1538" t="s">
        <v>568</v>
      </c>
    </row>
    <row r="1539" spans="1:56" x14ac:dyDescent="0.3">
      <c r="A1539">
        <v>30095</v>
      </c>
      <c r="B1539">
        <v>1</v>
      </c>
      <c r="C1539">
        <v>82</v>
      </c>
      <c r="D1539">
        <v>5</v>
      </c>
      <c r="E1539">
        <v>5</v>
      </c>
      <c r="F1539">
        <v>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749.7</v>
      </c>
      <c r="AE1539">
        <v>0</v>
      </c>
      <c r="AF1539">
        <v>1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1</v>
      </c>
      <c r="AO1539">
        <v>0</v>
      </c>
      <c r="AP1539">
        <v>1</v>
      </c>
      <c r="AQ1539">
        <v>0</v>
      </c>
      <c r="AR1539">
        <v>0</v>
      </c>
      <c r="AS1539">
        <v>0</v>
      </c>
      <c r="AT1539">
        <v>0</v>
      </c>
      <c r="AU1539">
        <v>8.15</v>
      </c>
      <c r="AV1539">
        <v>5</v>
      </c>
      <c r="AW1539">
        <v>749.7</v>
      </c>
      <c r="AY1539">
        <v>804</v>
      </c>
      <c r="AZ1539">
        <v>836</v>
      </c>
      <c r="BC1539" t="s">
        <v>467</v>
      </c>
      <c r="BD1539" t="s">
        <v>568</v>
      </c>
    </row>
    <row r="1540" spans="1:56" x14ac:dyDescent="0.3">
      <c r="A1540">
        <v>30096</v>
      </c>
      <c r="B1540">
        <v>1</v>
      </c>
      <c r="C1540">
        <v>82</v>
      </c>
      <c r="D1540">
        <v>3</v>
      </c>
      <c r="E1540">
        <v>7</v>
      </c>
      <c r="F1540">
        <v>3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5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721.9</v>
      </c>
      <c r="AE1540">
        <v>0</v>
      </c>
      <c r="AF1540">
        <v>1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1</v>
      </c>
      <c r="AO1540">
        <v>0</v>
      </c>
      <c r="AP1540">
        <v>1</v>
      </c>
      <c r="AQ1540">
        <v>0</v>
      </c>
      <c r="AR1540">
        <v>0</v>
      </c>
      <c r="AS1540">
        <v>1</v>
      </c>
      <c r="AT1540">
        <v>0</v>
      </c>
      <c r="AU1540">
        <v>11.490000000000002</v>
      </c>
      <c r="AV1540">
        <v>3</v>
      </c>
      <c r="AW1540">
        <v>721.9</v>
      </c>
      <c r="AY1540">
        <v>750</v>
      </c>
      <c r="AZ1540">
        <v>1100</v>
      </c>
      <c r="BC1540" t="s">
        <v>468</v>
      </c>
      <c r="BD1540" t="s">
        <v>569</v>
      </c>
    </row>
    <row r="1541" spans="1:56" x14ac:dyDescent="0.3">
      <c r="A1541">
        <v>30097</v>
      </c>
      <c r="B1541">
        <v>1</v>
      </c>
      <c r="C1541">
        <v>47.5</v>
      </c>
      <c r="D1541">
        <v>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47.5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564.75</v>
      </c>
      <c r="AE1541">
        <v>0</v>
      </c>
      <c r="AF1541">
        <v>1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1</v>
      </c>
      <c r="AO1541">
        <v>0</v>
      </c>
      <c r="AP1541">
        <v>0</v>
      </c>
      <c r="AQ1541">
        <v>1</v>
      </c>
      <c r="AR1541">
        <v>0</v>
      </c>
      <c r="AS1541">
        <v>0</v>
      </c>
      <c r="AT1541">
        <v>0</v>
      </c>
      <c r="AU1541">
        <v>-5</v>
      </c>
      <c r="AV1541">
        <v>12.916666666666668</v>
      </c>
      <c r="AW1541">
        <v>564.75</v>
      </c>
      <c r="AX1541">
        <v>100</v>
      </c>
      <c r="AY1541">
        <v>1710</v>
      </c>
      <c r="AZ1541">
        <v>1665</v>
      </c>
      <c r="BC1541" t="s">
        <v>469</v>
      </c>
      <c r="BD1541" t="s">
        <v>570</v>
      </c>
    </row>
    <row r="1542" spans="1:56" x14ac:dyDescent="0.3">
      <c r="A1542">
        <v>30098</v>
      </c>
      <c r="B1542">
        <v>1</v>
      </c>
      <c r="C1542">
        <v>47</v>
      </c>
      <c r="D1542">
        <v>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47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556.40000000000009</v>
      </c>
      <c r="AE1542">
        <v>0</v>
      </c>
      <c r="AF1542">
        <v>1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1</v>
      </c>
      <c r="AO1542">
        <v>0</v>
      </c>
      <c r="AP1542">
        <v>1</v>
      </c>
      <c r="AQ1542">
        <v>1</v>
      </c>
      <c r="AR1542">
        <v>1</v>
      </c>
      <c r="AS1542">
        <v>0</v>
      </c>
      <c r="AT1542">
        <v>0</v>
      </c>
      <c r="AU1542">
        <v>-4.33</v>
      </c>
      <c r="AV1542">
        <v>12.833333333333332</v>
      </c>
      <c r="AW1542">
        <v>556.40000000000009</v>
      </c>
      <c r="AX1542">
        <v>72</v>
      </c>
      <c r="AY1542">
        <v>740</v>
      </c>
      <c r="AZ1542">
        <v>1255</v>
      </c>
      <c r="BC1542" t="s">
        <v>469</v>
      </c>
      <c r="BD1542" t="s">
        <v>570</v>
      </c>
    </row>
    <row r="1543" spans="1:56" x14ac:dyDescent="0.3">
      <c r="A1543">
        <v>30099</v>
      </c>
      <c r="B1543">
        <v>1</v>
      </c>
      <c r="C1543">
        <v>46</v>
      </c>
      <c r="D1543">
        <v>5</v>
      </c>
      <c r="E1543">
        <v>3</v>
      </c>
      <c r="F1543">
        <v>0</v>
      </c>
      <c r="G1543">
        <v>0</v>
      </c>
      <c r="H1543">
        <v>0</v>
      </c>
      <c r="I1543">
        <v>0</v>
      </c>
      <c r="J1543">
        <v>46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539.69999999999993</v>
      </c>
      <c r="AE1543">
        <v>0</v>
      </c>
      <c r="AF1543">
        <v>1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1</v>
      </c>
      <c r="AO1543">
        <v>0</v>
      </c>
      <c r="AP1543">
        <v>1</v>
      </c>
      <c r="AQ1543">
        <v>0</v>
      </c>
      <c r="AR1543">
        <v>1</v>
      </c>
      <c r="AS1543">
        <v>0</v>
      </c>
      <c r="AT1543">
        <v>0</v>
      </c>
      <c r="AU1543">
        <v>-2.9899999999999998</v>
      </c>
      <c r="AV1543">
        <v>12.666666666666668</v>
      </c>
      <c r="AW1543">
        <v>539.69999999999993</v>
      </c>
      <c r="AX1543">
        <v>68</v>
      </c>
      <c r="AY1543">
        <v>690</v>
      </c>
      <c r="AZ1543">
        <v>1355</v>
      </c>
      <c r="BC1543" t="s">
        <v>469</v>
      </c>
      <c r="BD1543" t="s">
        <v>570</v>
      </c>
    </row>
    <row r="1544" spans="1:56" x14ac:dyDescent="0.3">
      <c r="A1544">
        <v>30100</v>
      </c>
      <c r="B1544">
        <v>1</v>
      </c>
      <c r="C1544">
        <v>45</v>
      </c>
      <c r="D1544">
        <v>5</v>
      </c>
      <c r="E1544">
        <v>5</v>
      </c>
      <c r="F1544">
        <v>0</v>
      </c>
      <c r="G1544">
        <v>0</v>
      </c>
      <c r="H1544">
        <v>0</v>
      </c>
      <c r="I1544">
        <v>0</v>
      </c>
      <c r="J1544">
        <v>45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523</v>
      </c>
      <c r="AE1544">
        <v>0</v>
      </c>
      <c r="AF1544">
        <v>1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1</v>
      </c>
      <c r="AO1544">
        <v>0</v>
      </c>
      <c r="AP1544">
        <v>1</v>
      </c>
      <c r="AQ1544">
        <v>0</v>
      </c>
      <c r="AR1544">
        <v>1</v>
      </c>
      <c r="AS1544">
        <v>0</v>
      </c>
      <c r="AT1544">
        <v>0</v>
      </c>
      <c r="AU1544">
        <v>-1.65</v>
      </c>
      <c r="AV1544">
        <v>12.5</v>
      </c>
      <c r="AW1544">
        <v>523</v>
      </c>
      <c r="AX1544">
        <v>73</v>
      </c>
      <c r="AY1544">
        <v>955</v>
      </c>
      <c r="AZ1544">
        <v>1055</v>
      </c>
      <c r="BC1544" t="s">
        <v>469</v>
      </c>
      <c r="BD1544" t="s">
        <v>570</v>
      </c>
    </row>
    <row r="1545" spans="1:56" x14ac:dyDescent="0.3">
      <c r="A1545">
        <v>30101</v>
      </c>
      <c r="B1545">
        <v>1</v>
      </c>
      <c r="C1545">
        <v>44</v>
      </c>
      <c r="D1545">
        <v>5</v>
      </c>
      <c r="E1545">
        <v>7</v>
      </c>
      <c r="F1545">
        <v>0</v>
      </c>
      <c r="G1545">
        <v>0</v>
      </c>
      <c r="H1545">
        <v>0</v>
      </c>
      <c r="I1545">
        <v>0</v>
      </c>
      <c r="J1545">
        <v>44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506.29999999999995</v>
      </c>
      <c r="AE1545">
        <v>0</v>
      </c>
      <c r="AF1545">
        <v>1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1</v>
      </c>
      <c r="AO1545">
        <v>0</v>
      </c>
      <c r="AP1545">
        <v>1</v>
      </c>
      <c r="AQ1545">
        <v>0</v>
      </c>
      <c r="AR1545">
        <v>0</v>
      </c>
      <c r="AS1545">
        <v>0</v>
      </c>
      <c r="AT1545">
        <v>0</v>
      </c>
      <c r="AU1545">
        <v>-0.30999999999999961</v>
      </c>
      <c r="AV1545">
        <v>12.333333333333332</v>
      </c>
      <c r="AW1545">
        <v>506.29999999999995</v>
      </c>
      <c r="AX1545">
        <v>81</v>
      </c>
      <c r="AY1545">
        <v>1065</v>
      </c>
      <c r="AZ1545">
        <v>1185</v>
      </c>
      <c r="BC1545" t="s">
        <v>469</v>
      </c>
      <c r="BD1545" t="s">
        <v>570</v>
      </c>
    </row>
    <row r="1546" spans="1:56" x14ac:dyDescent="0.3">
      <c r="A1546">
        <v>30102</v>
      </c>
      <c r="B1546">
        <v>1</v>
      </c>
      <c r="C1546">
        <v>61.87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38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0.13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897.99</v>
      </c>
      <c r="AE1546">
        <v>0</v>
      </c>
      <c r="AF1546">
        <v>1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1</v>
      </c>
      <c r="AO1546">
        <v>0</v>
      </c>
      <c r="AP1546">
        <v>1</v>
      </c>
      <c r="AQ1546">
        <v>0</v>
      </c>
      <c r="AR1546">
        <v>1</v>
      </c>
      <c r="AS1546">
        <v>0</v>
      </c>
      <c r="AT1546">
        <v>0</v>
      </c>
      <c r="AU1546">
        <v>10.64</v>
      </c>
      <c r="AV1546">
        <v>1.3000000000000001E-2</v>
      </c>
      <c r="AW1546">
        <v>897.99</v>
      </c>
      <c r="AX1546">
        <v>56</v>
      </c>
      <c r="AY1546">
        <v>203</v>
      </c>
      <c r="AZ1546">
        <v>481</v>
      </c>
      <c r="BC1546" t="s">
        <v>470</v>
      </c>
      <c r="BD1546" t="s">
        <v>571</v>
      </c>
    </row>
    <row r="1547" spans="1:56" x14ac:dyDescent="0.3">
      <c r="A1547">
        <v>30103</v>
      </c>
      <c r="B1547">
        <v>1</v>
      </c>
      <c r="C1547">
        <v>61.76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38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0.24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911.52</v>
      </c>
      <c r="AE1547">
        <v>0</v>
      </c>
      <c r="AF1547">
        <v>1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1</v>
      </c>
      <c r="AO1547">
        <v>0</v>
      </c>
      <c r="AP1547">
        <v>1</v>
      </c>
      <c r="AQ1547">
        <v>0</v>
      </c>
      <c r="AR1547">
        <v>0</v>
      </c>
      <c r="AS1547">
        <v>0</v>
      </c>
      <c r="AT1547">
        <v>0</v>
      </c>
      <c r="AU1547">
        <v>10.64</v>
      </c>
      <c r="AV1547">
        <v>2.4E-2</v>
      </c>
      <c r="AW1547">
        <v>911.52</v>
      </c>
      <c r="AX1547">
        <v>58</v>
      </c>
      <c r="AY1547">
        <v>301</v>
      </c>
      <c r="AZ1547">
        <v>578</v>
      </c>
      <c r="BC1547" t="s">
        <v>470</v>
      </c>
      <c r="BD1547" t="s">
        <v>571</v>
      </c>
    </row>
    <row r="1548" spans="1:56" x14ac:dyDescent="0.3">
      <c r="A1548">
        <v>30104</v>
      </c>
      <c r="B1548">
        <v>1</v>
      </c>
      <c r="C1548">
        <v>61.54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38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0.46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938.58</v>
      </c>
      <c r="AE1548">
        <v>0</v>
      </c>
      <c r="AF1548">
        <v>1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1</v>
      </c>
      <c r="AO1548">
        <v>0</v>
      </c>
      <c r="AP1548">
        <v>1</v>
      </c>
      <c r="AQ1548">
        <v>0</v>
      </c>
      <c r="AR1548">
        <v>0</v>
      </c>
      <c r="AS1548">
        <v>0</v>
      </c>
      <c r="AT1548">
        <v>0</v>
      </c>
      <c r="AU1548">
        <v>10.64</v>
      </c>
      <c r="AV1548">
        <v>4.5999999999999999E-2</v>
      </c>
      <c r="AW1548">
        <v>938.58</v>
      </c>
      <c r="AX1548">
        <v>62</v>
      </c>
      <c r="AY1548">
        <v>575</v>
      </c>
      <c r="AZ1548">
        <v>780</v>
      </c>
      <c r="BC1548" t="s">
        <v>470</v>
      </c>
      <c r="BD1548" t="s">
        <v>571</v>
      </c>
    </row>
    <row r="1549" spans="1:56" x14ac:dyDescent="0.3">
      <c r="A1549">
        <v>30105</v>
      </c>
      <c r="B1549">
        <v>1</v>
      </c>
      <c r="C1549">
        <v>83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5</v>
      </c>
      <c r="K1549">
        <v>0</v>
      </c>
      <c r="L1549">
        <v>12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733.5</v>
      </c>
      <c r="AE1549">
        <v>0</v>
      </c>
      <c r="AF1549">
        <v>1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1</v>
      </c>
      <c r="AO1549">
        <v>0</v>
      </c>
      <c r="AP1549">
        <v>1</v>
      </c>
      <c r="AQ1549">
        <v>0</v>
      </c>
      <c r="AR1549">
        <v>1</v>
      </c>
      <c r="AS1549">
        <v>0</v>
      </c>
      <c r="AT1549">
        <v>0</v>
      </c>
      <c r="AU1549">
        <v>12</v>
      </c>
      <c r="AV1549">
        <v>0.83333333333333337</v>
      </c>
      <c r="AW1549">
        <v>733.5</v>
      </c>
      <c r="AX1549">
        <v>64.5</v>
      </c>
      <c r="AY1549">
        <v>509</v>
      </c>
      <c r="AZ1549">
        <v>628</v>
      </c>
      <c r="BB1549">
        <v>442</v>
      </c>
      <c r="BC1549" t="s">
        <v>471</v>
      </c>
      <c r="BD1549" t="s">
        <v>572</v>
      </c>
    </row>
    <row r="1550" spans="1:56" x14ac:dyDescent="0.3">
      <c r="A1550">
        <v>30106</v>
      </c>
      <c r="B1550">
        <v>1</v>
      </c>
      <c r="C1550">
        <v>50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25</v>
      </c>
      <c r="L1550">
        <v>0</v>
      </c>
      <c r="M1550">
        <v>0</v>
      </c>
      <c r="N1550">
        <v>0</v>
      </c>
      <c r="O1550">
        <v>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882</v>
      </c>
      <c r="AE1550">
        <v>0</v>
      </c>
      <c r="AF1550">
        <v>1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1</v>
      </c>
      <c r="AO1550">
        <v>0</v>
      </c>
      <c r="AP1550">
        <v>1</v>
      </c>
      <c r="AQ1550">
        <v>0</v>
      </c>
      <c r="AR1550">
        <v>0</v>
      </c>
      <c r="AS1550">
        <v>0</v>
      </c>
      <c r="AT1550">
        <v>0</v>
      </c>
      <c r="AU1550">
        <v>12.5</v>
      </c>
      <c r="AV1550">
        <v>0</v>
      </c>
      <c r="AW1550">
        <v>882</v>
      </c>
      <c r="AX1550">
        <v>55</v>
      </c>
      <c r="AY1550">
        <v>200</v>
      </c>
      <c r="AZ1550">
        <v>530</v>
      </c>
      <c r="BB1550">
        <v>145</v>
      </c>
      <c r="BC1550" t="s">
        <v>472</v>
      </c>
      <c r="BD1550" t="s">
        <v>573</v>
      </c>
    </row>
    <row r="1551" spans="1:56" x14ac:dyDescent="0.3">
      <c r="A1551">
        <v>30107</v>
      </c>
      <c r="B1551">
        <v>1</v>
      </c>
      <c r="C1551">
        <v>100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882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1</v>
      </c>
      <c r="AO1551">
        <v>1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882</v>
      </c>
      <c r="AX1551">
        <v>105</v>
      </c>
      <c r="AY1551">
        <v>200</v>
      </c>
      <c r="AZ1551">
        <v>360</v>
      </c>
      <c r="BB1551">
        <v>134</v>
      </c>
      <c r="BC1551" t="s">
        <v>472</v>
      </c>
      <c r="BD1551" t="s">
        <v>573</v>
      </c>
    </row>
    <row r="1552" spans="1:56" x14ac:dyDescent="0.3">
      <c r="A1552">
        <v>30108</v>
      </c>
      <c r="B1552">
        <v>1</v>
      </c>
      <c r="C1552">
        <v>84.85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15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0.15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900.45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1</v>
      </c>
      <c r="AO1552">
        <v>1</v>
      </c>
      <c r="AP1552">
        <v>1</v>
      </c>
      <c r="AQ1552">
        <v>0</v>
      </c>
      <c r="AR1552">
        <v>0</v>
      </c>
      <c r="AS1552">
        <v>0</v>
      </c>
      <c r="AT1552">
        <v>0</v>
      </c>
      <c r="AU1552">
        <v>4.2</v>
      </c>
      <c r="AV1552">
        <v>1.4999999999999999E-2</v>
      </c>
      <c r="AW1552">
        <v>900.45</v>
      </c>
      <c r="AX1552">
        <v>96</v>
      </c>
      <c r="AY1552">
        <v>558</v>
      </c>
      <c r="BB1552">
        <v>211</v>
      </c>
      <c r="BC1552" t="s">
        <v>473</v>
      </c>
      <c r="BD1552" t="s">
        <v>574</v>
      </c>
    </row>
    <row r="1553" spans="1:56" x14ac:dyDescent="0.3">
      <c r="A1553">
        <v>30109</v>
      </c>
      <c r="B1553">
        <v>1</v>
      </c>
      <c r="C1553">
        <v>84.75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15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0.25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912.75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1</v>
      </c>
      <c r="AO1553">
        <v>1</v>
      </c>
      <c r="AP1553">
        <v>1</v>
      </c>
      <c r="AQ1553">
        <v>0</v>
      </c>
      <c r="AR1553">
        <v>0</v>
      </c>
      <c r="AS1553">
        <v>0</v>
      </c>
      <c r="AT1553">
        <v>0</v>
      </c>
      <c r="AU1553">
        <v>4.2</v>
      </c>
      <c r="AV1553">
        <v>2.5000000000000001E-2</v>
      </c>
      <c r="AW1553">
        <v>912.75</v>
      </c>
      <c r="AX1553">
        <v>103</v>
      </c>
      <c r="AY1553">
        <v>744</v>
      </c>
      <c r="BB1553">
        <v>245</v>
      </c>
      <c r="BC1553" t="s">
        <v>473</v>
      </c>
      <c r="BD1553" t="s">
        <v>574</v>
      </c>
    </row>
    <row r="1554" spans="1:56" x14ac:dyDescent="0.3">
      <c r="A1554">
        <v>30110</v>
      </c>
      <c r="B1554">
        <v>1</v>
      </c>
      <c r="C1554">
        <v>84.6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15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0.4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931.2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1</v>
      </c>
      <c r="AO1554">
        <v>1</v>
      </c>
      <c r="AP1554">
        <v>1</v>
      </c>
      <c r="AQ1554">
        <v>0</v>
      </c>
      <c r="AR1554">
        <v>0</v>
      </c>
      <c r="AS1554">
        <v>0</v>
      </c>
      <c r="AT1554">
        <v>0</v>
      </c>
      <c r="AU1554">
        <v>4.2</v>
      </c>
      <c r="AV1554">
        <v>0.04</v>
      </c>
      <c r="AW1554">
        <v>931.2</v>
      </c>
      <c r="AX1554">
        <v>102</v>
      </c>
      <c r="AY1554">
        <v>962</v>
      </c>
      <c r="BB1554">
        <v>265</v>
      </c>
      <c r="BC1554" t="s">
        <v>473</v>
      </c>
      <c r="BD1554" t="s">
        <v>574</v>
      </c>
    </row>
    <row r="1555" spans="1:56" x14ac:dyDescent="0.3">
      <c r="A1555">
        <v>30111</v>
      </c>
      <c r="B1555">
        <v>1</v>
      </c>
      <c r="C1555">
        <v>82.35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17.5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0.15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900.45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1</v>
      </c>
      <c r="AO1555">
        <v>1</v>
      </c>
      <c r="AP1555">
        <v>1</v>
      </c>
      <c r="AQ1555">
        <v>0</v>
      </c>
      <c r="AR1555">
        <v>0</v>
      </c>
      <c r="AS1555">
        <v>0</v>
      </c>
      <c r="AT1555">
        <v>0</v>
      </c>
      <c r="AU1555">
        <v>4.9000000000000004</v>
      </c>
      <c r="AV1555">
        <v>1.4999999999999999E-2</v>
      </c>
      <c r="AW1555">
        <v>900.45</v>
      </c>
      <c r="AX1555">
        <v>89</v>
      </c>
      <c r="AY1555">
        <v>628</v>
      </c>
      <c r="BB1555">
        <v>220</v>
      </c>
      <c r="BC1555" t="s">
        <v>473</v>
      </c>
      <c r="BD1555" t="s">
        <v>574</v>
      </c>
    </row>
    <row r="1556" spans="1:56" x14ac:dyDescent="0.3">
      <c r="A1556">
        <v>30112</v>
      </c>
      <c r="B1556">
        <v>1</v>
      </c>
      <c r="C1556">
        <v>82.25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17.5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0.25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912.75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1</v>
      </c>
      <c r="AO1556">
        <v>1</v>
      </c>
      <c r="AP1556">
        <v>1</v>
      </c>
      <c r="AQ1556">
        <v>0</v>
      </c>
      <c r="AR1556">
        <v>0</v>
      </c>
      <c r="AS1556">
        <v>0</v>
      </c>
      <c r="AT1556">
        <v>0</v>
      </c>
      <c r="AU1556">
        <v>4.9000000000000004</v>
      </c>
      <c r="AV1556">
        <v>2.5000000000000001E-2</v>
      </c>
      <c r="AW1556">
        <v>912.75</v>
      </c>
      <c r="AX1556">
        <v>91</v>
      </c>
      <c r="AY1556">
        <v>822</v>
      </c>
      <c r="BB1556">
        <v>252</v>
      </c>
      <c r="BC1556" t="s">
        <v>473</v>
      </c>
      <c r="BD1556" t="s">
        <v>574</v>
      </c>
    </row>
    <row r="1557" spans="1:56" x14ac:dyDescent="0.3">
      <c r="A1557">
        <v>30113</v>
      </c>
      <c r="B1557">
        <v>1</v>
      </c>
      <c r="C1557">
        <v>82.1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17.5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0.4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931.2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1</v>
      </c>
      <c r="AO1557">
        <v>1</v>
      </c>
      <c r="AP1557">
        <v>1</v>
      </c>
      <c r="AQ1557">
        <v>0</v>
      </c>
      <c r="AR1557">
        <v>0</v>
      </c>
      <c r="AS1557">
        <v>0</v>
      </c>
      <c r="AT1557">
        <v>0</v>
      </c>
      <c r="AU1557">
        <v>4.9000000000000004</v>
      </c>
      <c r="AV1557">
        <v>0.04</v>
      </c>
      <c r="AW1557">
        <v>931.2</v>
      </c>
      <c r="AX1557">
        <v>92</v>
      </c>
      <c r="AY1557">
        <v>893</v>
      </c>
      <c r="BB1557">
        <v>275</v>
      </c>
      <c r="BC1557" t="s">
        <v>473</v>
      </c>
      <c r="BD1557" t="s">
        <v>574</v>
      </c>
    </row>
    <row r="1558" spans="1:56" x14ac:dyDescent="0.3">
      <c r="A1558">
        <v>30114</v>
      </c>
      <c r="B1558">
        <v>1</v>
      </c>
      <c r="C1558">
        <v>79.849999999999994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20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0.15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900.45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1</v>
      </c>
      <c r="AO1558">
        <v>1</v>
      </c>
      <c r="AP1558">
        <v>1</v>
      </c>
      <c r="AQ1558">
        <v>0</v>
      </c>
      <c r="AR1558">
        <v>0</v>
      </c>
      <c r="AS1558">
        <v>0</v>
      </c>
      <c r="AT1558">
        <v>0</v>
      </c>
      <c r="AU1558">
        <v>5.6000000000000005</v>
      </c>
      <c r="AV1558">
        <v>1.4999999999999999E-2</v>
      </c>
      <c r="AW1558">
        <v>900.45</v>
      </c>
      <c r="AX1558">
        <v>89</v>
      </c>
      <c r="AY1558">
        <v>655</v>
      </c>
      <c r="BB1558">
        <v>239</v>
      </c>
      <c r="BC1558" t="s">
        <v>473</v>
      </c>
      <c r="BD1558" t="s">
        <v>574</v>
      </c>
    </row>
    <row r="1559" spans="1:56" x14ac:dyDescent="0.3">
      <c r="A1559">
        <v>30115</v>
      </c>
      <c r="B1559">
        <v>1</v>
      </c>
      <c r="C1559">
        <v>79.75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0.25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912.75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1</v>
      </c>
      <c r="AO1559">
        <v>1</v>
      </c>
      <c r="AP1559">
        <v>1</v>
      </c>
      <c r="AQ1559">
        <v>0</v>
      </c>
      <c r="AR1559">
        <v>0</v>
      </c>
      <c r="AS1559">
        <v>0</v>
      </c>
      <c r="AT1559">
        <v>0</v>
      </c>
      <c r="AU1559">
        <v>5.6000000000000005</v>
      </c>
      <c r="AV1559">
        <v>2.5000000000000001E-2</v>
      </c>
      <c r="AW1559">
        <v>912.75</v>
      </c>
      <c r="AX1559">
        <v>87</v>
      </c>
      <c r="AY1559">
        <v>818</v>
      </c>
      <c r="BB1559">
        <v>273</v>
      </c>
      <c r="BC1559" t="s">
        <v>473</v>
      </c>
      <c r="BD1559" t="s">
        <v>574</v>
      </c>
    </row>
    <row r="1560" spans="1:56" x14ac:dyDescent="0.3">
      <c r="A1560">
        <v>30116</v>
      </c>
      <c r="B1560">
        <v>1</v>
      </c>
      <c r="C1560">
        <v>79.599999999999994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20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0.4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931.2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1</v>
      </c>
      <c r="AO1560">
        <v>1</v>
      </c>
      <c r="AP1560">
        <v>1</v>
      </c>
      <c r="AQ1560">
        <v>0</v>
      </c>
      <c r="AR1560">
        <v>0</v>
      </c>
      <c r="AS1560">
        <v>0</v>
      </c>
      <c r="AT1560">
        <v>0</v>
      </c>
      <c r="AU1560">
        <v>5.6000000000000005</v>
      </c>
      <c r="AV1560">
        <v>0.04</v>
      </c>
      <c r="AW1560">
        <v>931.2</v>
      </c>
      <c r="AX1560">
        <v>94</v>
      </c>
      <c r="AY1560">
        <v>906</v>
      </c>
      <c r="BB1560">
        <v>291</v>
      </c>
      <c r="BC1560" t="s">
        <v>473</v>
      </c>
      <c r="BD1560" t="s">
        <v>574</v>
      </c>
    </row>
    <row r="1561" spans="1:56" x14ac:dyDescent="0.3">
      <c r="A1561">
        <v>30117</v>
      </c>
      <c r="B1561">
        <v>1</v>
      </c>
      <c r="C1561">
        <v>77.349999999999994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22.5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0.15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900.45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1</v>
      </c>
      <c r="AO1561">
        <v>1</v>
      </c>
      <c r="AP1561">
        <v>1</v>
      </c>
      <c r="AQ1561">
        <v>0</v>
      </c>
      <c r="AR1561">
        <v>0</v>
      </c>
      <c r="AS1561">
        <v>0</v>
      </c>
      <c r="AT1561">
        <v>0</v>
      </c>
      <c r="AU1561">
        <v>6.3000000000000007</v>
      </c>
      <c r="AV1561">
        <v>1.4999999999999999E-2</v>
      </c>
      <c r="AW1561">
        <v>900.45</v>
      </c>
      <c r="AX1561">
        <v>89</v>
      </c>
      <c r="AY1561">
        <v>734</v>
      </c>
      <c r="BB1561">
        <v>262</v>
      </c>
      <c r="BC1561" t="s">
        <v>473</v>
      </c>
      <c r="BD1561" t="s">
        <v>574</v>
      </c>
    </row>
    <row r="1562" spans="1:56" x14ac:dyDescent="0.3">
      <c r="A1562">
        <v>30118</v>
      </c>
      <c r="B1562">
        <v>1</v>
      </c>
      <c r="C1562">
        <v>77.25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22.5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0.25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912.75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1</v>
      </c>
      <c r="AO1562">
        <v>1</v>
      </c>
      <c r="AP1562">
        <v>1</v>
      </c>
      <c r="AQ1562">
        <v>0</v>
      </c>
      <c r="AR1562">
        <v>0</v>
      </c>
      <c r="AS1562">
        <v>0</v>
      </c>
      <c r="AT1562">
        <v>0</v>
      </c>
      <c r="AU1562">
        <v>6.3000000000000007</v>
      </c>
      <c r="AV1562">
        <v>2.5000000000000001E-2</v>
      </c>
      <c r="AW1562">
        <v>912.75</v>
      </c>
      <c r="AX1562">
        <v>99</v>
      </c>
      <c r="AY1562">
        <v>854</v>
      </c>
      <c r="BB1562">
        <v>290</v>
      </c>
      <c r="BC1562" t="s">
        <v>473</v>
      </c>
      <c r="BD1562" t="s">
        <v>574</v>
      </c>
    </row>
    <row r="1563" spans="1:56" x14ac:dyDescent="0.3">
      <c r="A1563">
        <v>30119</v>
      </c>
      <c r="B1563">
        <v>1</v>
      </c>
      <c r="C1563">
        <v>77.099999999999994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0.4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931.2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1</v>
      </c>
      <c r="AO1563">
        <v>1</v>
      </c>
      <c r="AP1563">
        <v>1</v>
      </c>
      <c r="AQ1563">
        <v>0</v>
      </c>
      <c r="AR1563">
        <v>0</v>
      </c>
      <c r="AS1563">
        <v>0</v>
      </c>
      <c r="AT1563">
        <v>0</v>
      </c>
      <c r="AU1563">
        <v>6.3000000000000007</v>
      </c>
      <c r="AV1563">
        <v>0.04</v>
      </c>
      <c r="AW1563">
        <v>931.2</v>
      </c>
      <c r="AX1563">
        <v>100</v>
      </c>
      <c r="AY1563">
        <v>930</v>
      </c>
      <c r="BB1563">
        <v>303</v>
      </c>
      <c r="BC1563" t="s">
        <v>473</v>
      </c>
      <c r="BD1563" t="s">
        <v>574</v>
      </c>
    </row>
    <row r="1564" spans="1:56" x14ac:dyDescent="0.3">
      <c r="A1564">
        <v>30120</v>
      </c>
      <c r="B1564">
        <v>1</v>
      </c>
      <c r="C1564">
        <v>99.801699999999997</v>
      </c>
      <c r="D1564">
        <v>0</v>
      </c>
      <c r="E1564">
        <v>0</v>
      </c>
      <c r="F1564">
        <v>0</v>
      </c>
      <c r="G1564">
        <v>0</v>
      </c>
      <c r="H1564">
        <v>0.1983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878.94655000575472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1</v>
      </c>
      <c r="AO1564">
        <v>1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0.57500032359165043</v>
      </c>
      <c r="AV1564">
        <v>0</v>
      </c>
      <c r="AW1564">
        <v>878.94655000575472</v>
      </c>
      <c r="AX1564">
        <v>102</v>
      </c>
      <c r="AY1564">
        <v>170</v>
      </c>
      <c r="BC1564" t="s">
        <v>474</v>
      </c>
      <c r="BD1564" t="s">
        <v>575</v>
      </c>
    </row>
    <row r="1565" spans="1:56" x14ac:dyDescent="0.3">
      <c r="A1565">
        <v>30121</v>
      </c>
      <c r="B1565">
        <v>1</v>
      </c>
      <c r="C1565">
        <v>99.801699999999997</v>
      </c>
      <c r="D1565">
        <v>0</v>
      </c>
      <c r="E1565">
        <v>0</v>
      </c>
      <c r="F1565">
        <v>0</v>
      </c>
      <c r="G1565">
        <v>0</v>
      </c>
      <c r="H1565">
        <v>0.1983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878.94655000575472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1</v>
      </c>
      <c r="AO1565">
        <v>1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0.57500032359165043</v>
      </c>
      <c r="AV1565">
        <v>0</v>
      </c>
      <c r="AW1565">
        <v>878.94655000575472</v>
      </c>
      <c r="AX1565">
        <v>102</v>
      </c>
      <c r="AY1565">
        <v>275</v>
      </c>
      <c r="BC1565" t="s">
        <v>474</v>
      </c>
      <c r="BD1565" t="s">
        <v>575</v>
      </c>
    </row>
    <row r="1566" spans="1:56" x14ac:dyDescent="0.3">
      <c r="A1566">
        <v>30122</v>
      </c>
      <c r="B1566">
        <v>1</v>
      </c>
      <c r="C1566">
        <v>99.801699999999997</v>
      </c>
      <c r="D1566">
        <v>0</v>
      </c>
      <c r="E1566">
        <v>0</v>
      </c>
      <c r="F1566">
        <v>0</v>
      </c>
      <c r="G1566">
        <v>0</v>
      </c>
      <c r="H1566">
        <v>0.1983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878.94655000575472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1</v>
      </c>
      <c r="AO1566">
        <v>1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0.57500032359165043</v>
      </c>
      <c r="AV1566">
        <v>0</v>
      </c>
      <c r="AW1566">
        <v>878.94655000575472</v>
      </c>
      <c r="AX1566">
        <v>102</v>
      </c>
      <c r="AY1566">
        <v>380</v>
      </c>
      <c r="BC1566" t="s">
        <v>474</v>
      </c>
      <c r="BD1566" t="s">
        <v>575</v>
      </c>
    </row>
    <row r="1567" spans="1:56" x14ac:dyDescent="0.3">
      <c r="A1567">
        <v>30123</v>
      </c>
      <c r="B1567">
        <v>1</v>
      </c>
      <c r="C1567">
        <v>99.696799999999996</v>
      </c>
      <c r="D1567">
        <v>0</v>
      </c>
      <c r="E1567">
        <v>0</v>
      </c>
      <c r="F1567">
        <v>0</v>
      </c>
      <c r="G1567">
        <v>0</v>
      </c>
      <c r="H1567">
        <v>0.30320000000000003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877.33071782055117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1</v>
      </c>
      <c r="AO1567">
        <v>1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0.87928041041568017</v>
      </c>
      <c r="AV1567">
        <v>0</v>
      </c>
      <c r="AW1567">
        <v>877.33071782055117</v>
      </c>
      <c r="AX1567">
        <v>104</v>
      </c>
      <c r="AY1567">
        <v>483</v>
      </c>
      <c r="BC1567" t="s">
        <v>474</v>
      </c>
      <c r="BD1567" t="s">
        <v>575</v>
      </c>
    </row>
    <row r="1568" spans="1:56" x14ac:dyDescent="0.3">
      <c r="A1568">
        <v>30124</v>
      </c>
      <c r="B1568">
        <v>1</v>
      </c>
      <c r="C1568">
        <v>93</v>
      </c>
      <c r="D1568">
        <v>0</v>
      </c>
      <c r="E1568">
        <v>0</v>
      </c>
      <c r="F1568">
        <v>0</v>
      </c>
      <c r="G1568">
        <v>0</v>
      </c>
      <c r="H1568">
        <v>7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1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1</v>
      </c>
      <c r="AO1568">
        <v>0</v>
      </c>
      <c r="AP1568">
        <v>1</v>
      </c>
      <c r="AQ1568">
        <v>0</v>
      </c>
      <c r="AR1568">
        <v>1</v>
      </c>
      <c r="AS1568">
        <v>0</v>
      </c>
      <c r="AT1568">
        <v>0</v>
      </c>
      <c r="AU1568">
        <v>20.3</v>
      </c>
      <c r="AV1568">
        <v>0</v>
      </c>
      <c r="AW1568">
        <v>774.2</v>
      </c>
      <c r="AX1568">
        <v>130</v>
      </c>
      <c r="AY1568">
        <v>1847</v>
      </c>
      <c r="BB1568">
        <v>560</v>
      </c>
      <c r="BC1568" t="s">
        <v>475</v>
      </c>
      <c r="BD1568" t="s">
        <v>558</v>
      </c>
    </row>
    <row r="1569" spans="1:56" x14ac:dyDescent="0.3">
      <c r="A1569">
        <v>30125</v>
      </c>
      <c r="B1569">
        <v>1</v>
      </c>
      <c r="C1569">
        <v>92</v>
      </c>
      <c r="D1569">
        <v>0</v>
      </c>
      <c r="E1569">
        <v>0</v>
      </c>
      <c r="F1569">
        <v>0</v>
      </c>
      <c r="G1569">
        <v>0</v>
      </c>
      <c r="H1569">
        <v>7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1</v>
      </c>
      <c r="W1569">
        <v>0</v>
      </c>
      <c r="X1569">
        <v>0</v>
      </c>
      <c r="Y1569">
        <v>0</v>
      </c>
      <c r="Z1569">
        <v>1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1</v>
      </c>
      <c r="AO1569">
        <v>0</v>
      </c>
      <c r="AP1569">
        <v>1</v>
      </c>
      <c r="AQ1569">
        <v>0</v>
      </c>
      <c r="AR1569">
        <v>1</v>
      </c>
      <c r="AS1569">
        <v>0</v>
      </c>
      <c r="AT1569">
        <v>0</v>
      </c>
      <c r="AU1569">
        <v>20.580000000000002</v>
      </c>
      <c r="AV1569">
        <v>0</v>
      </c>
      <c r="AW1569">
        <v>774.2</v>
      </c>
      <c r="AX1569">
        <v>124</v>
      </c>
      <c r="AY1569">
        <v>1785</v>
      </c>
      <c r="BB1569">
        <v>525</v>
      </c>
      <c r="BC1569" t="s">
        <v>475</v>
      </c>
      <c r="BD1569" t="s">
        <v>558</v>
      </c>
    </row>
    <row r="1570" spans="1:56" x14ac:dyDescent="0.3">
      <c r="A1570">
        <v>30126</v>
      </c>
      <c r="B1570">
        <v>1</v>
      </c>
      <c r="C1570">
        <v>89</v>
      </c>
      <c r="D1570">
        <v>0</v>
      </c>
      <c r="E1570">
        <v>0</v>
      </c>
      <c r="F1570">
        <v>0</v>
      </c>
      <c r="G1570">
        <v>0</v>
      </c>
      <c r="H1570">
        <v>7</v>
      </c>
      <c r="I1570">
        <v>0</v>
      </c>
      <c r="J1570">
        <v>0</v>
      </c>
      <c r="K1570">
        <v>4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1</v>
      </c>
      <c r="W1570">
        <v>0</v>
      </c>
      <c r="X1570">
        <v>0</v>
      </c>
      <c r="Y1570">
        <v>0</v>
      </c>
      <c r="Z1570">
        <v>1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1</v>
      </c>
      <c r="AO1570">
        <v>0</v>
      </c>
      <c r="AP1570">
        <v>1</v>
      </c>
      <c r="AQ1570">
        <v>0</v>
      </c>
      <c r="AR1570">
        <v>1</v>
      </c>
      <c r="AS1570">
        <v>0</v>
      </c>
      <c r="AT1570">
        <v>0</v>
      </c>
      <c r="AU1570">
        <v>21.42</v>
      </c>
      <c r="AV1570">
        <v>0</v>
      </c>
      <c r="AW1570">
        <v>774.2</v>
      </c>
      <c r="AX1570">
        <v>115</v>
      </c>
      <c r="AY1570">
        <v>1539</v>
      </c>
      <c r="BB1570">
        <v>472</v>
      </c>
      <c r="BC1570" t="s">
        <v>475</v>
      </c>
      <c r="BD1570" t="s">
        <v>558</v>
      </c>
    </row>
    <row r="1571" spans="1:56" x14ac:dyDescent="0.3">
      <c r="A1571">
        <v>30127</v>
      </c>
      <c r="B1571">
        <v>1</v>
      </c>
      <c r="C1571">
        <v>87</v>
      </c>
      <c r="D1571">
        <v>0</v>
      </c>
      <c r="E1571">
        <v>0</v>
      </c>
      <c r="F1571">
        <v>0</v>
      </c>
      <c r="G1571">
        <v>0</v>
      </c>
      <c r="H1571">
        <v>7</v>
      </c>
      <c r="I1571">
        <v>0</v>
      </c>
      <c r="J1571">
        <v>0</v>
      </c>
      <c r="K1571">
        <v>6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1</v>
      </c>
      <c r="W1571">
        <v>0</v>
      </c>
      <c r="X1571">
        <v>0</v>
      </c>
      <c r="Y1571">
        <v>0</v>
      </c>
      <c r="Z1571">
        <v>1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1</v>
      </c>
      <c r="AO1571">
        <v>0</v>
      </c>
      <c r="AP1571">
        <v>1</v>
      </c>
      <c r="AQ1571">
        <v>0</v>
      </c>
      <c r="AR1571">
        <v>1</v>
      </c>
      <c r="AS1571">
        <v>0</v>
      </c>
      <c r="AT1571">
        <v>0</v>
      </c>
      <c r="AU1571">
        <v>21.98</v>
      </c>
      <c r="AV1571">
        <v>0</v>
      </c>
      <c r="AW1571">
        <v>774.2</v>
      </c>
      <c r="AX1571">
        <v>97</v>
      </c>
      <c r="AY1571">
        <v>1144</v>
      </c>
      <c r="BB1571">
        <v>372</v>
      </c>
      <c r="BC1571" t="s">
        <v>475</v>
      </c>
      <c r="BD1571" t="s">
        <v>558</v>
      </c>
    </row>
    <row r="1572" spans="1:56" x14ac:dyDescent="0.3">
      <c r="A1572">
        <v>30128</v>
      </c>
      <c r="B1572">
        <v>1</v>
      </c>
      <c r="C1572">
        <v>84</v>
      </c>
      <c r="D1572">
        <v>0</v>
      </c>
      <c r="E1572">
        <v>0</v>
      </c>
      <c r="F1572">
        <v>0</v>
      </c>
      <c r="G1572">
        <v>0</v>
      </c>
      <c r="H1572">
        <v>7</v>
      </c>
      <c r="I1572">
        <v>0</v>
      </c>
      <c r="J1572">
        <v>0</v>
      </c>
      <c r="K1572">
        <v>9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1</v>
      </c>
      <c r="W1572">
        <v>0</v>
      </c>
      <c r="X1572">
        <v>0</v>
      </c>
      <c r="Y1572">
        <v>0</v>
      </c>
      <c r="Z1572">
        <v>1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1</v>
      </c>
      <c r="AO1572">
        <v>0</v>
      </c>
      <c r="AP1572">
        <v>1</v>
      </c>
      <c r="AQ1572">
        <v>0</v>
      </c>
      <c r="AR1572">
        <v>1</v>
      </c>
      <c r="AS1572">
        <v>0</v>
      </c>
      <c r="AT1572">
        <v>0</v>
      </c>
      <c r="AU1572">
        <v>22.82</v>
      </c>
      <c r="AV1572">
        <v>0</v>
      </c>
      <c r="AW1572">
        <v>774.2</v>
      </c>
      <c r="AX1572">
        <v>89</v>
      </c>
      <c r="AY1572">
        <v>1010</v>
      </c>
      <c r="BB1572">
        <v>335</v>
      </c>
      <c r="BC1572" t="s">
        <v>475</v>
      </c>
      <c r="BD1572" t="s">
        <v>558</v>
      </c>
    </row>
    <row r="1573" spans="1:56" x14ac:dyDescent="0.3">
      <c r="A1573">
        <v>30129</v>
      </c>
      <c r="B1573">
        <v>1</v>
      </c>
      <c r="C1573">
        <v>82</v>
      </c>
      <c r="D1573">
        <v>0</v>
      </c>
      <c r="E1573">
        <v>0</v>
      </c>
      <c r="F1573">
        <v>0</v>
      </c>
      <c r="G1573">
        <v>0</v>
      </c>
      <c r="H1573">
        <v>7</v>
      </c>
      <c r="I1573">
        <v>0</v>
      </c>
      <c r="J1573">
        <v>0</v>
      </c>
      <c r="K1573">
        <v>11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1</v>
      </c>
      <c r="W1573">
        <v>0</v>
      </c>
      <c r="X1573">
        <v>0</v>
      </c>
      <c r="Y1573">
        <v>0</v>
      </c>
      <c r="Z1573">
        <v>1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1</v>
      </c>
      <c r="AO1573">
        <v>0</v>
      </c>
      <c r="AP1573">
        <v>1</v>
      </c>
      <c r="AQ1573">
        <v>0</v>
      </c>
      <c r="AR1573">
        <v>0</v>
      </c>
      <c r="AS1573">
        <v>0</v>
      </c>
      <c r="AT1573">
        <v>0</v>
      </c>
      <c r="AU1573">
        <v>23.380000000000003</v>
      </c>
      <c r="AV1573">
        <v>0</v>
      </c>
      <c r="AW1573">
        <v>774.2</v>
      </c>
      <c r="AX1573">
        <v>86</v>
      </c>
      <c r="AY1573">
        <v>985</v>
      </c>
      <c r="BB1573">
        <v>325</v>
      </c>
      <c r="BC1573" t="s">
        <v>475</v>
      </c>
      <c r="BD1573" t="s">
        <v>558</v>
      </c>
    </row>
    <row r="1574" spans="1:56" x14ac:dyDescent="0.3">
      <c r="A1574">
        <v>30130</v>
      </c>
      <c r="B1574">
        <v>1</v>
      </c>
      <c r="C1574">
        <v>62</v>
      </c>
      <c r="D1574">
        <v>0</v>
      </c>
      <c r="E1574">
        <v>0</v>
      </c>
      <c r="F1574">
        <v>2</v>
      </c>
      <c r="G1574">
        <v>0</v>
      </c>
      <c r="H1574">
        <v>3</v>
      </c>
      <c r="I1574">
        <v>0</v>
      </c>
      <c r="J1574">
        <v>33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1</v>
      </c>
      <c r="W1574">
        <v>0</v>
      </c>
      <c r="X1574">
        <v>0</v>
      </c>
      <c r="Y1574">
        <v>0</v>
      </c>
      <c r="Z1574">
        <v>1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1</v>
      </c>
      <c r="AO1574">
        <v>0</v>
      </c>
      <c r="AP1574">
        <v>1</v>
      </c>
      <c r="AQ1574">
        <v>0</v>
      </c>
      <c r="AR1574">
        <v>0</v>
      </c>
      <c r="AS1574">
        <v>0</v>
      </c>
      <c r="AT1574">
        <v>1</v>
      </c>
      <c r="AU1574">
        <v>11.899999999999999</v>
      </c>
      <c r="AV1574">
        <v>5.5</v>
      </c>
      <c r="AW1574">
        <v>583.89999999999986</v>
      </c>
      <c r="AX1574">
        <v>140</v>
      </c>
      <c r="AY1574">
        <v>1049</v>
      </c>
      <c r="AZ1574">
        <v>1755</v>
      </c>
      <c r="BC1574" t="s">
        <v>476</v>
      </c>
      <c r="BD1574" t="s">
        <v>576</v>
      </c>
    </row>
    <row r="1575" spans="1:56" x14ac:dyDescent="0.3">
      <c r="A1575">
        <v>30131</v>
      </c>
      <c r="B1575">
        <v>1</v>
      </c>
      <c r="C1575">
        <v>60</v>
      </c>
      <c r="D1575">
        <v>0</v>
      </c>
      <c r="E1575">
        <v>0</v>
      </c>
      <c r="F1575">
        <v>2</v>
      </c>
      <c r="G1575">
        <v>0</v>
      </c>
      <c r="H1575">
        <v>5</v>
      </c>
      <c r="I1575">
        <v>0</v>
      </c>
      <c r="J1575">
        <v>33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1</v>
      </c>
      <c r="W1575">
        <v>0</v>
      </c>
      <c r="X1575">
        <v>0</v>
      </c>
      <c r="Y1575">
        <v>0</v>
      </c>
      <c r="Z1575">
        <v>1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1</v>
      </c>
      <c r="AO1575">
        <v>0</v>
      </c>
      <c r="AP1575">
        <v>1</v>
      </c>
      <c r="AQ1575">
        <v>0</v>
      </c>
      <c r="AR1575">
        <v>0</v>
      </c>
      <c r="AS1575">
        <v>0</v>
      </c>
      <c r="AT1575">
        <v>1</v>
      </c>
      <c r="AU1575">
        <v>17.7</v>
      </c>
      <c r="AV1575">
        <v>5.5</v>
      </c>
      <c r="AW1575">
        <v>553.09999999999991</v>
      </c>
      <c r="AX1575">
        <v>145</v>
      </c>
      <c r="AY1575">
        <v>1130</v>
      </c>
      <c r="AZ1575">
        <v>1830</v>
      </c>
      <c r="BC1575" t="s">
        <v>476</v>
      </c>
      <c r="BD1575" t="s">
        <v>576</v>
      </c>
    </row>
    <row r="1576" spans="1:56" x14ac:dyDescent="0.3">
      <c r="A1576">
        <v>30132</v>
      </c>
      <c r="B1576">
        <v>1</v>
      </c>
      <c r="C1576">
        <v>58</v>
      </c>
      <c r="D1576">
        <v>0</v>
      </c>
      <c r="E1576">
        <v>0</v>
      </c>
      <c r="F1576">
        <v>2</v>
      </c>
      <c r="G1576">
        <v>0</v>
      </c>
      <c r="H1576">
        <v>7</v>
      </c>
      <c r="I1576">
        <v>0</v>
      </c>
      <c r="J1576">
        <v>33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1</v>
      </c>
      <c r="W1576">
        <v>0</v>
      </c>
      <c r="X1576">
        <v>0</v>
      </c>
      <c r="Y1576">
        <v>0</v>
      </c>
      <c r="Z1576">
        <v>1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1</v>
      </c>
      <c r="AO1576">
        <v>0</v>
      </c>
      <c r="AP1576">
        <v>1</v>
      </c>
      <c r="AQ1576">
        <v>0</v>
      </c>
      <c r="AR1576">
        <v>0</v>
      </c>
      <c r="AS1576">
        <v>0</v>
      </c>
      <c r="AT1576">
        <v>1</v>
      </c>
      <c r="AU1576">
        <v>23.5</v>
      </c>
      <c r="AV1576">
        <v>5.5</v>
      </c>
      <c r="AW1576">
        <v>522.29999999999995</v>
      </c>
      <c r="AX1576">
        <v>157</v>
      </c>
      <c r="AY1576">
        <v>1239</v>
      </c>
      <c r="AZ1576">
        <v>1901</v>
      </c>
      <c r="BC1576" t="s">
        <v>476</v>
      </c>
      <c r="BD1576" t="s">
        <v>576</v>
      </c>
    </row>
    <row r="1577" spans="1:56" x14ac:dyDescent="0.3">
      <c r="A1577">
        <v>30133</v>
      </c>
      <c r="B1577">
        <v>1</v>
      </c>
      <c r="C1577">
        <v>60</v>
      </c>
      <c r="D1577">
        <v>0</v>
      </c>
      <c r="E1577">
        <v>0</v>
      </c>
      <c r="F1577">
        <v>4</v>
      </c>
      <c r="G1577">
        <v>0</v>
      </c>
      <c r="H1577">
        <v>3</v>
      </c>
      <c r="I1577">
        <v>0</v>
      </c>
      <c r="J1577">
        <v>33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1</v>
      </c>
      <c r="W1577">
        <v>0</v>
      </c>
      <c r="X1577">
        <v>0</v>
      </c>
      <c r="Y1577">
        <v>0</v>
      </c>
      <c r="Z1577">
        <v>1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1</v>
      </c>
      <c r="AO1577">
        <v>0</v>
      </c>
      <c r="AP1577">
        <v>1</v>
      </c>
      <c r="AQ1577">
        <v>0</v>
      </c>
      <c r="AR1577">
        <v>0</v>
      </c>
      <c r="AS1577">
        <v>0</v>
      </c>
      <c r="AT1577">
        <v>1</v>
      </c>
      <c r="AU1577">
        <v>15.1</v>
      </c>
      <c r="AV1577">
        <v>5.5</v>
      </c>
      <c r="AW1577">
        <v>559.69999999999993</v>
      </c>
      <c r="AX1577">
        <v>130</v>
      </c>
      <c r="AY1577">
        <v>1113</v>
      </c>
      <c r="AZ1577">
        <v>2008</v>
      </c>
      <c r="BC1577" t="s">
        <v>476</v>
      </c>
      <c r="BD1577" t="s">
        <v>576</v>
      </c>
    </row>
    <row r="1578" spans="1:56" x14ac:dyDescent="0.3">
      <c r="A1578">
        <v>30134</v>
      </c>
      <c r="B1578">
        <v>1</v>
      </c>
      <c r="C1578">
        <v>58</v>
      </c>
      <c r="D1578">
        <v>0</v>
      </c>
      <c r="E1578">
        <v>0</v>
      </c>
      <c r="F1578">
        <v>4</v>
      </c>
      <c r="G1578">
        <v>0</v>
      </c>
      <c r="H1578">
        <v>5</v>
      </c>
      <c r="I1578">
        <v>0</v>
      </c>
      <c r="J1578">
        <v>33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1</v>
      </c>
      <c r="W1578">
        <v>0</v>
      </c>
      <c r="X1578">
        <v>0</v>
      </c>
      <c r="Y1578">
        <v>0</v>
      </c>
      <c r="Z1578">
        <v>1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1</v>
      </c>
      <c r="AO1578">
        <v>0</v>
      </c>
      <c r="AP1578">
        <v>1</v>
      </c>
      <c r="AQ1578">
        <v>0</v>
      </c>
      <c r="AR1578">
        <v>0</v>
      </c>
      <c r="AS1578">
        <v>0</v>
      </c>
      <c r="AT1578">
        <v>1</v>
      </c>
      <c r="AU1578">
        <v>20.9</v>
      </c>
      <c r="AV1578">
        <v>5.5</v>
      </c>
      <c r="AW1578">
        <v>528.9</v>
      </c>
      <c r="AX1578">
        <v>142</v>
      </c>
      <c r="AY1578">
        <v>1210</v>
      </c>
      <c r="AZ1578">
        <v>1712</v>
      </c>
      <c r="BC1578" t="s">
        <v>476</v>
      </c>
      <c r="BD1578" t="s">
        <v>576</v>
      </c>
    </row>
    <row r="1579" spans="1:56" x14ac:dyDescent="0.3">
      <c r="A1579">
        <v>30135</v>
      </c>
      <c r="B1579">
        <v>1</v>
      </c>
      <c r="C1579">
        <v>56</v>
      </c>
      <c r="D1579">
        <v>0</v>
      </c>
      <c r="E1579">
        <v>0</v>
      </c>
      <c r="F1579">
        <v>4</v>
      </c>
      <c r="G1579">
        <v>0</v>
      </c>
      <c r="H1579">
        <v>7</v>
      </c>
      <c r="I1579">
        <v>0</v>
      </c>
      <c r="J1579">
        <v>33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1</v>
      </c>
      <c r="W1579">
        <v>0</v>
      </c>
      <c r="X1579">
        <v>0</v>
      </c>
      <c r="Y1579">
        <v>0</v>
      </c>
      <c r="Z1579">
        <v>1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1</v>
      </c>
      <c r="AO1579">
        <v>0</v>
      </c>
      <c r="AP1579">
        <v>1</v>
      </c>
      <c r="AQ1579">
        <v>0</v>
      </c>
      <c r="AR1579">
        <v>0</v>
      </c>
      <c r="AS1579">
        <v>0</v>
      </c>
      <c r="AT1579">
        <v>1</v>
      </c>
      <c r="AU1579">
        <v>26.700000000000003</v>
      </c>
      <c r="AV1579">
        <v>5.5</v>
      </c>
      <c r="AW1579">
        <v>498.09999999999997</v>
      </c>
      <c r="AX1579">
        <v>149</v>
      </c>
      <c r="AY1579">
        <v>1287</v>
      </c>
      <c r="AZ1579">
        <v>1567</v>
      </c>
      <c r="BC1579" t="s">
        <v>476</v>
      </c>
      <c r="BD1579" t="s">
        <v>576</v>
      </c>
    </row>
    <row r="1580" spans="1:56" x14ac:dyDescent="0.3">
      <c r="A1580">
        <v>30136</v>
      </c>
      <c r="B1580">
        <v>1</v>
      </c>
      <c r="C1580">
        <v>66</v>
      </c>
      <c r="D1580">
        <v>0</v>
      </c>
      <c r="E1580">
        <v>0</v>
      </c>
      <c r="F1580">
        <v>0</v>
      </c>
      <c r="G1580">
        <v>0</v>
      </c>
      <c r="H1580">
        <v>7</v>
      </c>
      <c r="I1580">
        <v>0</v>
      </c>
      <c r="J1580">
        <v>0</v>
      </c>
      <c r="K1580">
        <v>27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1</v>
      </c>
      <c r="W1580">
        <v>0</v>
      </c>
      <c r="X1580">
        <v>0</v>
      </c>
      <c r="Y1580">
        <v>0</v>
      </c>
      <c r="Z1580">
        <v>1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1</v>
      </c>
      <c r="AO1580">
        <v>0</v>
      </c>
      <c r="AP1580">
        <v>1</v>
      </c>
      <c r="AQ1580">
        <v>0</v>
      </c>
      <c r="AR1580">
        <v>1</v>
      </c>
      <c r="AS1580">
        <v>0</v>
      </c>
      <c r="AT1580">
        <v>0</v>
      </c>
      <c r="AU1580">
        <v>27.86</v>
      </c>
      <c r="AV1580">
        <v>0</v>
      </c>
      <c r="AW1580">
        <v>774.2</v>
      </c>
      <c r="AX1580">
        <v>116</v>
      </c>
      <c r="AY1580">
        <v>784</v>
      </c>
      <c r="BC1580" t="s">
        <v>477</v>
      </c>
      <c r="BD1580" t="s">
        <v>577</v>
      </c>
    </row>
    <row r="1581" spans="1:56" x14ac:dyDescent="0.3">
      <c r="A1581">
        <v>30137</v>
      </c>
      <c r="B1581">
        <v>1</v>
      </c>
      <c r="C1581">
        <v>64</v>
      </c>
      <c r="D1581">
        <v>0</v>
      </c>
      <c r="E1581">
        <v>0</v>
      </c>
      <c r="F1581">
        <v>2</v>
      </c>
      <c r="G1581">
        <v>0</v>
      </c>
      <c r="H1581">
        <v>7</v>
      </c>
      <c r="I1581">
        <v>0</v>
      </c>
      <c r="J1581">
        <v>0</v>
      </c>
      <c r="K1581">
        <v>27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1</v>
      </c>
      <c r="W1581">
        <v>0</v>
      </c>
      <c r="X1581">
        <v>0</v>
      </c>
      <c r="Y1581">
        <v>0</v>
      </c>
      <c r="Z1581">
        <v>1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1</v>
      </c>
      <c r="AO1581">
        <v>0</v>
      </c>
      <c r="AP1581">
        <v>1</v>
      </c>
      <c r="AQ1581">
        <v>0</v>
      </c>
      <c r="AR1581">
        <v>0</v>
      </c>
      <c r="AS1581">
        <v>0</v>
      </c>
      <c r="AT1581">
        <v>0</v>
      </c>
      <c r="AU1581">
        <v>31.06</v>
      </c>
      <c r="AV1581">
        <v>0</v>
      </c>
      <c r="AW1581">
        <v>750</v>
      </c>
      <c r="AX1581">
        <v>99</v>
      </c>
      <c r="AY1581">
        <v>1097</v>
      </c>
      <c r="BC1581" t="s">
        <v>477</v>
      </c>
      <c r="BD1581" t="s">
        <v>577</v>
      </c>
    </row>
    <row r="1582" spans="1:56" x14ac:dyDescent="0.3">
      <c r="A1582">
        <v>30138</v>
      </c>
      <c r="B1582">
        <v>1</v>
      </c>
      <c r="C1582">
        <v>62</v>
      </c>
      <c r="D1582">
        <v>0</v>
      </c>
      <c r="E1582">
        <v>0</v>
      </c>
      <c r="F1582">
        <v>4</v>
      </c>
      <c r="G1582">
        <v>0</v>
      </c>
      <c r="H1582">
        <v>7</v>
      </c>
      <c r="I1582">
        <v>0</v>
      </c>
      <c r="J1582">
        <v>0</v>
      </c>
      <c r="K1582">
        <v>27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X1582">
        <v>0</v>
      </c>
      <c r="Y1582">
        <v>0</v>
      </c>
      <c r="Z1582">
        <v>1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1</v>
      </c>
      <c r="AO1582">
        <v>0</v>
      </c>
      <c r="AP1582">
        <v>1</v>
      </c>
      <c r="AQ1582">
        <v>0</v>
      </c>
      <c r="AR1582">
        <v>0</v>
      </c>
      <c r="AS1582">
        <v>0</v>
      </c>
      <c r="AT1582">
        <v>0</v>
      </c>
      <c r="AU1582">
        <v>34.26</v>
      </c>
      <c r="AV1582">
        <v>0</v>
      </c>
      <c r="AW1582">
        <v>725.80000000000007</v>
      </c>
      <c r="AX1582">
        <v>81</v>
      </c>
      <c r="AY1582">
        <v>947</v>
      </c>
      <c r="BC1582" t="s">
        <v>477</v>
      </c>
      <c r="BD1582" t="s">
        <v>577</v>
      </c>
    </row>
    <row r="1583" spans="1:56" x14ac:dyDescent="0.3">
      <c r="A1583">
        <v>30139</v>
      </c>
      <c r="B1583">
        <v>1</v>
      </c>
      <c r="C1583">
        <v>60</v>
      </c>
      <c r="D1583">
        <v>0</v>
      </c>
      <c r="E1583">
        <v>0</v>
      </c>
      <c r="F1583">
        <v>6</v>
      </c>
      <c r="G1583">
        <v>0</v>
      </c>
      <c r="H1583">
        <v>7</v>
      </c>
      <c r="I1583">
        <v>0</v>
      </c>
      <c r="J1583">
        <v>0</v>
      </c>
      <c r="K1583">
        <v>27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1</v>
      </c>
      <c r="W1583">
        <v>0</v>
      </c>
      <c r="X1583">
        <v>0</v>
      </c>
      <c r="Y1583">
        <v>0</v>
      </c>
      <c r="Z1583">
        <v>1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1</v>
      </c>
      <c r="AO1583">
        <v>0</v>
      </c>
      <c r="AP1583">
        <v>1</v>
      </c>
      <c r="AQ1583">
        <v>0</v>
      </c>
      <c r="AR1583">
        <v>0</v>
      </c>
      <c r="AS1583">
        <v>0</v>
      </c>
      <c r="AT1583">
        <v>0</v>
      </c>
      <c r="AU1583">
        <v>37.46</v>
      </c>
      <c r="AV1583">
        <v>0</v>
      </c>
      <c r="AW1583">
        <v>701.6</v>
      </c>
      <c r="AX1583">
        <v>77</v>
      </c>
      <c r="AY1583">
        <v>922</v>
      </c>
      <c r="BC1583" t="s">
        <v>477</v>
      </c>
      <c r="BD1583" t="s">
        <v>577</v>
      </c>
    </row>
    <row r="1584" spans="1:56" x14ac:dyDescent="0.3">
      <c r="A1584">
        <v>30140</v>
      </c>
      <c r="B1584">
        <v>1</v>
      </c>
      <c r="C1584">
        <v>58</v>
      </c>
      <c r="D1584">
        <v>0</v>
      </c>
      <c r="E1584">
        <v>0</v>
      </c>
      <c r="F1584">
        <v>8</v>
      </c>
      <c r="G1584">
        <v>0</v>
      </c>
      <c r="H1584">
        <v>7</v>
      </c>
      <c r="I1584">
        <v>0</v>
      </c>
      <c r="J1584">
        <v>0</v>
      </c>
      <c r="K1584">
        <v>27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1</v>
      </c>
      <c r="W1584">
        <v>0</v>
      </c>
      <c r="X1584">
        <v>0</v>
      </c>
      <c r="Y1584">
        <v>0</v>
      </c>
      <c r="Z1584">
        <v>1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1</v>
      </c>
      <c r="AO1584">
        <v>0</v>
      </c>
      <c r="AP1584">
        <v>1</v>
      </c>
      <c r="AQ1584">
        <v>0</v>
      </c>
      <c r="AR1584">
        <v>0</v>
      </c>
      <c r="AS1584">
        <v>0</v>
      </c>
      <c r="AT1584">
        <v>0</v>
      </c>
      <c r="AU1584">
        <v>40.659999999999997</v>
      </c>
      <c r="AV1584">
        <v>0</v>
      </c>
      <c r="AW1584">
        <v>677.40000000000009</v>
      </c>
      <c r="AX1584">
        <v>72</v>
      </c>
      <c r="AY1584">
        <v>941</v>
      </c>
      <c r="BC1584" t="s">
        <v>477</v>
      </c>
      <c r="BD1584" t="s">
        <v>577</v>
      </c>
    </row>
    <row r="1585" spans="1:56" x14ac:dyDescent="0.3">
      <c r="A1585">
        <v>30141</v>
      </c>
      <c r="B1585">
        <v>0</v>
      </c>
      <c r="C1585">
        <v>91</v>
      </c>
      <c r="D1585">
        <v>0</v>
      </c>
      <c r="E1585">
        <v>0</v>
      </c>
      <c r="F1585">
        <v>0</v>
      </c>
      <c r="G1585">
        <v>9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882</v>
      </c>
      <c r="AE1585">
        <v>0</v>
      </c>
      <c r="AF1585">
        <v>1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1</v>
      </c>
      <c r="AO1585">
        <v>0</v>
      </c>
      <c r="AP1585">
        <v>1</v>
      </c>
      <c r="AQ1585">
        <v>0</v>
      </c>
      <c r="AR1585">
        <v>0</v>
      </c>
      <c r="AS1585">
        <v>1</v>
      </c>
      <c r="AT1585">
        <v>0</v>
      </c>
      <c r="AU1585">
        <v>15.299999999999999</v>
      </c>
      <c r="AV1585">
        <v>0</v>
      </c>
      <c r="AW1585">
        <v>882</v>
      </c>
      <c r="AX1585">
        <v>94</v>
      </c>
      <c r="AY1585">
        <v>1023</v>
      </c>
      <c r="AZ1585">
        <v>1048</v>
      </c>
      <c r="BB1585">
        <v>338</v>
      </c>
      <c r="BC1585" t="s">
        <v>478</v>
      </c>
      <c r="BD1585" t="s">
        <v>578</v>
      </c>
    </row>
    <row r="1586" spans="1:56" x14ac:dyDescent="0.3">
      <c r="A1586">
        <v>30142</v>
      </c>
      <c r="B1586">
        <v>0</v>
      </c>
      <c r="C1586">
        <v>87</v>
      </c>
      <c r="D1586">
        <v>0</v>
      </c>
      <c r="E1586">
        <v>0</v>
      </c>
      <c r="F1586">
        <v>0</v>
      </c>
      <c r="G1586">
        <v>13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882</v>
      </c>
      <c r="AE1586">
        <v>0</v>
      </c>
      <c r="AF1586">
        <v>1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1</v>
      </c>
      <c r="AO1586">
        <v>0</v>
      </c>
      <c r="AP1586">
        <v>1</v>
      </c>
      <c r="AQ1586">
        <v>0</v>
      </c>
      <c r="AR1586">
        <v>0</v>
      </c>
      <c r="AS1586">
        <v>0</v>
      </c>
      <c r="AT1586">
        <v>0</v>
      </c>
      <c r="AU1586">
        <v>22.099999999999998</v>
      </c>
      <c r="AV1586">
        <v>0</v>
      </c>
      <c r="AW1586">
        <v>882</v>
      </c>
      <c r="AX1586">
        <v>100</v>
      </c>
      <c r="AY1586">
        <v>927</v>
      </c>
      <c r="AZ1586">
        <v>939</v>
      </c>
      <c r="BB1586">
        <v>312</v>
      </c>
      <c r="BC1586" t="s">
        <v>478</v>
      </c>
      <c r="BD1586" t="s">
        <v>578</v>
      </c>
    </row>
    <row r="1587" spans="1:56" x14ac:dyDescent="0.3">
      <c r="A1587">
        <v>30143</v>
      </c>
      <c r="B1587">
        <v>0</v>
      </c>
      <c r="C1587">
        <v>92</v>
      </c>
      <c r="D1587">
        <v>0</v>
      </c>
      <c r="E1587">
        <v>0</v>
      </c>
      <c r="F1587">
        <v>0</v>
      </c>
      <c r="G1587">
        <v>5</v>
      </c>
      <c r="H1587">
        <v>0</v>
      </c>
      <c r="I1587">
        <v>0</v>
      </c>
      <c r="J1587">
        <v>0</v>
      </c>
      <c r="K1587">
        <v>0</v>
      </c>
      <c r="L1587">
        <v>3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1</v>
      </c>
      <c r="W1587">
        <v>0</v>
      </c>
      <c r="X1587">
        <v>0</v>
      </c>
      <c r="Y1587">
        <v>0</v>
      </c>
      <c r="Z1587">
        <v>1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1</v>
      </c>
      <c r="AO1587">
        <v>0</v>
      </c>
      <c r="AP1587">
        <v>1</v>
      </c>
      <c r="AQ1587">
        <v>0</v>
      </c>
      <c r="AR1587">
        <v>0</v>
      </c>
      <c r="AS1587">
        <v>1</v>
      </c>
      <c r="AT1587">
        <v>0</v>
      </c>
      <c r="AU1587">
        <v>11.5</v>
      </c>
      <c r="AV1587">
        <v>0</v>
      </c>
      <c r="AW1587">
        <v>853.5</v>
      </c>
      <c r="AX1587">
        <v>88</v>
      </c>
      <c r="AY1587">
        <v>980</v>
      </c>
      <c r="AZ1587">
        <v>1036</v>
      </c>
      <c r="BB1587">
        <v>331</v>
      </c>
      <c r="BC1587" t="s">
        <v>479</v>
      </c>
      <c r="BD1587" t="s">
        <v>579</v>
      </c>
    </row>
    <row r="1588" spans="1:56" x14ac:dyDescent="0.3">
      <c r="A1588">
        <v>30144</v>
      </c>
      <c r="B1588">
        <v>0</v>
      </c>
      <c r="C1588">
        <v>91</v>
      </c>
      <c r="D1588">
        <v>0</v>
      </c>
      <c r="E1588">
        <v>0</v>
      </c>
      <c r="F1588">
        <v>0</v>
      </c>
      <c r="G1588">
        <v>5</v>
      </c>
      <c r="H1588">
        <v>0</v>
      </c>
      <c r="I1588">
        <v>0</v>
      </c>
      <c r="J1588">
        <v>0</v>
      </c>
      <c r="K1588">
        <v>0</v>
      </c>
      <c r="L1588">
        <v>4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1</v>
      </c>
      <c r="W1588">
        <v>0</v>
      </c>
      <c r="X1588">
        <v>0</v>
      </c>
      <c r="Y1588">
        <v>0</v>
      </c>
      <c r="Z1588">
        <v>1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1</v>
      </c>
      <c r="AO1588">
        <v>0</v>
      </c>
      <c r="AP1588">
        <v>1</v>
      </c>
      <c r="AQ1588">
        <v>0</v>
      </c>
      <c r="AR1588">
        <v>0</v>
      </c>
      <c r="AS1588">
        <v>1</v>
      </c>
      <c r="AT1588">
        <v>0</v>
      </c>
      <c r="AU1588">
        <v>12.5</v>
      </c>
      <c r="AV1588">
        <v>0</v>
      </c>
      <c r="AW1588">
        <v>844</v>
      </c>
      <c r="AX1588">
        <v>84</v>
      </c>
      <c r="AY1588">
        <v>1046</v>
      </c>
      <c r="AZ1588">
        <v>1104</v>
      </c>
      <c r="BB1588">
        <v>337</v>
      </c>
      <c r="BC1588" t="s">
        <v>479</v>
      </c>
      <c r="BD1588" t="s">
        <v>579</v>
      </c>
    </row>
    <row r="1589" spans="1:56" x14ac:dyDescent="0.3">
      <c r="A1589">
        <v>30145</v>
      </c>
      <c r="B1589">
        <v>0</v>
      </c>
      <c r="C1589">
        <v>91</v>
      </c>
      <c r="D1589">
        <v>0</v>
      </c>
      <c r="E1589">
        <v>0</v>
      </c>
      <c r="F1589">
        <v>0</v>
      </c>
      <c r="G1589">
        <v>6</v>
      </c>
      <c r="H1589">
        <v>0</v>
      </c>
      <c r="I1589">
        <v>0</v>
      </c>
      <c r="J1589">
        <v>0</v>
      </c>
      <c r="K1589">
        <v>0</v>
      </c>
      <c r="L1589">
        <v>3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1</v>
      </c>
      <c r="W1589">
        <v>0</v>
      </c>
      <c r="X1589">
        <v>0</v>
      </c>
      <c r="Y1589">
        <v>0</v>
      </c>
      <c r="Z1589">
        <v>1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1</v>
      </c>
      <c r="AO1589">
        <v>0</v>
      </c>
      <c r="AP1589">
        <v>1</v>
      </c>
      <c r="AQ1589">
        <v>0</v>
      </c>
      <c r="AR1589">
        <v>0</v>
      </c>
      <c r="AS1589">
        <v>1</v>
      </c>
      <c r="AT1589">
        <v>0</v>
      </c>
      <c r="AU1589">
        <v>13.2</v>
      </c>
      <c r="AV1589">
        <v>0</v>
      </c>
      <c r="AW1589">
        <v>853.5</v>
      </c>
      <c r="AX1589">
        <v>86</v>
      </c>
      <c r="AY1589">
        <v>1077</v>
      </c>
      <c r="AZ1589">
        <v>1143</v>
      </c>
      <c r="BB1589">
        <v>359</v>
      </c>
      <c r="BC1589" t="s">
        <v>479</v>
      </c>
      <c r="BD1589" t="s">
        <v>579</v>
      </c>
    </row>
    <row r="1590" spans="1:56" x14ac:dyDescent="0.3">
      <c r="A1590">
        <v>30146</v>
      </c>
      <c r="B1590">
        <v>0</v>
      </c>
      <c r="C1590">
        <v>90</v>
      </c>
      <c r="D1590">
        <v>0</v>
      </c>
      <c r="E1590">
        <v>0</v>
      </c>
      <c r="F1590">
        <v>0</v>
      </c>
      <c r="G1590">
        <v>6</v>
      </c>
      <c r="H1590">
        <v>0</v>
      </c>
      <c r="I1590">
        <v>0</v>
      </c>
      <c r="J1590">
        <v>0</v>
      </c>
      <c r="K1590">
        <v>0</v>
      </c>
      <c r="L1590">
        <v>4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1</v>
      </c>
      <c r="W1590">
        <v>0</v>
      </c>
      <c r="X1590">
        <v>0</v>
      </c>
      <c r="Y1590">
        <v>0</v>
      </c>
      <c r="Z1590">
        <v>1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1</v>
      </c>
      <c r="AO1590">
        <v>0</v>
      </c>
      <c r="AP1590">
        <v>1</v>
      </c>
      <c r="AQ1590">
        <v>0</v>
      </c>
      <c r="AR1590">
        <v>0</v>
      </c>
      <c r="AS1590">
        <v>1</v>
      </c>
      <c r="AT1590">
        <v>0</v>
      </c>
      <c r="AU1590">
        <v>14.2</v>
      </c>
      <c r="AV1590">
        <v>0</v>
      </c>
      <c r="AW1590">
        <v>844</v>
      </c>
      <c r="AX1590">
        <v>85</v>
      </c>
      <c r="AY1590">
        <v>1033</v>
      </c>
      <c r="AZ1590">
        <v>1093</v>
      </c>
      <c r="BB1590">
        <v>312</v>
      </c>
      <c r="BC1590" t="s">
        <v>479</v>
      </c>
      <c r="BD1590" t="s">
        <v>579</v>
      </c>
    </row>
    <row r="1591" spans="1:56" x14ac:dyDescent="0.3">
      <c r="A1591">
        <v>30147</v>
      </c>
      <c r="B1591">
        <v>1</v>
      </c>
      <c r="C1591">
        <v>78</v>
      </c>
      <c r="D1591">
        <v>2</v>
      </c>
      <c r="E1591">
        <v>0</v>
      </c>
      <c r="F1591">
        <v>5</v>
      </c>
      <c r="G1591">
        <v>0</v>
      </c>
      <c r="H1591">
        <v>0</v>
      </c>
      <c r="I1591">
        <v>0</v>
      </c>
      <c r="J1591">
        <v>15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722.2</v>
      </c>
      <c r="AE1591">
        <v>0</v>
      </c>
      <c r="AF1591">
        <v>1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1</v>
      </c>
      <c r="AO1591">
        <v>0</v>
      </c>
      <c r="AP1591">
        <v>1</v>
      </c>
      <c r="AQ1591">
        <v>0</v>
      </c>
      <c r="AR1591">
        <v>0</v>
      </c>
      <c r="AS1591">
        <v>0</v>
      </c>
      <c r="AT1591">
        <v>0</v>
      </c>
      <c r="AU1591">
        <v>6</v>
      </c>
      <c r="AV1591">
        <v>4.5</v>
      </c>
      <c r="AW1591">
        <v>722.2</v>
      </c>
      <c r="AX1591">
        <v>58</v>
      </c>
      <c r="AY1591">
        <v>625.4</v>
      </c>
      <c r="AZ1591">
        <v>1879.9</v>
      </c>
      <c r="BB1591">
        <v>302</v>
      </c>
      <c r="BC1591" t="s">
        <v>480</v>
      </c>
      <c r="BD1591" t="s">
        <v>580</v>
      </c>
    </row>
    <row r="1592" spans="1:56" x14ac:dyDescent="0.3">
      <c r="A1592">
        <v>30148</v>
      </c>
      <c r="B1592">
        <v>1</v>
      </c>
      <c r="C1592">
        <v>58.7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3</v>
      </c>
      <c r="K1592">
        <v>36</v>
      </c>
      <c r="L1592">
        <v>0</v>
      </c>
      <c r="M1592">
        <v>0</v>
      </c>
      <c r="N1592">
        <v>0</v>
      </c>
      <c r="O1592">
        <v>2</v>
      </c>
      <c r="P1592">
        <v>0</v>
      </c>
      <c r="Q1592">
        <v>0</v>
      </c>
      <c r="R1592">
        <v>0</v>
      </c>
      <c r="S1592">
        <v>0</v>
      </c>
      <c r="T1592">
        <v>0.3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898.19999999999993</v>
      </c>
      <c r="AE1592">
        <v>0</v>
      </c>
      <c r="AF1592">
        <v>1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1</v>
      </c>
      <c r="AO1592">
        <v>0</v>
      </c>
      <c r="AP1592">
        <v>1</v>
      </c>
      <c r="AQ1592">
        <v>0</v>
      </c>
      <c r="AR1592">
        <v>0</v>
      </c>
      <c r="AS1592">
        <v>0</v>
      </c>
      <c r="AT1592">
        <v>0</v>
      </c>
      <c r="AU1592">
        <v>10.520000000000001</v>
      </c>
      <c r="AV1592">
        <v>0.53</v>
      </c>
      <c r="AW1592">
        <v>898.19999999999993</v>
      </c>
      <c r="AX1592">
        <v>64.5</v>
      </c>
      <c r="AY1592">
        <v>700</v>
      </c>
      <c r="AZ1592">
        <v>840</v>
      </c>
      <c r="BC1592" t="s">
        <v>481</v>
      </c>
      <c r="BD1592" t="s">
        <v>581</v>
      </c>
    </row>
    <row r="1593" spans="1:56" x14ac:dyDescent="0.3">
      <c r="A1593">
        <v>30149</v>
      </c>
      <c r="B1593">
        <v>1</v>
      </c>
      <c r="C1593">
        <v>58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6.8</v>
      </c>
      <c r="K1593">
        <v>32.5</v>
      </c>
      <c r="L1593">
        <v>0</v>
      </c>
      <c r="M1593">
        <v>2.7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846.42000000000007</v>
      </c>
      <c r="AE1593">
        <v>0</v>
      </c>
      <c r="AF1593">
        <v>1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1</v>
      </c>
      <c r="AO1593">
        <v>0</v>
      </c>
      <c r="AP1593">
        <v>1</v>
      </c>
      <c r="AQ1593">
        <v>0</v>
      </c>
      <c r="AR1593">
        <v>0</v>
      </c>
      <c r="AS1593">
        <v>0</v>
      </c>
      <c r="AT1593">
        <v>0</v>
      </c>
      <c r="AU1593">
        <v>9.1000000000000014</v>
      </c>
      <c r="AV1593">
        <v>2.0333333333333332</v>
      </c>
      <c r="AW1593">
        <v>846.42000000000007</v>
      </c>
      <c r="AX1593">
        <v>54.2</v>
      </c>
      <c r="AY1593">
        <v>380</v>
      </c>
      <c r="AZ1593">
        <v>562</v>
      </c>
      <c r="BC1593" t="s">
        <v>282</v>
      </c>
      <c r="BD1593" t="s">
        <v>582</v>
      </c>
    </row>
    <row r="1594" spans="1:56" x14ac:dyDescent="0.3">
      <c r="A1594">
        <v>30150</v>
      </c>
      <c r="B1594">
        <v>1</v>
      </c>
      <c r="C1594">
        <v>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12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768</v>
      </c>
      <c r="AE1594">
        <v>0</v>
      </c>
      <c r="AF1594">
        <v>1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1</v>
      </c>
      <c r="AO1594">
        <v>0</v>
      </c>
      <c r="AP1594">
        <v>1</v>
      </c>
      <c r="AQ1594">
        <v>0</v>
      </c>
      <c r="AR1594">
        <v>0</v>
      </c>
      <c r="AS1594">
        <v>1</v>
      </c>
      <c r="AT1594">
        <v>0</v>
      </c>
      <c r="AU1594">
        <v>12</v>
      </c>
      <c r="AV1594">
        <v>0</v>
      </c>
      <c r="AW1594">
        <v>768</v>
      </c>
      <c r="AY1594">
        <v>480</v>
      </c>
      <c r="AZ1594">
        <v>1000</v>
      </c>
      <c r="BC1594" t="s">
        <v>482</v>
      </c>
      <c r="BD1594" t="s">
        <v>583</v>
      </c>
    </row>
    <row r="1595" spans="1:56" x14ac:dyDescent="0.3">
      <c r="A1595">
        <v>30151</v>
      </c>
      <c r="B1595">
        <v>1</v>
      </c>
      <c r="C1595">
        <v>83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5</v>
      </c>
      <c r="K1595">
        <v>0</v>
      </c>
      <c r="L1595">
        <v>12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733.5</v>
      </c>
      <c r="AE1595">
        <v>0</v>
      </c>
      <c r="AF1595">
        <v>1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1</v>
      </c>
      <c r="AO1595">
        <v>0</v>
      </c>
      <c r="AP1595">
        <v>1</v>
      </c>
      <c r="AQ1595">
        <v>0</v>
      </c>
      <c r="AR1595">
        <v>0</v>
      </c>
      <c r="AS1595">
        <v>1</v>
      </c>
      <c r="AT1595">
        <v>0</v>
      </c>
      <c r="AU1595">
        <v>12</v>
      </c>
      <c r="AV1595">
        <v>0.83333333333333337</v>
      </c>
      <c r="AW1595">
        <v>733.5</v>
      </c>
      <c r="AY1595">
        <v>650</v>
      </c>
      <c r="AZ1595">
        <v>950</v>
      </c>
      <c r="BC1595" t="s">
        <v>482</v>
      </c>
      <c r="BD1595" t="s">
        <v>583</v>
      </c>
    </row>
    <row r="1596" spans="1:56" x14ac:dyDescent="0.3">
      <c r="A1596">
        <v>30152</v>
      </c>
      <c r="B1596">
        <v>1</v>
      </c>
      <c r="C1596">
        <v>65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35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882</v>
      </c>
      <c r="AE1596">
        <v>0</v>
      </c>
      <c r="AF1596">
        <v>1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1</v>
      </c>
      <c r="AO1596">
        <v>0</v>
      </c>
      <c r="AP1596">
        <v>1</v>
      </c>
      <c r="AQ1596">
        <v>0</v>
      </c>
      <c r="AR1596">
        <v>1</v>
      </c>
      <c r="AS1596">
        <v>0</v>
      </c>
      <c r="AT1596">
        <v>0</v>
      </c>
      <c r="AU1596">
        <v>9.8000000000000007</v>
      </c>
      <c r="AV1596">
        <v>0</v>
      </c>
      <c r="AW1596">
        <v>882</v>
      </c>
      <c r="AX1596">
        <v>73.900000000000006</v>
      </c>
      <c r="AY1596">
        <v>289</v>
      </c>
      <c r="AZ1596">
        <v>561</v>
      </c>
      <c r="BB1596">
        <v>202</v>
      </c>
      <c r="BC1596" t="s">
        <v>483</v>
      </c>
      <c r="BD1596" t="s">
        <v>584</v>
      </c>
    </row>
    <row r="1597" spans="1:56" x14ac:dyDescent="0.3">
      <c r="A1597">
        <v>30153</v>
      </c>
      <c r="B1597">
        <v>1</v>
      </c>
      <c r="C1597">
        <v>62.5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35</v>
      </c>
      <c r="L1597">
        <v>0</v>
      </c>
      <c r="M1597">
        <v>2.5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892.5</v>
      </c>
      <c r="AE1597">
        <v>0</v>
      </c>
      <c r="AF1597">
        <v>1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1</v>
      </c>
      <c r="AO1597">
        <v>0</v>
      </c>
      <c r="AP1597">
        <v>1</v>
      </c>
      <c r="AQ1597">
        <v>0</v>
      </c>
      <c r="AR1597">
        <v>1</v>
      </c>
      <c r="AS1597">
        <v>0</v>
      </c>
      <c r="AT1597">
        <v>0</v>
      </c>
      <c r="AU1597">
        <v>9.8000000000000007</v>
      </c>
      <c r="AV1597">
        <v>0.83333333333333337</v>
      </c>
      <c r="AW1597">
        <v>892.5</v>
      </c>
      <c r="AX1597">
        <v>65.8</v>
      </c>
      <c r="AY1597">
        <v>237</v>
      </c>
      <c r="AZ1597">
        <v>566</v>
      </c>
      <c r="BB1597">
        <v>195</v>
      </c>
      <c r="BC1597" t="s">
        <v>483</v>
      </c>
      <c r="BD1597" t="s">
        <v>584</v>
      </c>
    </row>
    <row r="1598" spans="1:56" x14ac:dyDescent="0.3">
      <c r="A1598">
        <v>30154</v>
      </c>
      <c r="B1598">
        <v>1</v>
      </c>
      <c r="C1598">
        <v>60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35</v>
      </c>
      <c r="L1598">
        <v>0</v>
      </c>
      <c r="M1598">
        <v>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903</v>
      </c>
      <c r="AE1598">
        <v>0</v>
      </c>
      <c r="AF1598">
        <v>1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1</v>
      </c>
      <c r="AO1598">
        <v>0</v>
      </c>
      <c r="AP1598">
        <v>1</v>
      </c>
      <c r="AQ1598">
        <v>0</v>
      </c>
      <c r="AR1598">
        <v>0</v>
      </c>
      <c r="AS1598">
        <v>0</v>
      </c>
      <c r="AT1598">
        <v>0</v>
      </c>
      <c r="AU1598">
        <v>9.8000000000000007</v>
      </c>
      <c r="AV1598">
        <v>1.6666666666666667</v>
      </c>
      <c r="AW1598">
        <v>903</v>
      </c>
      <c r="AX1598">
        <v>68.2</v>
      </c>
      <c r="AY1598">
        <v>216</v>
      </c>
      <c r="AZ1598">
        <v>563</v>
      </c>
      <c r="BB1598">
        <v>184</v>
      </c>
      <c r="BC1598" t="s">
        <v>483</v>
      </c>
      <c r="BD1598" t="s">
        <v>584</v>
      </c>
    </row>
    <row r="1599" spans="1:56" x14ac:dyDescent="0.3">
      <c r="A1599">
        <v>30155</v>
      </c>
      <c r="B1599">
        <v>1</v>
      </c>
      <c r="C1599">
        <v>57.5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35</v>
      </c>
      <c r="L1599">
        <v>0</v>
      </c>
      <c r="M1599">
        <v>7.5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913.5</v>
      </c>
      <c r="AE1599">
        <v>0</v>
      </c>
      <c r="AF1599">
        <v>1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1</v>
      </c>
      <c r="AO1599">
        <v>0</v>
      </c>
      <c r="AP1599">
        <v>1</v>
      </c>
      <c r="AQ1599">
        <v>0</v>
      </c>
      <c r="AR1599">
        <v>0</v>
      </c>
      <c r="AS1599">
        <v>0</v>
      </c>
      <c r="AT1599">
        <v>0</v>
      </c>
      <c r="AU1599">
        <v>9.8000000000000007</v>
      </c>
      <c r="AV1599">
        <v>2.5</v>
      </c>
      <c r="AW1599">
        <v>913.5</v>
      </c>
      <c r="AX1599">
        <v>86.4</v>
      </c>
      <c r="AY1599">
        <v>262</v>
      </c>
      <c r="AZ1599">
        <v>478</v>
      </c>
      <c r="BB1599">
        <v>202</v>
      </c>
      <c r="BC1599" t="s">
        <v>483</v>
      </c>
      <c r="BD1599" t="s">
        <v>584</v>
      </c>
    </row>
    <row r="1600" spans="1:56" x14ac:dyDescent="0.3">
      <c r="A1600">
        <v>30156</v>
      </c>
      <c r="B1600">
        <v>1</v>
      </c>
      <c r="C1600">
        <v>90</v>
      </c>
      <c r="D1600">
        <v>0</v>
      </c>
      <c r="E1600">
        <v>0</v>
      </c>
      <c r="F1600">
        <v>8.5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1.5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785.44999999999993</v>
      </c>
      <c r="AE1600">
        <v>0</v>
      </c>
      <c r="AF1600">
        <v>1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1</v>
      </c>
      <c r="AO1600">
        <v>0</v>
      </c>
      <c r="AP1600">
        <v>1</v>
      </c>
      <c r="AQ1600">
        <v>0</v>
      </c>
      <c r="AR1600">
        <v>0</v>
      </c>
      <c r="AS1600">
        <v>0</v>
      </c>
      <c r="AT1600">
        <v>0</v>
      </c>
      <c r="AU1600">
        <v>13.600000000000001</v>
      </c>
      <c r="AV1600">
        <v>0.5</v>
      </c>
      <c r="AW1600">
        <v>785.44999999999993</v>
      </c>
      <c r="AX1600">
        <v>83</v>
      </c>
      <c r="AY1600">
        <v>554</v>
      </c>
      <c r="AZ1600">
        <v>1240</v>
      </c>
      <c r="BC1600" t="s">
        <v>343</v>
      </c>
      <c r="BD1600" t="s">
        <v>585</v>
      </c>
    </row>
    <row r="1601" spans="1:56" x14ac:dyDescent="0.3">
      <c r="A1601">
        <v>30157</v>
      </c>
      <c r="B1601">
        <v>0</v>
      </c>
      <c r="C1601">
        <v>85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9</v>
      </c>
      <c r="M1601">
        <v>0</v>
      </c>
      <c r="N1601">
        <v>0</v>
      </c>
      <c r="O1601">
        <v>0</v>
      </c>
      <c r="P1601">
        <v>6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796.5</v>
      </c>
      <c r="AE1601">
        <v>0</v>
      </c>
      <c r="AF1601">
        <v>1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1</v>
      </c>
      <c r="AO1601">
        <v>0</v>
      </c>
      <c r="AP1601">
        <v>1</v>
      </c>
      <c r="AQ1601">
        <v>0</v>
      </c>
      <c r="AR1601">
        <v>0</v>
      </c>
      <c r="AS1601">
        <v>1</v>
      </c>
      <c r="AT1601">
        <v>0</v>
      </c>
      <c r="AU1601">
        <v>11.64</v>
      </c>
      <c r="AV1601">
        <v>0</v>
      </c>
      <c r="AW1601">
        <v>796.5</v>
      </c>
      <c r="AX1601">
        <v>59</v>
      </c>
      <c r="AY1601">
        <v>519</v>
      </c>
      <c r="AZ1601">
        <v>1098</v>
      </c>
      <c r="BC1601" t="s">
        <v>484</v>
      </c>
      <c r="BD1601" t="s">
        <v>586</v>
      </c>
    </row>
    <row r="1602" spans="1:56" x14ac:dyDescent="0.3">
      <c r="A1602">
        <v>30158</v>
      </c>
      <c r="B1602">
        <v>1</v>
      </c>
      <c r="C1602">
        <v>88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12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768</v>
      </c>
      <c r="AE1602">
        <v>0</v>
      </c>
      <c r="AF1602">
        <v>1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1</v>
      </c>
      <c r="AO1602">
        <v>0</v>
      </c>
      <c r="AP1602">
        <v>1</v>
      </c>
      <c r="AQ1602">
        <v>0</v>
      </c>
      <c r="AR1602">
        <v>0</v>
      </c>
      <c r="AS1602">
        <v>1</v>
      </c>
      <c r="AT1602">
        <v>0</v>
      </c>
      <c r="AU1602">
        <v>12</v>
      </c>
      <c r="AV1602">
        <v>0</v>
      </c>
      <c r="AW1602">
        <v>768</v>
      </c>
      <c r="AX1602">
        <v>78</v>
      </c>
      <c r="AY1602">
        <v>481</v>
      </c>
      <c r="AZ1602">
        <v>974</v>
      </c>
      <c r="BC1602" t="s">
        <v>485</v>
      </c>
      <c r="BD1602" t="s">
        <v>587</v>
      </c>
    </row>
    <row r="1603" spans="1:56" x14ac:dyDescent="0.3">
      <c r="A1603">
        <v>30159</v>
      </c>
      <c r="B1603">
        <v>1</v>
      </c>
      <c r="C1603">
        <v>64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</v>
      </c>
      <c r="K1603">
        <v>24</v>
      </c>
      <c r="L1603">
        <v>0</v>
      </c>
      <c r="M1603">
        <v>8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888</v>
      </c>
      <c r="AE1603">
        <v>0</v>
      </c>
      <c r="AF1603">
        <v>0</v>
      </c>
      <c r="AG1603">
        <v>1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1</v>
      </c>
      <c r="AO1603">
        <v>0</v>
      </c>
      <c r="AP1603">
        <v>1</v>
      </c>
      <c r="AQ1603">
        <v>0</v>
      </c>
      <c r="AR1603">
        <v>1</v>
      </c>
      <c r="AS1603">
        <v>1</v>
      </c>
      <c r="AT1603">
        <v>0</v>
      </c>
      <c r="AU1603">
        <v>6.7200000000000006</v>
      </c>
      <c r="AV1603">
        <v>3.333333333333333</v>
      </c>
      <c r="AW1603">
        <v>888</v>
      </c>
      <c r="AX1603">
        <v>50</v>
      </c>
      <c r="AY1603">
        <v>350</v>
      </c>
      <c r="BC1603" t="s">
        <v>486</v>
      </c>
      <c r="BD1603" t="s">
        <v>588</v>
      </c>
    </row>
    <row r="1604" spans="1:56" x14ac:dyDescent="0.3">
      <c r="A1604">
        <v>30160</v>
      </c>
      <c r="B1604">
        <v>1</v>
      </c>
      <c r="C1604">
        <v>36.4</v>
      </c>
      <c r="D1604">
        <v>0</v>
      </c>
      <c r="E1604">
        <v>20</v>
      </c>
      <c r="F1604">
        <v>0</v>
      </c>
      <c r="G1604">
        <v>0</v>
      </c>
      <c r="H1604">
        <v>0</v>
      </c>
      <c r="I1604">
        <v>0</v>
      </c>
      <c r="J1604">
        <v>43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0.6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423.09999999999997</v>
      </c>
      <c r="AE1604">
        <v>0</v>
      </c>
      <c r="AF1604">
        <v>0</v>
      </c>
      <c r="AG1604">
        <v>1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1</v>
      </c>
      <c r="AO1604">
        <v>0</v>
      </c>
      <c r="AP1604">
        <v>1</v>
      </c>
      <c r="AQ1604">
        <v>0</v>
      </c>
      <c r="AR1604">
        <v>0</v>
      </c>
      <c r="AS1604">
        <v>0</v>
      </c>
      <c r="AT1604">
        <v>0</v>
      </c>
      <c r="AU1604">
        <v>13.4</v>
      </c>
      <c r="AV1604">
        <v>7.2266666666666666</v>
      </c>
      <c r="AW1604">
        <v>423.09999999999997</v>
      </c>
      <c r="AX1604">
        <v>82.18</v>
      </c>
      <c r="AY1604">
        <v>635</v>
      </c>
      <c r="AZ1604">
        <v>635</v>
      </c>
      <c r="BC1604" t="s">
        <v>487</v>
      </c>
      <c r="BD1604" t="s">
        <v>589</v>
      </c>
    </row>
    <row r="1605" spans="1:56" x14ac:dyDescent="0.3">
      <c r="A1605">
        <v>30161</v>
      </c>
      <c r="B1605">
        <v>1</v>
      </c>
      <c r="C1605">
        <v>64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4</v>
      </c>
      <c r="K1605">
        <v>24</v>
      </c>
      <c r="L1605">
        <v>0</v>
      </c>
      <c r="M1605">
        <v>8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888</v>
      </c>
      <c r="AE1605">
        <v>0</v>
      </c>
      <c r="AF1605">
        <v>0</v>
      </c>
      <c r="AG1605">
        <v>1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1</v>
      </c>
      <c r="AO1605">
        <v>0</v>
      </c>
      <c r="AP1605">
        <v>1</v>
      </c>
      <c r="AQ1605">
        <v>0</v>
      </c>
      <c r="AR1605">
        <v>1</v>
      </c>
      <c r="AS1605">
        <v>0</v>
      </c>
      <c r="AT1605">
        <v>0</v>
      </c>
      <c r="AU1605">
        <v>6.7200000000000006</v>
      </c>
      <c r="AV1605">
        <v>3.333333333333333</v>
      </c>
      <c r="AW1605">
        <v>888</v>
      </c>
      <c r="AX1605">
        <v>59.2</v>
      </c>
      <c r="AY1605">
        <v>282</v>
      </c>
      <c r="AZ1605">
        <v>665</v>
      </c>
      <c r="BC1605" t="s">
        <v>488</v>
      </c>
      <c r="BD1605" t="s">
        <v>590</v>
      </c>
    </row>
    <row r="1606" spans="1:56" x14ac:dyDescent="0.3">
      <c r="A1606">
        <v>30162</v>
      </c>
      <c r="B1606">
        <v>1</v>
      </c>
      <c r="C1606">
        <v>63.85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</v>
      </c>
      <c r="K1606">
        <v>24</v>
      </c>
      <c r="L1606">
        <v>0</v>
      </c>
      <c r="M1606">
        <v>8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0.15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906.45</v>
      </c>
      <c r="AE1606">
        <v>0</v>
      </c>
      <c r="AF1606">
        <v>0</v>
      </c>
      <c r="AG1606">
        <v>1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1</v>
      </c>
      <c r="AO1606">
        <v>0</v>
      </c>
      <c r="AP1606">
        <v>1</v>
      </c>
      <c r="AQ1606">
        <v>0</v>
      </c>
      <c r="AR1606">
        <v>1</v>
      </c>
      <c r="AS1606">
        <v>0</v>
      </c>
      <c r="AT1606">
        <v>0</v>
      </c>
      <c r="AU1606">
        <v>6.7200000000000006</v>
      </c>
      <c r="AV1606">
        <v>3.3483333333333332</v>
      </c>
      <c r="AW1606">
        <v>906.45</v>
      </c>
      <c r="AX1606">
        <v>61.6</v>
      </c>
      <c r="AY1606">
        <v>380</v>
      </c>
      <c r="AZ1606">
        <v>797</v>
      </c>
      <c r="BC1606" t="s">
        <v>488</v>
      </c>
      <c r="BD1606" t="s">
        <v>590</v>
      </c>
    </row>
    <row r="1607" spans="1:56" x14ac:dyDescent="0.3">
      <c r="A1607">
        <v>30163</v>
      </c>
      <c r="B1607">
        <v>1</v>
      </c>
      <c r="C1607">
        <v>63.8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</v>
      </c>
      <c r="K1607">
        <v>24</v>
      </c>
      <c r="L1607">
        <v>0</v>
      </c>
      <c r="M1607">
        <v>8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0.2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912.6</v>
      </c>
      <c r="AE1607">
        <v>0</v>
      </c>
      <c r="AF1607">
        <v>0</v>
      </c>
      <c r="AG1607">
        <v>1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1</v>
      </c>
      <c r="AO1607">
        <v>0</v>
      </c>
      <c r="AP1607">
        <v>1</v>
      </c>
      <c r="AQ1607">
        <v>0</v>
      </c>
      <c r="AR1607">
        <v>1</v>
      </c>
      <c r="AS1607">
        <v>0</v>
      </c>
      <c r="AT1607">
        <v>0</v>
      </c>
      <c r="AU1607">
        <v>6.7200000000000006</v>
      </c>
      <c r="AV1607">
        <v>3.3533333333333331</v>
      </c>
      <c r="AW1607">
        <v>912.6</v>
      </c>
      <c r="AX1607">
        <v>47.8</v>
      </c>
      <c r="AY1607">
        <v>515</v>
      </c>
      <c r="AZ1607">
        <v>852</v>
      </c>
      <c r="BC1607" t="s">
        <v>488</v>
      </c>
      <c r="BD1607" t="s">
        <v>590</v>
      </c>
    </row>
    <row r="1608" spans="1:56" x14ac:dyDescent="0.3">
      <c r="A1608">
        <v>30164</v>
      </c>
      <c r="B1608">
        <v>1</v>
      </c>
      <c r="C1608">
        <v>63.6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4</v>
      </c>
      <c r="K1608">
        <v>24</v>
      </c>
      <c r="L1608">
        <v>0</v>
      </c>
      <c r="M1608">
        <v>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0.4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937.2</v>
      </c>
      <c r="AE1608">
        <v>0</v>
      </c>
      <c r="AF1608">
        <v>0</v>
      </c>
      <c r="AG1608">
        <v>1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1</v>
      </c>
      <c r="AO1608">
        <v>0</v>
      </c>
      <c r="AP1608">
        <v>1</v>
      </c>
      <c r="AQ1608">
        <v>0</v>
      </c>
      <c r="AR1608">
        <v>1</v>
      </c>
      <c r="AS1608">
        <v>0</v>
      </c>
      <c r="AT1608">
        <v>0</v>
      </c>
      <c r="AU1608">
        <v>6.7200000000000006</v>
      </c>
      <c r="AV1608">
        <v>3.3733333333333331</v>
      </c>
      <c r="AW1608">
        <v>937.2</v>
      </c>
      <c r="AX1608">
        <v>53.2</v>
      </c>
      <c r="AY1608">
        <v>649</v>
      </c>
      <c r="AZ1608">
        <v>778</v>
      </c>
      <c r="BC1608" t="s">
        <v>488</v>
      </c>
      <c r="BD1608" t="s">
        <v>590</v>
      </c>
    </row>
    <row r="1609" spans="1:56" x14ac:dyDescent="0.3">
      <c r="A1609">
        <v>30165</v>
      </c>
      <c r="B1609">
        <v>1</v>
      </c>
      <c r="C1609">
        <v>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25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882</v>
      </c>
      <c r="AE1609">
        <v>0</v>
      </c>
      <c r="AF1609">
        <v>1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1</v>
      </c>
      <c r="AO1609">
        <v>0</v>
      </c>
      <c r="AP1609">
        <v>0</v>
      </c>
      <c r="AQ1609">
        <v>0</v>
      </c>
      <c r="AR1609">
        <v>1</v>
      </c>
      <c r="AS1609">
        <v>0</v>
      </c>
      <c r="AT1609">
        <v>0</v>
      </c>
      <c r="AU1609">
        <v>7.0000000000000009</v>
      </c>
      <c r="AV1609">
        <v>0</v>
      </c>
      <c r="AW1609">
        <v>882</v>
      </c>
      <c r="AX1609">
        <v>64</v>
      </c>
      <c r="AY1609">
        <v>456</v>
      </c>
      <c r="AZ1609">
        <v>688</v>
      </c>
      <c r="BB1609">
        <v>181</v>
      </c>
      <c r="BC1609" t="s">
        <v>489</v>
      </c>
      <c r="BD1609" t="s">
        <v>591</v>
      </c>
    </row>
    <row r="1610" spans="1:56" x14ac:dyDescent="0.3">
      <c r="A1610">
        <v>30166</v>
      </c>
      <c r="B1610">
        <v>1</v>
      </c>
      <c r="C1610">
        <v>72.5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25</v>
      </c>
      <c r="L1610">
        <v>0</v>
      </c>
      <c r="M1610">
        <v>0</v>
      </c>
      <c r="N1610">
        <v>0</v>
      </c>
      <c r="O1610">
        <v>2.5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882</v>
      </c>
      <c r="AE1610">
        <v>0</v>
      </c>
      <c r="AF1610">
        <v>1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1</v>
      </c>
      <c r="AO1610">
        <v>0</v>
      </c>
      <c r="AP1610">
        <v>0</v>
      </c>
      <c r="AQ1610">
        <v>0</v>
      </c>
      <c r="AR1610">
        <v>1</v>
      </c>
      <c r="AS1610">
        <v>0</v>
      </c>
      <c r="AT1610">
        <v>0</v>
      </c>
      <c r="AU1610">
        <v>7.5500000000000007</v>
      </c>
      <c r="AV1610">
        <v>0</v>
      </c>
      <c r="AW1610">
        <v>882</v>
      </c>
      <c r="AX1610">
        <v>71</v>
      </c>
      <c r="AY1610">
        <v>374</v>
      </c>
      <c r="AZ1610">
        <v>642</v>
      </c>
      <c r="BB1610">
        <v>159</v>
      </c>
      <c r="BC1610" t="s">
        <v>489</v>
      </c>
      <c r="BD1610" t="s">
        <v>591</v>
      </c>
    </row>
    <row r="1611" spans="1:56" x14ac:dyDescent="0.3">
      <c r="A1611">
        <v>30167</v>
      </c>
      <c r="B1611">
        <v>1</v>
      </c>
      <c r="C1611">
        <v>70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25</v>
      </c>
      <c r="L1611">
        <v>0</v>
      </c>
      <c r="M1611">
        <v>0</v>
      </c>
      <c r="N1611">
        <v>0</v>
      </c>
      <c r="O1611">
        <v>5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882</v>
      </c>
      <c r="AE1611">
        <v>0</v>
      </c>
      <c r="AF1611">
        <v>1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1</v>
      </c>
      <c r="AO1611">
        <v>0</v>
      </c>
      <c r="AP1611">
        <v>0</v>
      </c>
      <c r="AQ1611">
        <v>0</v>
      </c>
      <c r="AR1611">
        <v>1</v>
      </c>
      <c r="AS1611">
        <v>0</v>
      </c>
      <c r="AT1611">
        <v>0</v>
      </c>
      <c r="AU1611">
        <v>8.1000000000000014</v>
      </c>
      <c r="AV1611">
        <v>0</v>
      </c>
      <c r="AW1611">
        <v>882</v>
      </c>
      <c r="AX1611">
        <v>78</v>
      </c>
      <c r="AY1611">
        <v>433</v>
      </c>
      <c r="AZ1611">
        <v>543</v>
      </c>
      <c r="BB1611">
        <v>165</v>
      </c>
      <c r="BC1611" t="s">
        <v>489</v>
      </c>
      <c r="BD1611" t="s">
        <v>591</v>
      </c>
    </row>
    <row r="1612" spans="1:56" x14ac:dyDescent="0.3">
      <c r="A1612">
        <v>30168</v>
      </c>
      <c r="B1612">
        <v>1</v>
      </c>
      <c r="C1612">
        <v>67.5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25</v>
      </c>
      <c r="L1612">
        <v>0</v>
      </c>
      <c r="M1612">
        <v>0</v>
      </c>
      <c r="N1612">
        <v>0</v>
      </c>
      <c r="O1612">
        <v>7.5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882</v>
      </c>
      <c r="AE1612">
        <v>0</v>
      </c>
      <c r="AF1612">
        <v>1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1</v>
      </c>
      <c r="AO1612">
        <v>0</v>
      </c>
      <c r="AP1612">
        <v>0</v>
      </c>
      <c r="AQ1612">
        <v>0</v>
      </c>
      <c r="AR1612">
        <v>1</v>
      </c>
      <c r="AS1612">
        <v>0</v>
      </c>
      <c r="AT1612">
        <v>0</v>
      </c>
      <c r="AU1612">
        <v>8.65</v>
      </c>
      <c r="AV1612">
        <v>0</v>
      </c>
      <c r="AW1612">
        <v>882</v>
      </c>
      <c r="AX1612">
        <v>78</v>
      </c>
      <c r="AY1612">
        <v>376</v>
      </c>
      <c r="AZ1612">
        <v>590</v>
      </c>
      <c r="BB1612">
        <v>172</v>
      </c>
      <c r="BC1612" t="s">
        <v>489</v>
      </c>
      <c r="BD1612" t="s">
        <v>591</v>
      </c>
    </row>
    <row r="1613" spans="1:56" x14ac:dyDescent="0.3">
      <c r="A1613">
        <v>30169</v>
      </c>
      <c r="B1613">
        <v>1</v>
      </c>
      <c r="C1613">
        <v>70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30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882</v>
      </c>
      <c r="AE1613">
        <v>0</v>
      </c>
      <c r="AF1613">
        <v>1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1</v>
      </c>
      <c r="AO1613">
        <v>0</v>
      </c>
      <c r="AP1613">
        <v>0</v>
      </c>
      <c r="AQ1613">
        <v>0</v>
      </c>
      <c r="AR1613">
        <v>1</v>
      </c>
      <c r="AS1613">
        <v>0</v>
      </c>
      <c r="AT1613">
        <v>0</v>
      </c>
      <c r="AU1613">
        <v>8.4</v>
      </c>
      <c r="AV1613">
        <v>0</v>
      </c>
      <c r="AW1613">
        <v>882</v>
      </c>
      <c r="AX1613">
        <v>79</v>
      </c>
      <c r="AY1613">
        <v>327</v>
      </c>
      <c r="AZ1613">
        <v>532</v>
      </c>
      <c r="BB1613">
        <v>193</v>
      </c>
      <c r="BC1613" t="s">
        <v>489</v>
      </c>
      <c r="BD1613" t="s">
        <v>591</v>
      </c>
    </row>
    <row r="1614" spans="1:56" x14ac:dyDescent="0.3">
      <c r="A1614">
        <v>30170</v>
      </c>
      <c r="B1614">
        <v>1</v>
      </c>
      <c r="C1614">
        <v>67.5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30</v>
      </c>
      <c r="L1614">
        <v>0</v>
      </c>
      <c r="M1614">
        <v>0</v>
      </c>
      <c r="N1614">
        <v>0</v>
      </c>
      <c r="O1614">
        <v>2.5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882</v>
      </c>
      <c r="AE1614">
        <v>0</v>
      </c>
      <c r="AF1614">
        <v>1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1</v>
      </c>
      <c r="AO1614">
        <v>0</v>
      </c>
      <c r="AP1614">
        <v>0</v>
      </c>
      <c r="AQ1614">
        <v>0</v>
      </c>
      <c r="AR1614">
        <v>1</v>
      </c>
      <c r="AS1614">
        <v>0</v>
      </c>
      <c r="AT1614">
        <v>0</v>
      </c>
      <c r="AU1614">
        <v>8.9500000000000011</v>
      </c>
      <c r="AV1614">
        <v>0</v>
      </c>
      <c r="AW1614">
        <v>882</v>
      </c>
      <c r="AX1614">
        <v>81</v>
      </c>
      <c r="AY1614">
        <v>411</v>
      </c>
      <c r="AZ1614">
        <v>584</v>
      </c>
      <c r="BB1614">
        <v>180</v>
      </c>
      <c r="BC1614" t="s">
        <v>489</v>
      </c>
      <c r="BD1614" t="s">
        <v>591</v>
      </c>
    </row>
    <row r="1615" spans="1:56" x14ac:dyDescent="0.3">
      <c r="A1615">
        <v>30171</v>
      </c>
      <c r="B1615">
        <v>1</v>
      </c>
      <c r="C1615">
        <v>65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30</v>
      </c>
      <c r="L1615">
        <v>0</v>
      </c>
      <c r="M1615">
        <v>0</v>
      </c>
      <c r="N1615">
        <v>0</v>
      </c>
      <c r="O1615">
        <v>5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882</v>
      </c>
      <c r="AE1615">
        <v>0</v>
      </c>
      <c r="AF1615">
        <v>1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1</v>
      </c>
      <c r="AO1615">
        <v>0</v>
      </c>
      <c r="AP1615">
        <v>0</v>
      </c>
      <c r="AQ1615">
        <v>0</v>
      </c>
      <c r="AR1615">
        <v>1</v>
      </c>
      <c r="AS1615">
        <v>0</v>
      </c>
      <c r="AT1615">
        <v>0</v>
      </c>
      <c r="AU1615">
        <v>9.5</v>
      </c>
      <c r="AV1615">
        <v>0</v>
      </c>
      <c r="AW1615">
        <v>882</v>
      </c>
      <c r="AX1615">
        <v>80</v>
      </c>
      <c r="AY1615">
        <v>377</v>
      </c>
      <c r="AZ1615">
        <v>595</v>
      </c>
      <c r="BB1615">
        <v>197</v>
      </c>
      <c r="BC1615" t="s">
        <v>489</v>
      </c>
      <c r="BD1615" t="s">
        <v>591</v>
      </c>
    </row>
    <row r="1616" spans="1:56" x14ac:dyDescent="0.3">
      <c r="A1616">
        <v>30172</v>
      </c>
      <c r="B1616">
        <v>1</v>
      </c>
      <c r="C1616">
        <v>62.5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30</v>
      </c>
      <c r="L1616">
        <v>0</v>
      </c>
      <c r="M1616">
        <v>0</v>
      </c>
      <c r="N1616">
        <v>0</v>
      </c>
      <c r="O1616">
        <v>7.5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882</v>
      </c>
      <c r="AE1616">
        <v>0</v>
      </c>
      <c r="AF1616">
        <v>1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1</v>
      </c>
      <c r="AO1616">
        <v>0</v>
      </c>
      <c r="AP1616">
        <v>0</v>
      </c>
      <c r="AQ1616">
        <v>0</v>
      </c>
      <c r="AR1616">
        <v>1</v>
      </c>
      <c r="AS1616">
        <v>0</v>
      </c>
      <c r="AT1616">
        <v>0</v>
      </c>
      <c r="AU1616">
        <v>10.050000000000001</v>
      </c>
      <c r="AV1616">
        <v>0</v>
      </c>
      <c r="AW1616">
        <v>882</v>
      </c>
      <c r="AX1616">
        <v>81</v>
      </c>
      <c r="AY1616">
        <v>395</v>
      </c>
      <c r="AZ1616">
        <v>584</v>
      </c>
      <c r="BB1616">
        <v>215</v>
      </c>
      <c r="BC1616" t="s">
        <v>489</v>
      </c>
      <c r="BD1616" t="s">
        <v>591</v>
      </c>
    </row>
    <row r="1617" spans="1:56" x14ac:dyDescent="0.3">
      <c r="A1617">
        <v>30173</v>
      </c>
      <c r="B1617">
        <v>1</v>
      </c>
      <c r="C1617">
        <v>65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35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882</v>
      </c>
      <c r="AE1617">
        <v>0</v>
      </c>
      <c r="AF1617">
        <v>1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1</v>
      </c>
      <c r="AO1617">
        <v>0</v>
      </c>
      <c r="AP1617">
        <v>1</v>
      </c>
      <c r="AQ1617">
        <v>0</v>
      </c>
      <c r="AR1617">
        <v>1</v>
      </c>
      <c r="AS1617">
        <v>0</v>
      </c>
      <c r="AT1617">
        <v>0</v>
      </c>
      <c r="AU1617">
        <v>9.8000000000000007</v>
      </c>
      <c r="AV1617">
        <v>0</v>
      </c>
      <c r="AW1617">
        <v>882</v>
      </c>
      <c r="AX1617">
        <v>85</v>
      </c>
      <c r="AY1617">
        <v>338</v>
      </c>
      <c r="AZ1617">
        <v>556</v>
      </c>
      <c r="BB1617">
        <v>199</v>
      </c>
      <c r="BC1617" t="s">
        <v>489</v>
      </c>
      <c r="BD1617" t="s">
        <v>591</v>
      </c>
    </row>
    <row r="1618" spans="1:56" x14ac:dyDescent="0.3">
      <c r="A1618">
        <v>30174</v>
      </c>
      <c r="B1618">
        <v>1</v>
      </c>
      <c r="C1618">
        <v>62.5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35</v>
      </c>
      <c r="L1618">
        <v>0</v>
      </c>
      <c r="M1618">
        <v>0</v>
      </c>
      <c r="N1618">
        <v>0</v>
      </c>
      <c r="O1618">
        <v>2.5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882</v>
      </c>
      <c r="AE1618">
        <v>0</v>
      </c>
      <c r="AF1618">
        <v>1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1</v>
      </c>
      <c r="AO1618">
        <v>0</v>
      </c>
      <c r="AP1618">
        <v>1</v>
      </c>
      <c r="AQ1618">
        <v>0</v>
      </c>
      <c r="AR1618">
        <v>1</v>
      </c>
      <c r="AS1618">
        <v>0</v>
      </c>
      <c r="AT1618">
        <v>0</v>
      </c>
      <c r="AU1618">
        <v>10.350000000000001</v>
      </c>
      <c r="AV1618">
        <v>0</v>
      </c>
      <c r="AW1618">
        <v>882</v>
      </c>
      <c r="AX1618">
        <v>85</v>
      </c>
      <c r="AY1618">
        <v>303</v>
      </c>
      <c r="AZ1618">
        <v>580</v>
      </c>
      <c r="BB1618">
        <v>202</v>
      </c>
      <c r="BC1618" t="s">
        <v>489</v>
      </c>
      <c r="BD1618" t="s">
        <v>591</v>
      </c>
    </row>
    <row r="1619" spans="1:56" x14ac:dyDescent="0.3">
      <c r="A1619">
        <v>30175</v>
      </c>
      <c r="B1619">
        <v>1</v>
      </c>
      <c r="C1619">
        <v>60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35</v>
      </c>
      <c r="L1619">
        <v>0</v>
      </c>
      <c r="M1619">
        <v>0</v>
      </c>
      <c r="N1619">
        <v>0</v>
      </c>
      <c r="O1619">
        <v>5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882</v>
      </c>
      <c r="AE1619">
        <v>0</v>
      </c>
      <c r="AF1619">
        <v>1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1</v>
      </c>
      <c r="AO1619">
        <v>0</v>
      </c>
      <c r="AP1619">
        <v>1</v>
      </c>
      <c r="AQ1619">
        <v>0</v>
      </c>
      <c r="AR1619">
        <v>1</v>
      </c>
      <c r="AS1619">
        <v>0</v>
      </c>
      <c r="AT1619">
        <v>0</v>
      </c>
      <c r="AU1619">
        <v>10.9</v>
      </c>
      <c r="AV1619">
        <v>0</v>
      </c>
      <c r="AW1619">
        <v>882</v>
      </c>
      <c r="AX1619">
        <v>84</v>
      </c>
      <c r="AY1619">
        <v>340</v>
      </c>
      <c r="AZ1619">
        <v>602</v>
      </c>
      <c r="BB1619">
        <v>206</v>
      </c>
      <c r="BC1619" t="s">
        <v>489</v>
      </c>
      <c r="BD1619" t="s">
        <v>591</v>
      </c>
    </row>
    <row r="1620" spans="1:56" x14ac:dyDescent="0.3">
      <c r="A1620">
        <v>30176</v>
      </c>
      <c r="B1620">
        <v>1</v>
      </c>
      <c r="C1620">
        <v>57.5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35</v>
      </c>
      <c r="L1620">
        <v>0</v>
      </c>
      <c r="M1620">
        <v>0</v>
      </c>
      <c r="N1620">
        <v>0</v>
      </c>
      <c r="O1620">
        <v>7.5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882</v>
      </c>
      <c r="AE1620">
        <v>0</v>
      </c>
      <c r="AF1620">
        <v>1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1</v>
      </c>
      <c r="AO1620">
        <v>0</v>
      </c>
      <c r="AP1620">
        <v>1</v>
      </c>
      <c r="AQ1620">
        <v>0</v>
      </c>
      <c r="AR1620">
        <v>0</v>
      </c>
      <c r="AS1620">
        <v>0</v>
      </c>
      <c r="AT1620">
        <v>0</v>
      </c>
      <c r="AU1620">
        <v>11.450000000000001</v>
      </c>
      <c r="AV1620">
        <v>0</v>
      </c>
      <c r="AW1620">
        <v>882</v>
      </c>
      <c r="AX1620">
        <v>90</v>
      </c>
      <c r="AY1620">
        <v>314</v>
      </c>
      <c r="AZ1620">
        <v>585</v>
      </c>
      <c r="BB1620">
        <v>231</v>
      </c>
      <c r="BC1620" t="s">
        <v>489</v>
      </c>
      <c r="BD1620" t="s">
        <v>591</v>
      </c>
    </row>
    <row r="1621" spans="1:56" x14ac:dyDescent="0.3">
      <c r="A1621">
        <v>30177</v>
      </c>
      <c r="B1621">
        <v>1</v>
      </c>
      <c r="C1621">
        <v>36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38</v>
      </c>
      <c r="K1621">
        <v>24</v>
      </c>
      <c r="L1621">
        <v>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600.79999999999995</v>
      </c>
      <c r="AE1621">
        <v>0</v>
      </c>
      <c r="AF1621">
        <v>1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1</v>
      </c>
      <c r="AO1621">
        <v>0</v>
      </c>
      <c r="AP1621">
        <v>1</v>
      </c>
      <c r="AQ1621">
        <v>0</v>
      </c>
      <c r="AR1621">
        <v>0</v>
      </c>
      <c r="AS1621">
        <v>0</v>
      </c>
      <c r="AT1621">
        <v>0</v>
      </c>
      <c r="AU1621">
        <v>8.7200000000000006</v>
      </c>
      <c r="AV1621">
        <v>6.333333333333333</v>
      </c>
      <c r="AW1621">
        <v>600.79999999999995</v>
      </c>
      <c r="AX1621">
        <v>64.2</v>
      </c>
      <c r="AY1621">
        <v>714</v>
      </c>
      <c r="AZ1621">
        <v>772</v>
      </c>
      <c r="BB1621">
        <v>251</v>
      </c>
      <c r="BC1621" t="s">
        <v>490</v>
      </c>
      <c r="BD1621" t="s">
        <v>592</v>
      </c>
    </row>
    <row r="1622" spans="1:56" x14ac:dyDescent="0.3">
      <c r="A1622">
        <v>30178</v>
      </c>
      <c r="B1622">
        <v>0</v>
      </c>
      <c r="C1622">
        <v>35.9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38</v>
      </c>
      <c r="K1622">
        <v>24</v>
      </c>
      <c r="L1622">
        <v>2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0.1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600.79999999999995</v>
      </c>
      <c r="AE1622">
        <v>0</v>
      </c>
      <c r="AF1622">
        <v>1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1</v>
      </c>
      <c r="AO1622">
        <v>0</v>
      </c>
      <c r="AP1622">
        <v>1</v>
      </c>
      <c r="AQ1622">
        <v>0</v>
      </c>
      <c r="AR1622">
        <v>0</v>
      </c>
      <c r="AS1622">
        <v>0</v>
      </c>
      <c r="AT1622">
        <v>0</v>
      </c>
      <c r="AU1622">
        <v>8.7200000000000006</v>
      </c>
      <c r="AV1622">
        <v>6.333333333333333</v>
      </c>
      <c r="AW1622">
        <v>600.79999999999995</v>
      </c>
      <c r="AX1622">
        <v>65.400000000000006</v>
      </c>
      <c r="AY1622">
        <v>780</v>
      </c>
      <c r="AZ1622">
        <v>809</v>
      </c>
      <c r="BB1622">
        <v>265</v>
      </c>
      <c r="BC1622" t="s">
        <v>490</v>
      </c>
      <c r="BD1622" t="s">
        <v>592</v>
      </c>
    </row>
    <row r="1623" spans="1:56" x14ac:dyDescent="0.3">
      <c r="A1623">
        <v>30179</v>
      </c>
      <c r="B1623">
        <v>1</v>
      </c>
      <c r="C1623">
        <v>65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30</v>
      </c>
      <c r="L1623">
        <v>1</v>
      </c>
      <c r="M1623">
        <v>4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889.3</v>
      </c>
      <c r="AE1623">
        <v>0</v>
      </c>
      <c r="AF1623">
        <v>1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1</v>
      </c>
      <c r="AO1623">
        <v>0</v>
      </c>
      <c r="AP1623">
        <v>1</v>
      </c>
      <c r="AQ1623">
        <v>0</v>
      </c>
      <c r="AR1623">
        <v>1</v>
      </c>
      <c r="AS1623">
        <v>0</v>
      </c>
      <c r="AT1623">
        <v>0</v>
      </c>
      <c r="AU1623">
        <v>9.4</v>
      </c>
      <c r="AV1623">
        <v>1.3333333333333333</v>
      </c>
      <c r="AW1623">
        <v>889.3</v>
      </c>
      <c r="AX1623">
        <v>45</v>
      </c>
      <c r="AY1623">
        <v>220</v>
      </c>
      <c r="BC1623" t="s">
        <v>491</v>
      </c>
      <c r="BD1623" t="s">
        <v>593</v>
      </c>
    </row>
    <row r="1624" spans="1:56" x14ac:dyDescent="0.3">
      <c r="A1624">
        <v>30180</v>
      </c>
      <c r="B1624">
        <v>0</v>
      </c>
      <c r="C1624">
        <v>52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7</v>
      </c>
      <c r="K1624">
        <v>35</v>
      </c>
      <c r="L1624">
        <v>0</v>
      </c>
      <c r="M1624">
        <v>0</v>
      </c>
      <c r="N1624">
        <v>0</v>
      </c>
      <c r="O1624">
        <v>5</v>
      </c>
      <c r="P1624">
        <v>0</v>
      </c>
      <c r="Q1624">
        <v>1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857</v>
      </c>
      <c r="AE1624">
        <v>0</v>
      </c>
      <c r="AF1624">
        <v>1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1</v>
      </c>
      <c r="AO1624">
        <v>0</v>
      </c>
      <c r="AP1624">
        <v>1</v>
      </c>
      <c r="AQ1624">
        <v>0</v>
      </c>
      <c r="AR1624">
        <v>0</v>
      </c>
      <c r="AS1624">
        <v>0</v>
      </c>
      <c r="AT1624">
        <v>1</v>
      </c>
      <c r="AU1624">
        <v>10.9</v>
      </c>
      <c r="AV1624">
        <v>1.1666666666666667</v>
      </c>
      <c r="AW1624">
        <v>857</v>
      </c>
      <c r="AX1624">
        <v>70</v>
      </c>
      <c r="AY1624">
        <v>561</v>
      </c>
      <c r="AZ1624">
        <v>618</v>
      </c>
      <c r="BC1624" t="s">
        <v>492</v>
      </c>
      <c r="BD1624" t="s">
        <v>594</v>
      </c>
    </row>
    <row r="1625" spans="1:56" x14ac:dyDescent="0.3">
      <c r="A1625">
        <v>30181</v>
      </c>
      <c r="B1625">
        <v>1</v>
      </c>
      <c r="C1625">
        <v>51</v>
      </c>
      <c r="D1625">
        <v>0</v>
      </c>
      <c r="E1625">
        <v>0</v>
      </c>
      <c r="F1625">
        <v>0</v>
      </c>
      <c r="G1625">
        <v>0</v>
      </c>
      <c r="H1625">
        <v>2</v>
      </c>
      <c r="I1625">
        <v>0</v>
      </c>
      <c r="J1625">
        <v>7</v>
      </c>
      <c r="K1625">
        <v>35</v>
      </c>
      <c r="L1625">
        <v>0</v>
      </c>
      <c r="M1625">
        <v>0</v>
      </c>
      <c r="N1625">
        <v>0</v>
      </c>
      <c r="O1625">
        <v>5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802.90000000000009</v>
      </c>
      <c r="AE1625">
        <v>0</v>
      </c>
      <c r="AF1625">
        <v>1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1</v>
      </c>
      <c r="AO1625">
        <v>0</v>
      </c>
      <c r="AP1625">
        <v>1</v>
      </c>
      <c r="AQ1625">
        <v>0</v>
      </c>
      <c r="AR1625">
        <v>0</v>
      </c>
      <c r="AS1625">
        <v>0</v>
      </c>
      <c r="AT1625">
        <v>0</v>
      </c>
      <c r="AU1625">
        <v>16.7</v>
      </c>
      <c r="AV1625">
        <v>1.1666666666666667</v>
      </c>
      <c r="AW1625">
        <v>802.90000000000009</v>
      </c>
      <c r="AX1625">
        <v>81</v>
      </c>
      <c r="AY1625">
        <v>588</v>
      </c>
      <c r="AZ1625">
        <v>721</v>
      </c>
      <c r="BC1625" t="s">
        <v>492</v>
      </c>
      <c r="BD1625" t="s">
        <v>594</v>
      </c>
    </row>
    <row r="1626" spans="1:56" x14ac:dyDescent="0.3">
      <c r="A1626">
        <v>30182</v>
      </c>
      <c r="B1626">
        <v>0</v>
      </c>
      <c r="C1626">
        <v>51.5</v>
      </c>
      <c r="D1626">
        <v>0</v>
      </c>
      <c r="E1626">
        <v>0</v>
      </c>
      <c r="F1626">
        <v>0</v>
      </c>
      <c r="G1626">
        <v>0</v>
      </c>
      <c r="H1626">
        <v>1</v>
      </c>
      <c r="I1626">
        <v>0</v>
      </c>
      <c r="J1626">
        <v>7</v>
      </c>
      <c r="K1626">
        <v>35</v>
      </c>
      <c r="L1626">
        <v>0</v>
      </c>
      <c r="M1626">
        <v>0</v>
      </c>
      <c r="N1626">
        <v>0</v>
      </c>
      <c r="O1626">
        <v>5</v>
      </c>
      <c r="P1626">
        <v>0</v>
      </c>
      <c r="Q1626">
        <v>0.5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829.95</v>
      </c>
      <c r="AE1626">
        <v>0</v>
      </c>
      <c r="AF1626">
        <v>1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1</v>
      </c>
      <c r="AO1626">
        <v>0</v>
      </c>
      <c r="AP1626">
        <v>1</v>
      </c>
      <c r="AQ1626">
        <v>0</v>
      </c>
      <c r="AR1626">
        <v>0</v>
      </c>
      <c r="AS1626">
        <v>0</v>
      </c>
      <c r="AT1626">
        <v>1</v>
      </c>
      <c r="AU1626">
        <v>13.8</v>
      </c>
      <c r="AV1626">
        <v>1.1666666666666667</v>
      </c>
      <c r="AW1626">
        <v>829.95</v>
      </c>
      <c r="AX1626">
        <v>75</v>
      </c>
      <c r="AY1626">
        <v>632</v>
      </c>
      <c r="AZ1626">
        <v>683</v>
      </c>
      <c r="BC1626" t="s">
        <v>492</v>
      </c>
      <c r="BD1626" t="s">
        <v>594</v>
      </c>
    </row>
    <row r="1627" spans="1:56" x14ac:dyDescent="0.3">
      <c r="A1627">
        <v>30183</v>
      </c>
      <c r="B1627">
        <v>0</v>
      </c>
      <c r="C1627">
        <v>50.5</v>
      </c>
      <c r="D1627">
        <v>0</v>
      </c>
      <c r="E1627">
        <v>0</v>
      </c>
      <c r="F1627">
        <v>0</v>
      </c>
      <c r="G1627">
        <v>0</v>
      </c>
      <c r="H1627">
        <v>2</v>
      </c>
      <c r="I1627">
        <v>0</v>
      </c>
      <c r="J1627">
        <v>7</v>
      </c>
      <c r="K1627">
        <v>35</v>
      </c>
      <c r="L1627">
        <v>0</v>
      </c>
      <c r="M1627">
        <v>0</v>
      </c>
      <c r="N1627">
        <v>0</v>
      </c>
      <c r="O1627">
        <v>5</v>
      </c>
      <c r="P1627">
        <v>0</v>
      </c>
      <c r="Q1627">
        <v>0.5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814.55000000000007</v>
      </c>
      <c r="AE1627">
        <v>0</v>
      </c>
      <c r="AF1627">
        <v>1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1</v>
      </c>
      <c r="AO1627">
        <v>0</v>
      </c>
      <c r="AP1627">
        <v>1</v>
      </c>
      <c r="AQ1627">
        <v>0</v>
      </c>
      <c r="AR1627">
        <v>0</v>
      </c>
      <c r="AS1627">
        <v>0</v>
      </c>
      <c r="AT1627">
        <v>1</v>
      </c>
      <c r="AU1627">
        <v>16.7</v>
      </c>
      <c r="AV1627">
        <v>1.1666666666666667</v>
      </c>
      <c r="AW1627">
        <v>814.55000000000007</v>
      </c>
      <c r="AX1627">
        <v>85</v>
      </c>
      <c r="AY1627">
        <v>720</v>
      </c>
      <c r="AZ1627">
        <v>841</v>
      </c>
      <c r="BC1627" t="s">
        <v>492</v>
      </c>
      <c r="BD1627" t="s">
        <v>594</v>
      </c>
    </row>
    <row r="1628" spans="1:56" x14ac:dyDescent="0.3">
      <c r="A1628">
        <v>30184</v>
      </c>
      <c r="B1628">
        <v>0</v>
      </c>
      <c r="C1628">
        <v>51</v>
      </c>
      <c r="D1628">
        <v>0</v>
      </c>
      <c r="E1628">
        <v>0</v>
      </c>
      <c r="F1628">
        <v>0</v>
      </c>
      <c r="G1628">
        <v>0</v>
      </c>
      <c r="H1628">
        <v>1</v>
      </c>
      <c r="I1628">
        <v>0</v>
      </c>
      <c r="J1628">
        <v>7</v>
      </c>
      <c r="K1628">
        <v>35</v>
      </c>
      <c r="L1628">
        <v>0</v>
      </c>
      <c r="M1628">
        <v>0</v>
      </c>
      <c r="N1628">
        <v>0</v>
      </c>
      <c r="O1628">
        <v>5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841.6</v>
      </c>
      <c r="AE1628">
        <v>0</v>
      </c>
      <c r="AF1628">
        <v>1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1</v>
      </c>
      <c r="AO1628">
        <v>0</v>
      </c>
      <c r="AP1628">
        <v>1</v>
      </c>
      <c r="AQ1628">
        <v>0</v>
      </c>
      <c r="AR1628">
        <v>0</v>
      </c>
      <c r="AS1628">
        <v>0</v>
      </c>
      <c r="AT1628">
        <v>1</v>
      </c>
      <c r="AU1628">
        <v>13.8</v>
      </c>
      <c r="AV1628">
        <v>1.1666666666666667</v>
      </c>
      <c r="AW1628">
        <v>841.6</v>
      </c>
      <c r="AX1628">
        <v>79</v>
      </c>
      <c r="AY1628">
        <v>613</v>
      </c>
      <c r="AZ1628">
        <v>652</v>
      </c>
      <c r="BC1628" t="s">
        <v>492</v>
      </c>
      <c r="BD1628" t="s">
        <v>594</v>
      </c>
    </row>
    <row r="1629" spans="1:56" x14ac:dyDescent="0.3">
      <c r="A1629">
        <v>30185</v>
      </c>
      <c r="B1629">
        <v>1</v>
      </c>
      <c r="C1629">
        <v>65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35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882</v>
      </c>
      <c r="AE1629">
        <v>0</v>
      </c>
      <c r="AF1629">
        <v>1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1</v>
      </c>
      <c r="AO1629">
        <v>0</v>
      </c>
      <c r="AP1629">
        <v>1</v>
      </c>
      <c r="AQ1629">
        <v>0</v>
      </c>
      <c r="AR1629">
        <v>1</v>
      </c>
      <c r="AS1629">
        <v>1</v>
      </c>
      <c r="AT1629">
        <v>0</v>
      </c>
      <c r="AU1629">
        <v>9.8000000000000007</v>
      </c>
      <c r="AV1629">
        <v>0</v>
      </c>
      <c r="AW1629">
        <v>882</v>
      </c>
      <c r="AX1629">
        <v>72</v>
      </c>
      <c r="AY1629">
        <v>382</v>
      </c>
      <c r="AZ1629">
        <v>560</v>
      </c>
      <c r="BB1629">
        <v>172</v>
      </c>
      <c r="BC1629" t="s">
        <v>493</v>
      </c>
      <c r="BD1629" t="s">
        <v>595</v>
      </c>
    </row>
    <row r="1630" spans="1:56" x14ac:dyDescent="0.3">
      <c r="A1630">
        <v>30186</v>
      </c>
      <c r="B1630">
        <v>0</v>
      </c>
      <c r="C1630">
        <v>64.849999999999994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35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0.15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885.495</v>
      </c>
      <c r="AE1630">
        <v>0</v>
      </c>
      <c r="AF1630">
        <v>1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1</v>
      </c>
      <c r="AO1630">
        <v>0</v>
      </c>
      <c r="AP1630">
        <v>1</v>
      </c>
      <c r="AQ1630">
        <v>0</v>
      </c>
      <c r="AR1630">
        <v>1</v>
      </c>
      <c r="AS1630">
        <v>1</v>
      </c>
      <c r="AT1630">
        <v>0</v>
      </c>
      <c r="AU1630">
        <v>9.8000000000000007</v>
      </c>
      <c r="AV1630">
        <v>0</v>
      </c>
      <c r="AW1630">
        <v>885.495</v>
      </c>
      <c r="AX1630">
        <v>66</v>
      </c>
      <c r="AY1630">
        <v>389</v>
      </c>
      <c r="AZ1630">
        <v>573</v>
      </c>
      <c r="BB1630">
        <v>190</v>
      </c>
      <c r="BC1630" t="s">
        <v>493</v>
      </c>
      <c r="BD1630" t="s">
        <v>595</v>
      </c>
    </row>
    <row r="1631" spans="1:56" x14ac:dyDescent="0.3">
      <c r="A1631">
        <v>30187</v>
      </c>
      <c r="B1631">
        <v>0</v>
      </c>
      <c r="C1631">
        <v>64.650000000000006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35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0.35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890.15499999999997</v>
      </c>
      <c r="AE1631">
        <v>0</v>
      </c>
      <c r="AF1631">
        <v>1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1</v>
      </c>
      <c r="AO1631">
        <v>0</v>
      </c>
      <c r="AP1631">
        <v>1</v>
      </c>
      <c r="AQ1631">
        <v>0</v>
      </c>
      <c r="AR1631">
        <v>1</v>
      </c>
      <c r="AS1631">
        <v>1</v>
      </c>
      <c r="AT1631">
        <v>0</v>
      </c>
      <c r="AU1631">
        <v>9.8000000000000007</v>
      </c>
      <c r="AV1631">
        <v>0</v>
      </c>
      <c r="AW1631">
        <v>890.15499999999997</v>
      </c>
      <c r="AX1631">
        <v>65</v>
      </c>
      <c r="AY1631">
        <v>405</v>
      </c>
      <c r="AZ1631">
        <v>585</v>
      </c>
      <c r="BB1631">
        <v>202</v>
      </c>
      <c r="BC1631" t="s">
        <v>493</v>
      </c>
      <c r="BD1631" t="s">
        <v>595</v>
      </c>
    </row>
    <row r="1632" spans="1:56" x14ac:dyDescent="0.3">
      <c r="A1632">
        <v>30188</v>
      </c>
      <c r="B1632">
        <v>0</v>
      </c>
      <c r="C1632">
        <v>64.45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35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0.55000000000000004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894.81500000000005</v>
      </c>
      <c r="AE1632">
        <v>0</v>
      </c>
      <c r="AF1632">
        <v>1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1</v>
      </c>
      <c r="AO1632">
        <v>0</v>
      </c>
      <c r="AP1632">
        <v>1</v>
      </c>
      <c r="AQ1632">
        <v>0</v>
      </c>
      <c r="AR1632">
        <v>1</v>
      </c>
      <c r="AS1632">
        <v>1</v>
      </c>
      <c r="AT1632">
        <v>0</v>
      </c>
      <c r="AU1632">
        <v>9.8000000000000007</v>
      </c>
      <c r="AV1632">
        <v>0</v>
      </c>
      <c r="AW1632">
        <v>894.81500000000005</v>
      </c>
      <c r="AX1632">
        <v>65</v>
      </c>
      <c r="AY1632">
        <v>540</v>
      </c>
      <c r="AZ1632">
        <v>658</v>
      </c>
      <c r="BB1632">
        <v>223</v>
      </c>
      <c r="BC1632" t="s">
        <v>493</v>
      </c>
      <c r="BD1632" t="s">
        <v>595</v>
      </c>
    </row>
    <row r="1633" spans="1:56" x14ac:dyDescent="0.3">
      <c r="A1633">
        <v>30189</v>
      </c>
      <c r="B1633">
        <v>1</v>
      </c>
      <c r="C1633">
        <v>92</v>
      </c>
      <c r="D1633">
        <v>0</v>
      </c>
      <c r="E1633">
        <v>0</v>
      </c>
      <c r="F1633">
        <v>8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785.2</v>
      </c>
      <c r="AE1633">
        <v>0</v>
      </c>
      <c r="AF1633">
        <v>1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1</v>
      </c>
      <c r="AO1633">
        <v>0</v>
      </c>
      <c r="AP1633">
        <v>1</v>
      </c>
      <c r="AQ1633">
        <v>0</v>
      </c>
      <c r="AR1633">
        <v>0</v>
      </c>
      <c r="AS1633">
        <v>1</v>
      </c>
      <c r="AT1633">
        <v>0</v>
      </c>
      <c r="AU1633">
        <v>12.8</v>
      </c>
      <c r="AV1633">
        <v>0</v>
      </c>
      <c r="AW1633">
        <v>785.2</v>
      </c>
      <c r="AY1633">
        <v>662</v>
      </c>
      <c r="AZ1633">
        <v>769</v>
      </c>
      <c r="BC1633" t="s">
        <v>494</v>
      </c>
      <c r="BD1633" t="s">
        <v>596</v>
      </c>
    </row>
    <row r="1634" spans="1:56" x14ac:dyDescent="0.3">
      <c r="A1634">
        <v>30190</v>
      </c>
      <c r="B1634">
        <v>1</v>
      </c>
      <c r="C1634">
        <v>90</v>
      </c>
      <c r="D1634">
        <v>0</v>
      </c>
      <c r="E1634">
        <v>0</v>
      </c>
      <c r="F1634">
        <v>10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761</v>
      </c>
      <c r="AE1634">
        <v>0</v>
      </c>
      <c r="AF1634">
        <v>1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1</v>
      </c>
      <c r="AO1634">
        <v>0</v>
      </c>
      <c r="AP1634">
        <v>1</v>
      </c>
      <c r="AQ1634">
        <v>0</v>
      </c>
      <c r="AR1634">
        <v>0</v>
      </c>
      <c r="AS1634">
        <v>1</v>
      </c>
      <c r="AT1634">
        <v>0</v>
      </c>
      <c r="AU1634">
        <v>16</v>
      </c>
      <c r="AV1634">
        <v>0</v>
      </c>
      <c r="AW1634">
        <v>761</v>
      </c>
      <c r="AY1634">
        <v>446</v>
      </c>
      <c r="AZ1634">
        <v>872</v>
      </c>
      <c r="BC1634" t="s">
        <v>494</v>
      </c>
      <c r="BD1634" t="s">
        <v>596</v>
      </c>
    </row>
    <row r="1635" spans="1:56" x14ac:dyDescent="0.3">
      <c r="A1635">
        <v>30191</v>
      </c>
      <c r="B1635">
        <v>1</v>
      </c>
      <c r="C1635">
        <v>88.5</v>
      </c>
      <c r="D1635">
        <v>0</v>
      </c>
      <c r="E1635">
        <v>0</v>
      </c>
      <c r="F1635">
        <v>11.5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742.85</v>
      </c>
      <c r="AE1635">
        <v>0</v>
      </c>
      <c r="AF1635">
        <v>1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1</v>
      </c>
      <c r="AO1635">
        <v>0</v>
      </c>
      <c r="AP1635">
        <v>1</v>
      </c>
      <c r="AQ1635">
        <v>0</v>
      </c>
      <c r="AR1635">
        <v>0</v>
      </c>
      <c r="AS1635">
        <v>1</v>
      </c>
      <c r="AT1635">
        <v>0</v>
      </c>
      <c r="AU1635">
        <v>18.400000000000002</v>
      </c>
      <c r="AV1635">
        <v>0</v>
      </c>
      <c r="AW1635">
        <v>742.85</v>
      </c>
      <c r="AY1635">
        <v>791</v>
      </c>
      <c r="AZ1635">
        <v>858</v>
      </c>
      <c r="BC1635" t="s">
        <v>494</v>
      </c>
      <c r="BD1635" t="s">
        <v>596</v>
      </c>
    </row>
    <row r="1636" spans="1:56" x14ac:dyDescent="0.3">
      <c r="A1636">
        <v>30192</v>
      </c>
      <c r="B1636">
        <v>1</v>
      </c>
      <c r="C1636">
        <v>87</v>
      </c>
      <c r="D1636">
        <v>0</v>
      </c>
      <c r="E1636">
        <v>0</v>
      </c>
      <c r="F1636">
        <v>13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724.7</v>
      </c>
      <c r="AE1636">
        <v>0</v>
      </c>
      <c r="AF1636">
        <v>1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1</v>
      </c>
      <c r="AO1636">
        <v>0</v>
      </c>
      <c r="AP1636">
        <v>1</v>
      </c>
      <c r="AQ1636">
        <v>0</v>
      </c>
      <c r="AR1636">
        <v>0</v>
      </c>
      <c r="AS1636">
        <v>1</v>
      </c>
      <c r="AT1636">
        <v>0</v>
      </c>
      <c r="AU1636">
        <v>20.8</v>
      </c>
      <c r="AV1636">
        <v>0</v>
      </c>
      <c r="AW1636">
        <v>724.7</v>
      </c>
      <c r="AY1636">
        <v>794</v>
      </c>
      <c r="AZ1636">
        <v>830</v>
      </c>
      <c r="BC1636" t="s">
        <v>494</v>
      </c>
      <c r="BD1636" t="s">
        <v>596</v>
      </c>
    </row>
    <row r="1637" spans="1:56" x14ac:dyDescent="0.3">
      <c r="A1637">
        <v>30193</v>
      </c>
      <c r="B1637">
        <v>1</v>
      </c>
      <c r="C1637">
        <v>85</v>
      </c>
      <c r="D1637">
        <v>0</v>
      </c>
      <c r="E1637">
        <v>0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700.5</v>
      </c>
      <c r="AE1637">
        <v>0</v>
      </c>
      <c r="AF1637">
        <v>1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1</v>
      </c>
      <c r="AO1637">
        <v>0</v>
      </c>
      <c r="AP1637">
        <v>1</v>
      </c>
      <c r="AQ1637">
        <v>0</v>
      </c>
      <c r="AR1637">
        <v>0</v>
      </c>
      <c r="AS1637">
        <v>0</v>
      </c>
      <c r="AT1637">
        <v>0</v>
      </c>
      <c r="AU1637">
        <v>24</v>
      </c>
      <c r="AV1637">
        <v>0</v>
      </c>
      <c r="AW1637">
        <v>700.5</v>
      </c>
      <c r="AY1637">
        <v>775</v>
      </c>
      <c r="AZ1637">
        <v>814</v>
      </c>
      <c r="BC1637" t="s">
        <v>494</v>
      </c>
      <c r="BD1637" t="s">
        <v>596</v>
      </c>
    </row>
    <row r="1638" spans="1:56" x14ac:dyDescent="0.3">
      <c r="A1638">
        <v>30194</v>
      </c>
      <c r="B1638">
        <v>1</v>
      </c>
      <c r="C1638">
        <v>80</v>
      </c>
      <c r="D1638">
        <v>0</v>
      </c>
      <c r="E1638">
        <v>0</v>
      </c>
      <c r="F1638">
        <v>20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640</v>
      </c>
      <c r="AE1638">
        <v>0</v>
      </c>
      <c r="AF1638">
        <v>1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1</v>
      </c>
      <c r="AO1638">
        <v>0</v>
      </c>
      <c r="AP1638">
        <v>1</v>
      </c>
      <c r="AQ1638">
        <v>0</v>
      </c>
      <c r="AR1638">
        <v>0</v>
      </c>
      <c r="AS1638">
        <v>0</v>
      </c>
      <c r="AT1638">
        <v>0</v>
      </c>
      <c r="AU1638">
        <v>32</v>
      </c>
      <c r="AV1638">
        <v>0</v>
      </c>
      <c r="AW1638">
        <v>640</v>
      </c>
      <c r="AY1638">
        <v>808</v>
      </c>
      <c r="AZ1638">
        <v>822</v>
      </c>
      <c r="BC1638" t="s">
        <v>494</v>
      </c>
      <c r="BD1638" t="s">
        <v>596</v>
      </c>
    </row>
    <row r="1639" spans="1:56" x14ac:dyDescent="0.3">
      <c r="A1639">
        <v>30195</v>
      </c>
      <c r="B1639">
        <v>1</v>
      </c>
      <c r="C1639">
        <v>88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12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768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1</v>
      </c>
      <c r="AO1639">
        <v>0</v>
      </c>
      <c r="AP1639">
        <v>1</v>
      </c>
      <c r="AQ1639">
        <v>0</v>
      </c>
      <c r="AR1639">
        <v>0</v>
      </c>
      <c r="AS1639">
        <v>1</v>
      </c>
      <c r="AT1639">
        <v>0</v>
      </c>
      <c r="AU1639">
        <v>12</v>
      </c>
      <c r="AV1639">
        <v>0</v>
      </c>
      <c r="AW1639">
        <v>768</v>
      </c>
      <c r="AX1639">
        <v>90</v>
      </c>
      <c r="AY1639">
        <v>550</v>
      </c>
      <c r="AZ1639">
        <v>660</v>
      </c>
      <c r="BC1639" t="s">
        <v>495</v>
      </c>
      <c r="BD1639" t="s">
        <v>597</v>
      </c>
    </row>
    <row r="1640" spans="1:56" x14ac:dyDescent="0.3">
      <c r="A1640">
        <v>30196</v>
      </c>
      <c r="B1640">
        <v>1</v>
      </c>
      <c r="C1640">
        <v>54.72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5</v>
      </c>
      <c r="K1640">
        <v>30</v>
      </c>
      <c r="L1640">
        <v>0</v>
      </c>
      <c r="M1640">
        <v>0</v>
      </c>
      <c r="N1640">
        <v>0</v>
      </c>
      <c r="O1640">
        <v>10</v>
      </c>
      <c r="P1640">
        <v>0</v>
      </c>
      <c r="Q1640">
        <v>0</v>
      </c>
      <c r="R1640">
        <v>0</v>
      </c>
      <c r="S1640">
        <v>0</v>
      </c>
      <c r="T1640">
        <v>0.28000000000000003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881.94</v>
      </c>
      <c r="AE1640">
        <v>0</v>
      </c>
      <c r="AF1640">
        <v>0</v>
      </c>
      <c r="AG1640">
        <v>1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1</v>
      </c>
      <c r="AO1640">
        <v>0</v>
      </c>
      <c r="AP1640">
        <v>1</v>
      </c>
      <c r="AQ1640">
        <v>0</v>
      </c>
      <c r="AR1640">
        <v>1</v>
      </c>
      <c r="AS1640">
        <v>0</v>
      </c>
      <c r="AT1640">
        <v>0</v>
      </c>
      <c r="AU1640">
        <v>10.600000000000001</v>
      </c>
      <c r="AV1640">
        <v>0.8613333333333334</v>
      </c>
      <c r="AW1640">
        <v>881.94</v>
      </c>
      <c r="AX1640">
        <v>57.1</v>
      </c>
      <c r="AY1640">
        <v>400</v>
      </c>
      <c r="AZ1640">
        <v>777</v>
      </c>
      <c r="BC1640" t="s">
        <v>496</v>
      </c>
      <c r="BD1640" t="s">
        <v>598</v>
      </c>
    </row>
    <row r="1641" spans="1:56" x14ac:dyDescent="0.3">
      <c r="A1641">
        <v>30197</v>
      </c>
      <c r="B1641">
        <v>1</v>
      </c>
      <c r="C1641">
        <v>56.65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5</v>
      </c>
      <c r="K1641">
        <v>30</v>
      </c>
      <c r="L1641">
        <v>0</v>
      </c>
      <c r="M1641">
        <v>0</v>
      </c>
      <c r="N1641">
        <v>0</v>
      </c>
      <c r="O1641">
        <v>8</v>
      </c>
      <c r="P1641">
        <v>0</v>
      </c>
      <c r="Q1641">
        <v>0</v>
      </c>
      <c r="R1641">
        <v>0</v>
      </c>
      <c r="S1641">
        <v>0</v>
      </c>
      <c r="T1641">
        <v>0.35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890.55</v>
      </c>
      <c r="AE1641">
        <v>0</v>
      </c>
      <c r="AF1641">
        <v>0</v>
      </c>
      <c r="AG1641">
        <v>1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1</v>
      </c>
      <c r="AO1641">
        <v>0</v>
      </c>
      <c r="AP1641">
        <v>1</v>
      </c>
      <c r="AQ1641">
        <v>0</v>
      </c>
      <c r="AR1641">
        <v>1</v>
      </c>
      <c r="AS1641">
        <v>0</v>
      </c>
      <c r="AT1641">
        <v>0</v>
      </c>
      <c r="AU1641">
        <v>10.16</v>
      </c>
      <c r="AV1641">
        <v>0.8683333333333334</v>
      </c>
      <c r="AW1641">
        <v>890.55</v>
      </c>
      <c r="AX1641">
        <v>53.7</v>
      </c>
      <c r="AY1641">
        <v>435</v>
      </c>
      <c r="AZ1641">
        <v>612</v>
      </c>
      <c r="BC1641" t="s">
        <v>496</v>
      </c>
      <c r="BD1641" t="s">
        <v>598</v>
      </c>
    </row>
    <row r="1642" spans="1:56" x14ac:dyDescent="0.3">
      <c r="A1642">
        <v>30198</v>
      </c>
      <c r="B1642">
        <v>1</v>
      </c>
      <c r="C1642">
        <v>83.066299999999998</v>
      </c>
      <c r="D1642">
        <v>0</v>
      </c>
      <c r="E1642">
        <v>0</v>
      </c>
      <c r="F1642">
        <v>0</v>
      </c>
      <c r="G1642">
        <v>0</v>
      </c>
      <c r="H1642">
        <v>1.0638000000000001</v>
      </c>
      <c r="I1642">
        <v>0</v>
      </c>
      <c r="J1642">
        <v>0</v>
      </c>
      <c r="K1642">
        <v>0</v>
      </c>
      <c r="L1642">
        <v>8.4076000000000004</v>
      </c>
      <c r="M1642">
        <v>7.4622999999999999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817.08699794568815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1</v>
      </c>
      <c r="AO1642">
        <v>0</v>
      </c>
      <c r="AP1642">
        <v>1</v>
      </c>
      <c r="AQ1642">
        <v>0</v>
      </c>
      <c r="AR1642">
        <v>0</v>
      </c>
      <c r="AS1642">
        <v>0</v>
      </c>
      <c r="AT1642">
        <v>0</v>
      </c>
      <c r="AU1642">
        <v>11.492576864110255</v>
      </c>
      <c r="AV1642">
        <v>2.4874271407348751</v>
      </c>
      <c r="AW1642">
        <v>817.08699794568815</v>
      </c>
      <c r="AX1642">
        <v>52</v>
      </c>
      <c r="AY1642">
        <v>740</v>
      </c>
      <c r="AZ1642">
        <v>1013</v>
      </c>
      <c r="BC1642" t="s">
        <v>497</v>
      </c>
      <c r="BD1642" t="s">
        <v>599</v>
      </c>
    </row>
    <row r="1643" spans="1:56" x14ac:dyDescent="0.3">
      <c r="A1643">
        <v>30199</v>
      </c>
      <c r="B1643">
        <v>1</v>
      </c>
      <c r="C1643">
        <v>8.8218999999999994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18.5823</v>
      </c>
      <c r="K1643">
        <v>17.122599999999998</v>
      </c>
      <c r="L1643">
        <v>18.6143</v>
      </c>
      <c r="M1643">
        <v>0</v>
      </c>
      <c r="N1643">
        <v>0</v>
      </c>
      <c r="O1643">
        <v>36.859000000000002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1</v>
      </c>
      <c r="W1643">
        <v>0</v>
      </c>
      <c r="X1643">
        <v>0</v>
      </c>
      <c r="Y1643">
        <v>0</v>
      </c>
      <c r="Z1643">
        <v>1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1</v>
      </c>
      <c r="AO1643">
        <v>0</v>
      </c>
      <c r="AP1643">
        <v>1</v>
      </c>
      <c r="AQ1643">
        <v>0</v>
      </c>
      <c r="AR1643">
        <v>0</v>
      </c>
      <c r="AS1643">
        <v>0</v>
      </c>
      <c r="AT1643">
        <v>0</v>
      </c>
      <c r="AU1643">
        <v>31.517562277592845</v>
      </c>
      <c r="AV1643">
        <v>3.0970477554551756</v>
      </c>
      <c r="AW1643">
        <v>576.94677515406522</v>
      </c>
      <c r="AX1643">
        <v>153</v>
      </c>
      <c r="AY1643">
        <v>1390</v>
      </c>
      <c r="BC1643" t="s">
        <v>498</v>
      </c>
      <c r="BD1643" t="s">
        <v>600</v>
      </c>
    </row>
    <row r="1644" spans="1:56" x14ac:dyDescent="0.3">
      <c r="A1644">
        <v>30200</v>
      </c>
      <c r="B1644">
        <v>1</v>
      </c>
      <c r="C1644">
        <v>70.087199999999996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6.4402999999999997</v>
      </c>
      <c r="K1644">
        <v>9.8219999999999992</v>
      </c>
      <c r="L1644">
        <v>13.650499999999999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707.8822887856619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1</v>
      </c>
      <c r="AO1644">
        <v>0</v>
      </c>
      <c r="AP1644">
        <v>1</v>
      </c>
      <c r="AQ1644">
        <v>0</v>
      </c>
      <c r="AR1644">
        <v>1</v>
      </c>
      <c r="AS1644">
        <v>0</v>
      </c>
      <c r="AT1644">
        <v>0</v>
      </c>
      <c r="AU1644">
        <v>16.400663784957903</v>
      </c>
      <c r="AV1644">
        <v>1.0733806160053823</v>
      </c>
      <c r="AW1644">
        <v>707.8822887856619</v>
      </c>
      <c r="AX1644">
        <v>72</v>
      </c>
      <c r="AY1644">
        <v>899</v>
      </c>
      <c r="BC1644" t="s">
        <v>499</v>
      </c>
      <c r="BD1644" t="s">
        <v>601</v>
      </c>
    </row>
    <row r="1645" spans="1:56" x14ac:dyDescent="0.3">
      <c r="A1645">
        <v>30201</v>
      </c>
      <c r="B1645">
        <v>1</v>
      </c>
      <c r="C1645">
        <v>72.914500000000004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4.9067999999999996</v>
      </c>
      <c r="K1645">
        <v>8.3118999999999996</v>
      </c>
      <c r="L1645">
        <v>13.8668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716.40827791401125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1</v>
      </c>
      <c r="AO1645">
        <v>0</v>
      </c>
      <c r="AP1645">
        <v>1</v>
      </c>
      <c r="AQ1645">
        <v>0</v>
      </c>
      <c r="AR1645">
        <v>1</v>
      </c>
      <c r="AS1645">
        <v>0</v>
      </c>
      <c r="AT1645">
        <v>0</v>
      </c>
      <c r="AU1645">
        <v>16.194185911946512</v>
      </c>
      <c r="AV1645">
        <v>0.8177943847854654</v>
      </c>
      <c r="AW1645">
        <v>716.40827791401125</v>
      </c>
      <c r="AX1645">
        <v>69</v>
      </c>
      <c r="AY1645">
        <v>947</v>
      </c>
      <c r="BC1645" t="s">
        <v>499</v>
      </c>
      <c r="BD1645" t="s">
        <v>601</v>
      </c>
    </row>
    <row r="1646" spans="1:56" x14ac:dyDescent="0.3">
      <c r="A1646">
        <v>30202</v>
      </c>
      <c r="B1646">
        <v>1</v>
      </c>
      <c r="C1646">
        <v>72.857699999999994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8.2940000000000005</v>
      </c>
      <c r="K1646">
        <v>4.9806999999999997</v>
      </c>
      <c r="L1646">
        <v>13.867599999999999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693.0290562489821</v>
      </c>
      <c r="AE1646">
        <v>0</v>
      </c>
      <c r="AF1646">
        <v>1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1</v>
      </c>
      <c r="AO1646">
        <v>0</v>
      </c>
      <c r="AP1646">
        <v>1</v>
      </c>
      <c r="AQ1646">
        <v>0</v>
      </c>
      <c r="AR1646">
        <v>1</v>
      </c>
      <c r="AS1646">
        <v>0</v>
      </c>
      <c r="AT1646">
        <v>0</v>
      </c>
      <c r="AU1646">
        <v>15.262183309228895</v>
      </c>
      <c r="AV1646">
        <v>1.3823393405811062</v>
      </c>
      <c r="AW1646">
        <v>693.0290562489821</v>
      </c>
      <c r="AX1646">
        <v>52</v>
      </c>
      <c r="AY1646">
        <v>483</v>
      </c>
      <c r="BC1646" t="s">
        <v>499</v>
      </c>
      <c r="BD1646" t="s">
        <v>601</v>
      </c>
    </row>
    <row r="1647" spans="1:56" x14ac:dyDescent="0.3">
      <c r="A1647">
        <v>30203</v>
      </c>
      <c r="B1647">
        <v>1</v>
      </c>
      <c r="C1647">
        <v>64.622799999999998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35.377200000000002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882</v>
      </c>
      <c r="AE1647">
        <v>0</v>
      </c>
      <c r="AF1647">
        <v>1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1</v>
      </c>
      <c r="AO1647">
        <v>0</v>
      </c>
      <c r="AP1647">
        <v>1</v>
      </c>
      <c r="AQ1647">
        <v>0</v>
      </c>
      <c r="AR1647">
        <v>1</v>
      </c>
      <c r="AS1647">
        <v>0</v>
      </c>
      <c r="AT1647">
        <v>0</v>
      </c>
      <c r="AU1647">
        <v>9.9056050084608671</v>
      </c>
      <c r="AV1647">
        <v>0</v>
      </c>
      <c r="AW1647">
        <v>882</v>
      </c>
      <c r="AX1647">
        <v>73</v>
      </c>
      <c r="AY1647">
        <v>405</v>
      </c>
      <c r="AZ1647">
        <v>694</v>
      </c>
      <c r="BB1647">
        <v>181</v>
      </c>
      <c r="BC1647" t="s">
        <v>500</v>
      </c>
      <c r="BD1647" t="s">
        <v>602</v>
      </c>
    </row>
    <row r="1648" spans="1:56" x14ac:dyDescent="0.3">
      <c r="A1648">
        <v>30204</v>
      </c>
      <c r="B1648">
        <v>1</v>
      </c>
      <c r="C1648">
        <v>63.267800000000001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35.0852</v>
      </c>
      <c r="L1648">
        <v>1.647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866.35324050761767</v>
      </c>
      <c r="AE1648">
        <v>0</v>
      </c>
      <c r="AF1648">
        <v>1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1</v>
      </c>
      <c r="AO1648">
        <v>0</v>
      </c>
      <c r="AP1648">
        <v>1</v>
      </c>
      <c r="AQ1648">
        <v>0</v>
      </c>
      <c r="AR1648">
        <v>1</v>
      </c>
      <c r="AS1648">
        <v>0</v>
      </c>
      <c r="AT1648">
        <v>0</v>
      </c>
      <c r="AU1648">
        <v>11.470874676179324</v>
      </c>
      <c r="AV1648">
        <v>0</v>
      </c>
      <c r="AW1648">
        <v>866.35324050761767</v>
      </c>
      <c r="AX1648">
        <v>87</v>
      </c>
      <c r="AY1648">
        <v>452</v>
      </c>
      <c r="AZ1648">
        <v>763</v>
      </c>
      <c r="BB1648">
        <v>190</v>
      </c>
      <c r="BC1648" t="s">
        <v>500</v>
      </c>
      <c r="BD1648" t="s">
        <v>602</v>
      </c>
    </row>
    <row r="1649" spans="1:56" x14ac:dyDescent="0.3">
      <c r="A1649">
        <v>30205</v>
      </c>
      <c r="B1649">
        <v>1</v>
      </c>
      <c r="C1649">
        <v>63.319200000000002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1.5671999999999999</v>
      </c>
      <c r="K1649">
        <v>35.113700000000001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871.18649501172763</v>
      </c>
      <c r="AE1649">
        <v>0</v>
      </c>
      <c r="AF1649">
        <v>1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1</v>
      </c>
      <c r="AO1649">
        <v>0</v>
      </c>
      <c r="AP1649">
        <v>1</v>
      </c>
      <c r="AQ1649">
        <v>0</v>
      </c>
      <c r="AR1649">
        <v>1</v>
      </c>
      <c r="AS1649">
        <v>0</v>
      </c>
      <c r="AT1649">
        <v>0</v>
      </c>
      <c r="AU1649">
        <v>9.8318233329241664</v>
      </c>
      <c r="AV1649">
        <v>0.26119577266358307</v>
      </c>
      <c r="AW1649">
        <v>871.18649501172763</v>
      </c>
      <c r="AX1649">
        <v>68</v>
      </c>
      <c r="AY1649">
        <v>370</v>
      </c>
      <c r="AZ1649">
        <v>629</v>
      </c>
      <c r="BB1649">
        <v>184</v>
      </c>
      <c r="BC1649" t="s">
        <v>500</v>
      </c>
      <c r="BD1649" t="s">
        <v>602</v>
      </c>
    </row>
    <row r="1650" spans="1:56" x14ac:dyDescent="0.3">
      <c r="A1650">
        <v>30206</v>
      </c>
      <c r="B1650">
        <v>1</v>
      </c>
      <c r="C1650">
        <v>62.357999999999997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34.580599999999997</v>
      </c>
      <c r="L1650">
        <v>0</v>
      </c>
      <c r="M1650">
        <v>0</v>
      </c>
      <c r="N1650">
        <v>0</v>
      </c>
      <c r="O1650">
        <v>3.0613999999999999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882</v>
      </c>
      <c r="AE1650">
        <v>0</v>
      </c>
      <c r="AF1650">
        <v>1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1</v>
      </c>
      <c r="AO1650">
        <v>0</v>
      </c>
      <c r="AP1650">
        <v>1</v>
      </c>
      <c r="AQ1650">
        <v>0</v>
      </c>
      <c r="AR1650">
        <v>1</v>
      </c>
      <c r="AS1650">
        <v>0</v>
      </c>
      <c r="AT1650">
        <v>0</v>
      </c>
      <c r="AU1650">
        <v>10.356081514920412</v>
      </c>
      <c r="AV1650">
        <v>0</v>
      </c>
      <c r="AW1650">
        <v>882</v>
      </c>
      <c r="AX1650">
        <v>72</v>
      </c>
      <c r="AY1650">
        <v>401</v>
      </c>
      <c r="AZ1650">
        <v>617</v>
      </c>
      <c r="BB1650">
        <v>189</v>
      </c>
      <c r="BC1650" t="s">
        <v>500</v>
      </c>
      <c r="BD1650" t="s">
        <v>602</v>
      </c>
    </row>
    <row r="1651" spans="1:56" x14ac:dyDescent="0.3">
      <c r="A1651">
        <v>30207</v>
      </c>
      <c r="B1651">
        <v>1</v>
      </c>
      <c r="C1651">
        <v>63.021599999999999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34.948599999999999</v>
      </c>
      <c r="L1651">
        <v>0</v>
      </c>
      <c r="M1651">
        <v>2.0297999999999998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890.5250904453103</v>
      </c>
      <c r="AE1651">
        <v>0</v>
      </c>
      <c r="AF1651">
        <v>1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1</v>
      </c>
      <c r="AO1651">
        <v>0</v>
      </c>
      <c r="AP1651">
        <v>1</v>
      </c>
      <c r="AQ1651">
        <v>0</v>
      </c>
      <c r="AR1651">
        <v>1</v>
      </c>
      <c r="AS1651">
        <v>0</v>
      </c>
      <c r="AT1651">
        <v>0</v>
      </c>
      <c r="AU1651">
        <v>9.7856163078768965</v>
      </c>
      <c r="AV1651">
        <v>0.67659447978652698</v>
      </c>
      <c r="AW1651">
        <v>890.5250904453103</v>
      </c>
      <c r="AX1651">
        <v>65</v>
      </c>
      <c r="AY1651">
        <v>503</v>
      </c>
      <c r="AZ1651">
        <v>633</v>
      </c>
      <c r="BB1651">
        <v>203</v>
      </c>
      <c r="BC1651" t="s">
        <v>500</v>
      </c>
      <c r="BD1651" t="s">
        <v>602</v>
      </c>
    </row>
    <row r="1652" spans="1:56" x14ac:dyDescent="0.3">
      <c r="A1652">
        <v>30208</v>
      </c>
      <c r="B1652">
        <v>0</v>
      </c>
      <c r="C1652">
        <v>64.013499999999993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35.498699999999999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0.48780000000000001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893.36534997310923</v>
      </c>
      <c r="AE1652">
        <v>0</v>
      </c>
      <c r="AF1652">
        <v>1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1</v>
      </c>
      <c r="AO1652">
        <v>0</v>
      </c>
      <c r="AP1652">
        <v>1</v>
      </c>
      <c r="AQ1652">
        <v>0</v>
      </c>
      <c r="AR1652">
        <v>1</v>
      </c>
      <c r="AS1652">
        <v>0</v>
      </c>
      <c r="AT1652">
        <v>0</v>
      </c>
      <c r="AU1652">
        <v>9.9396368115082705</v>
      </c>
      <c r="AV1652">
        <v>0</v>
      </c>
      <c r="AW1652">
        <v>893.36534997310923</v>
      </c>
      <c r="AX1652">
        <v>69</v>
      </c>
      <c r="AY1652">
        <v>540</v>
      </c>
      <c r="AZ1652">
        <v>634</v>
      </c>
      <c r="BB1652">
        <v>204</v>
      </c>
      <c r="BC1652" t="s">
        <v>500</v>
      </c>
      <c r="BD1652" t="s">
        <v>602</v>
      </c>
    </row>
    <row r="1653" spans="1:56" x14ac:dyDescent="0.3">
      <c r="A1653">
        <v>30209</v>
      </c>
      <c r="B1653">
        <v>1</v>
      </c>
      <c r="C1653">
        <v>63.706400000000002</v>
      </c>
      <c r="D1653">
        <v>0</v>
      </c>
      <c r="E1653">
        <v>0</v>
      </c>
      <c r="F1653">
        <v>0</v>
      </c>
      <c r="G1653">
        <v>0</v>
      </c>
      <c r="H1653">
        <v>0.96519999999999995</v>
      </c>
      <c r="I1653">
        <v>0</v>
      </c>
      <c r="J1653">
        <v>0</v>
      </c>
      <c r="K1653">
        <v>35.328400000000002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867.13526735195956</v>
      </c>
      <c r="AE1653">
        <v>0</v>
      </c>
      <c r="AF1653">
        <v>1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1</v>
      </c>
      <c r="AO1653">
        <v>0</v>
      </c>
      <c r="AP1653">
        <v>1</v>
      </c>
      <c r="AQ1653">
        <v>0</v>
      </c>
      <c r="AR1653">
        <v>1</v>
      </c>
      <c r="AS1653">
        <v>0</v>
      </c>
      <c r="AT1653">
        <v>0</v>
      </c>
      <c r="AU1653">
        <v>12.691149384965282</v>
      </c>
      <c r="AV1653">
        <v>0</v>
      </c>
      <c r="AW1653">
        <v>867.13526735195956</v>
      </c>
      <c r="AX1653">
        <v>79</v>
      </c>
      <c r="AY1653">
        <v>600</v>
      </c>
      <c r="AZ1653">
        <v>820</v>
      </c>
      <c r="BB1653">
        <v>250</v>
      </c>
      <c r="BC1653" t="s">
        <v>500</v>
      </c>
      <c r="BD1653" t="s">
        <v>602</v>
      </c>
    </row>
    <row r="1654" spans="1:56" x14ac:dyDescent="0.3">
      <c r="A1654">
        <v>30210</v>
      </c>
      <c r="B1654">
        <v>1</v>
      </c>
      <c r="C1654">
        <v>61.999200000000002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38.000799999999998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882</v>
      </c>
      <c r="AE1654">
        <v>0</v>
      </c>
      <c r="AF1654">
        <v>1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1</v>
      </c>
      <c r="AO1654">
        <v>0</v>
      </c>
      <c r="AP1654">
        <v>1</v>
      </c>
      <c r="AQ1654">
        <v>0</v>
      </c>
      <c r="AR1654">
        <v>1</v>
      </c>
      <c r="AS1654">
        <v>0</v>
      </c>
      <c r="AT1654">
        <v>0</v>
      </c>
      <c r="AU1654">
        <v>10.640221830002631</v>
      </c>
      <c r="AV1654">
        <v>0</v>
      </c>
      <c r="AW1654">
        <v>882</v>
      </c>
      <c r="AX1654">
        <v>56</v>
      </c>
      <c r="AY1654">
        <v>202</v>
      </c>
      <c r="AZ1654">
        <v>409</v>
      </c>
      <c r="BC1654" t="s">
        <v>501</v>
      </c>
      <c r="BD1654" t="s">
        <v>603</v>
      </c>
    </row>
    <row r="1655" spans="1:56" x14ac:dyDescent="0.3">
      <c r="A1655">
        <v>30211</v>
      </c>
      <c r="B1655">
        <v>1</v>
      </c>
      <c r="C1655">
        <v>59.488500000000002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3.0640000000000001</v>
      </c>
      <c r="K1655">
        <v>37.447400000000002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860.85764559970801</v>
      </c>
      <c r="AE1655">
        <v>0</v>
      </c>
      <c r="AF1655">
        <v>1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1</v>
      </c>
      <c r="AO1655">
        <v>0</v>
      </c>
      <c r="AP1655">
        <v>1</v>
      </c>
      <c r="AQ1655">
        <v>0</v>
      </c>
      <c r="AR1655">
        <v>0</v>
      </c>
      <c r="AS1655">
        <v>0</v>
      </c>
      <c r="AT1655">
        <v>0</v>
      </c>
      <c r="AU1655">
        <v>10.4852670231017</v>
      </c>
      <c r="AV1655">
        <v>0.5106848888959411</v>
      </c>
      <c r="AW1655">
        <v>860.85764559970801</v>
      </c>
      <c r="AX1655">
        <v>59</v>
      </c>
      <c r="AY1655">
        <v>249</v>
      </c>
      <c r="AZ1655">
        <v>487</v>
      </c>
      <c r="BC1655" t="s">
        <v>501</v>
      </c>
      <c r="BD1655" t="s">
        <v>603</v>
      </c>
    </row>
    <row r="1656" spans="1:56" x14ac:dyDescent="0.3">
      <c r="A1656">
        <v>30212</v>
      </c>
      <c r="B1656">
        <v>1</v>
      </c>
      <c r="C1656">
        <v>57.06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6.0403000000000002</v>
      </c>
      <c r="K1656">
        <v>36.9099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840.32224920551835</v>
      </c>
      <c r="AE1656">
        <v>0</v>
      </c>
      <c r="AF1656">
        <v>1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1</v>
      </c>
      <c r="AO1656">
        <v>0</v>
      </c>
      <c r="AP1656">
        <v>1</v>
      </c>
      <c r="AQ1656">
        <v>0</v>
      </c>
      <c r="AR1656">
        <v>0</v>
      </c>
      <c r="AS1656">
        <v>0</v>
      </c>
      <c r="AT1656">
        <v>0</v>
      </c>
      <c r="AU1656">
        <v>10.334760682953901</v>
      </c>
      <c r="AV1656">
        <v>1.0067089563884464</v>
      </c>
      <c r="AW1656">
        <v>840.32224920551835</v>
      </c>
      <c r="AX1656">
        <v>60</v>
      </c>
      <c r="AY1656">
        <v>417</v>
      </c>
      <c r="AZ1656">
        <v>542</v>
      </c>
      <c r="BC1656" t="s">
        <v>501</v>
      </c>
      <c r="BD1656" t="s">
        <v>603</v>
      </c>
    </row>
    <row r="1657" spans="1:56" x14ac:dyDescent="0.3">
      <c r="A1657">
        <v>30213</v>
      </c>
      <c r="B1657">
        <v>1</v>
      </c>
      <c r="C1657">
        <v>59.250900000000001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3.0394999999999999</v>
      </c>
      <c r="K1657">
        <v>35.599400000000003</v>
      </c>
      <c r="L1657">
        <v>0</v>
      </c>
      <c r="M1657">
        <v>0</v>
      </c>
      <c r="N1657">
        <v>0</v>
      </c>
      <c r="O1657">
        <v>2.1101999999999999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861.02712800996403</v>
      </c>
      <c r="AE1657">
        <v>0</v>
      </c>
      <c r="AF1657">
        <v>1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1</v>
      </c>
      <c r="AO1657">
        <v>0</v>
      </c>
      <c r="AP1657">
        <v>1</v>
      </c>
      <c r="AQ1657">
        <v>0</v>
      </c>
      <c r="AR1657">
        <v>1</v>
      </c>
      <c r="AS1657">
        <v>0</v>
      </c>
      <c r="AT1657">
        <v>0</v>
      </c>
      <c r="AU1657">
        <v>10.432072023602931</v>
      </c>
      <c r="AV1657">
        <v>0.50659111087043418</v>
      </c>
      <c r="AW1657">
        <v>861.02712800996403</v>
      </c>
      <c r="AX1657">
        <v>55</v>
      </c>
      <c r="AY1657">
        <v>280</v>
      </c>
      <c r="AZ1657">
        <v>400</v>
      </c>
      <c r="BC1657" t="s">
        <v>502</v>
      </c>
      <c r="BD1657" t="s">
        <v>604</v>
      </c>
    </row>
    <row r="1658" spans="1:56" x14ac:dyDescent="0.3">
      <c r="A1658">
        <v>30214</v>
      </c>
      <c r="B1658">
        <v>1</v>
      </c>
      <c r="C1658">
        <v>59.250900000000001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3.0394999999999999</v>
      </c>
      <c r="K1658">
        <v>35.599400000000003</v>
      </c>
      <c r="L1658">
        <v>0</v>
      </c>
      <c r="M1658">
        <v>0</v>
      </c>
      <c r="N1658">
        <v>0</v>
      </c>
      <c r="O1658">
        <v>2.1101999999999999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861.02712800996403</v>
      </c>
      <c r="AE1658">
        <v>0</v>
      </c>
      <c r="AF1658">
        <v>1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1</v>
      </c>
      <c r="AO1658">
        <v>0</v>
      </c>
      <c r="AP1658">
        <v>1</v>
      </c>
      <c r="AQ1658">
        <v>0</v>
      </c>
      <c r="AR1658">
        <v>0</v>
      </c>
      <c r="AS1658">
        <v>0</v>
      </c>
      <c r="AT1658">
        <v>0</v>
      </c>
      <c r="AU1658">
        <v>10.432072023602931</v>
      </c>
      <c r="AV1658">
        <v>0.50659111087043418</v>
      </c>
      <c r="AW1658">
        <v>861.02712800996403</v>
      </c>
      <c r="AX1658">
        <v>60</v>
      </c>
      <c r="AY1658">
        <v>830</v>
      </c>
      <c r="AZ1658">
        <v>880</v>
      </c>
      <c r="BC1658" t="s">
        <v>502</v>
      </c>
      <c r="BD1658" t="s">
        <v>604</v>
      </c>
    </row>
    <row r="1659" spans="1:56" x14ac:dyDescent="0.3">
      <c r="A1659">
        <v>30215</v>
      </c>
      <c r="B1659">
        <v>1</v>
      </c>
      <c r="C1659">
        <v>47.470999999999997</v>
      </c>
      <c r="D1659">
        <v>0</v>
      </c>
      <c r="E1659">
        <v>2.1650999999999998</v>
      </c>
      <c r="F1659">
        <v>0</v>
      </c>
      <c r="G1659">
        <v>0</v>
      </c>
      <c r="H1659">
        <v>0</v>
      </c>
      <c r="I1659">
        <v>0</v>
      </c>
      <c r="J1659">
        <v>7.7545000000000002</v>
      </c>
      <c r="K1659">
        <v>11.846299999999999</v>
      </c>
      <c r="L1659">
        <v>0</v>
      </c>
      <c r="M1659">
        <v>0</v>
      </c>
      <c r="N1659">
        <v>0</v>
      </c>
      <c r="O1659">
        <v>30.763000000000002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802.94510175789992</v>
      </c>
      <c r="AE1659">
        <v>0</v>
      </c>
      <c r="AF1659">
        <v>1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1</v>
      </c>
      <c r="AO1659">
        <v>0</v>
      </c>
      <c r="AP1659">
        <v>1</v>
      </c>
      <c r="AQ1659">
        <v>0</v>
      </c>
      <c r="AR1659">
        <v>0</v>
      </c>
      <c r="AS1659">
        <v>0</v>
      </c>
      <c r="AT1659">
        <v>0</v>
      </c>
      <c r="AU1659">
        <v>11.535473277177768</v>
      </c>
      <c r="AV1659">
        <v>1.2924194529936954</v>
      </c>
      <c r="AW1659">
        <v>802.94510175789992</v>
      </c>
      <c r="AX1659">
        <v>71.2</v>
      </c>
      <c r="AY1659">
        <v>849</v>
      </c>
      <c r="BC1659" t="s">
        <v>503</v>
      </c>
      <c r="BD1659" t="s">
        <v>605</v>
      </c>
    </row>
    <row r="1660" spans="1:56" x14ac:dyDescent="0.3">
      <c r="A1660">
        <v>30216</v>
      </c>
      <c r="B1660">
        <v>1</v>
      </c>
      <c r="C1660">
        <v>94</v>
      </c>
      <c r="D1660">
        <v>2</v>
      </c>
      <c r="E1660">
        <v>0</v>
      </c>
      <c r="F1660">
        <v>0</v>
      </c>
      <c r="G1660">
        <v>0</v>
      </c>
      <c r="H1660">
        <v>2</v>
      </c>
      <c r="I1660">
        <v>0</v>
      </c>
      <c r="J1660">
        <v>0</v>
      </c>
      <c r="K1660">
        <v>0</v>
      </c>
      <c r="L1660">
        <v>2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836.40000000000009</v>
      </c>
      <c r="AE1660">
        <v>0</v>
      </c>
      <c r="AF1660">
        <v>1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1</v>
      </c>
      <c r="AO1660">
        <v>0</v>
      </c>
      <c r="AP1660">
        <v>1</v>
      </c>
      <c r="AQ1660">
        <v>0</v>
      </c>
      <c r="AR1660">
        <v>0</v>
      </c>
      <c r="AS1660">
        <v>1</v>
      </c>
      <c r="AT1660">
        <v>0</v>
      </c>
      <c r="AU1660">
        <v>5.8</v>
      </c>
      <c r="AV1660">
        <v>2</v>
      </c>
      <c r="AW1660">
        <v>836.40000000000009</v>
      </c>
      <c r="AY1660">
        <v>670</v>
      </c>
      <c r="BB1660">
        <v>300</v>
      </c>
      <c r="BC1660" t="s">
        <v>504</v>
      </c>
      <c r="BD1660" t="s">
        <v>606</v>
      </c>
    </row>
    <row r="1661" spans="1:56" x14ac:dyDescent="0.3">
      <c r="A1661">
        <v>30217</v>
      </c>
      <c r="B1661">
        <v>1</v>
      </c>
      <c r="C1661">
        <v>91</v>
      </c>
      <c r="D1661">
        <v>0</v>
      </c>
      <c r="E1661">
        <v>0</v>
      </c>
      <c r="F1661">
        <v>6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822</v>
      </c>
      <c r="AE1661">
        <v>0</v>
      </c>
      <c r="AF1661">
        <v>1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1</v>
      </c>
      <c r="AO1661">
        <v>0</v>
      </c>
      <c r="AP1661">
        <v>1</v>
      </c>
      <c r="AQ1661">
        <v>0</v>
      </c>
      <c r="AR1661">
        <v>0</v>
      </c>
      <c r="AS1661">
        <v>0</v>
      </c>
      <c r="AT1661">
        <v>0</v>
      </c>
      <c r="AU1661">
        <v>9.6000000000000014</v>
      </c>
      <c r="AV1661">
        <v>1</v>
      </c>
      <c r="AW1661">
        <v>822</v>
      </c>
      <c r="AY1661">
        <v>294</v>
      </c>
      <c r="AZ1661">
        <v>585</v>
      </c>
      <c r="BB1661">
        <v>260</v>
      </c>
      <c r="BC1661" t="s">
        <v>505</v>
      </c>
      <c r="BD1661" t="s">
        <v>607</v>
      </c>
    </row>
    <row r="1662" spans="1:56" x14ac:dyDescent="0.3">
      <c r="A1662">
        <v>30218</v>
      </c>
      <c r="B1662">
        <v>1</v>
      </c>
      <c r="C1662">
        <v>90</v>
      </c>
      <c r="D1662">
        <v>0</v>
      </c>
      <c r="E1662">
        <v>0</v>
      </c>
      <c r="F1662">
        <v>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3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809.9</v>
      </c>
      <c r="AE1662">
        <v>0</v>
      </c>
      <c r="AF1662">
        <v>1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1</v>
      </c>
      <c r="AO1662">
        <v>0</v>
      </c>
      <c r="AP1662">
        <v>1</v>
      </c>
      <c r="AQ1662">
        <v>0</v>
      </c>
      <c r="AR1662">
        <v>0</v>
      </c>
      <c r="AS1662">
        <v>0</v>
      </c>
      <c r="AT1662">
        <v>0</v>
      </c>
      <c r="AU1662">
        <v>11.200000000000001</v>
      </c>
      <c r="AV1662">
        <v>1</v>
      </c>
      <c r="AW1662">
        <v>809.9</v>
      </c>
      <c r="AY1662">
        <v>390</v>
      </c>
      <c r="AZ1662">
        <v>639</v>
      </c>
      <c r="BB1662">
        <v>270</v>
      </c>
      <c r="BC1662" t="s">
        <v>505</v>
      </c>
      <c r="BD1662" t="s">
        <v>607</v>
      </c>
    </row>
    <row r="1663" spans="1:56" x14ac:dyDescent="0.3">
      <c r="A1663">
        <v>30219</v>
      </c>
      <c r="B1663">
        <v>1</v>
      </c>
      <c r="C1663">
        <v>89</v>
      </c>
      <c r="D1663">
        <v>0</v>
      </c>
      <c r="E1663">
        <v>0</v>
      </c>
      <c r="F1663">
        <v>8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3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797.80000000000007</v>
      </c>
      <c r="AE1663">
        <v>0</v>
      </c>
      <c r="AF1663">
        <v>1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1</v>
      </c>
      <c r="AO1663">
        <v>0</v>
      </c>
      <c r="AP1663">
        <v>1</v>
      </c>
      <c r="AQ1663">
        <v>0</v>
      </c>
      <c r="AR1663">
        <v>0</v>
      </c>
      <c r="AS1663">
        <v>0</v>
      </c>
      <c r="AT1663">
        <v>0</v>
      </c>
      <c r="AU1663">
        <v>12.8</v>
      </c>
      <c r="AV1663">
        <v>1</v>
      </c>
      <c r="AW1663">
        <v>797.80000000000007</v>
      </c>
      <c r="AY1663">
        <v>439</v>
      </c>
      <c r="AZ1663">
        <v>620</v>
      </c>
      <c r="BB1663">
        <v>272</v>
      </c>
      <c r="BC1663" t="s">
        <v>505</v>
      </c>
      <c r="BD1663" t="s">
        <v>607</v>
      </c>
    </row>
    <row r="1664" spans="1:56" x14ac:dyDescent="0.3">
      <c r="A1664">
        <v>30220</v>
      </c>
      <c r="B1664">
        <v>1</v>
      </c>
      <c r="C1664">
        <v>88</v>
      </c>
      <c r="D1664">
        <v>0</v>
      </c>
      <c r="E1664">
        <v>0</v>
      </c>
      <c r="F1664">
        <v>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3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785.7</v>
      </c>
      <c r="AE1664">
        <v>0</v>
      </c>
      <c r="AF1664">
        <v>1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1</v>
      </c>
      <c r="AO1664">
        <v>0</v>
      </c>
      <c r="AP1664">
        <v>1</v>
      </c>
      <c r="AQ1664">
        <v>0</v>
      </c>
      <c r="AR1664">
        <v>0</v>
      </c>
      <c r="AS1664">
        <v>0</v>
      </c>
      <c r="AT1664">
        <v>0</v>
      </c>
      <c r="AU1664">
        <v>14.4</v>
      </c>
      <c r="AV1664">
        <v>1</v>
      </c>
      <c r="AW1664">
        <v>785.7</v>
      </c>
      <c r="AY1664">
        <v>420</v>
      </c>
      <c r="AZ1664">
        <v>622</v>
      </c>
      <c r="BB1664">
        <v>275</v>
      </c>
      <c r="BC1664" t="s">
        <v>505</v>
      </c>
      <c r="BD1664" t="s">
        <v>607</v>
      </c>
    </row>
    <row r="1665" spans="1:56" x14ac:dyDescent="0.3">
      <c r="A1665">
        <v>30221</v>
      </c>
      <c r="B1665">
        <v>1</v>
      </c>
      <c r="C1665">
        <v>90</v>
      </c>
      <c r="D1665">
        <v>0</v>
      </c>
      <c r="E1665">
        <v>0</v>
      </c>
      <c r="F1665">
        <v>3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7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779.2</v>
      </c>
      <c r="AE1665">
        <v>0</v>
      </c>
      <c r="AF1665">
        <v>1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1</v>
      </c>
      <c r="AO1665">
        <v>0</v>
      </c>
      <c r="AP1665">
        <v>1</v>
      </c>
      <c r="AQ1665">
        <v>0</v>
      </c>
      <c r="AR1665">
        <v>0</v>
      </c>
      <c r="AS1665">
        <v>1</v>
      </c>
      <c r="AT1665">
        <v>0</v>
      </c>
      <c r="AU1665">
        <v>11.8</v>
      </c>
      <c r="AV1665">
        <v>0</v>
      </c>
      <c r="AW1665">
        <v>779.2</v>
      </c>
      <c r="AY1665">
        <v>563</v>
      </c>
      <c r="AZ1665">
        <v>887</v>
      </c>
      <c r="BC1665" t="s">
        <v>250</v>
      </c>
      <c r="BD1665" t="s">
        <v>608</v>
      </c>
    </row>
    <row r="1666" spans="1:56" x14ac:dyDescent="0.3">
      <c r="A1666">
        <v>30222</v>
      </c>
      <c r="B1666">
        <v>1</v>
      </c>
      <c r="C1666">
        <v>90</v>
      </c>
      <c r="D1666">
        <v>0</v>
      </c>
      <c r="E1666">
        <v>0</v>
      </c>
      <c r="F1666">
        <v>3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7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779.2</v>
      </c>
      <c r="AE1666">
        <v>0</v>
      </c>
      <c r="AF1666">
        <v>0</v>
      </c>
      <c r="AG1666">
        <v>1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1</v>
      </c>
      <c r="AO1666">
        <v>0</v>
      </c>
      <c r="AP1666">
        <v>1</v>
      </c>
      <c r="AQ1666">
        <v>0</v>
      </c>
      <c r="AR1666">
        <v>0</v>
      </c>
      <c r="AS1666">
        <v>1</v>
      </c>
      <c r="AT1666">
        <v>0</v>
      </c>
      <c r="AU1666">
        <v>11.8</v>
      </c>
      <c r="AV1666">
        <v>0</v>
      </c>
      <c r="AW1666">
        <v>779.2</v>
      </c>
      <c r="AY1666">
        <v>961</v>
      </c>
      <c r="AZ1666">
        <v>961</v>
      </c>
      <c r="BC1666" t="s">
        <v>250</v>
      </c>
      <c r="BD1666" t="s">
        <v>608</v>
      </c>
    </row>
    <row r="1667" spans="1:56" x14ac:dyDescent="0.3">
      <c r="A1667">
        <v>30223</v>
      </c>
      <c r="B1667">
        <v>1</v>
      </c>
      <c r="C1667">
        <v>89</v>
      </c>
      <c r="D1667">
        <v>0</v>
      </c>
      <c r="E1667">
        <v>0</v>
      </c>
      <c r="F1667">
        <v>3</v>
      </c>
      <c r="G1667">
        <v>0</v>
      </c>
      <c r="H1667">
        <v>1</v>
      </c>
      <c r="I1667">
        <v>0</v>
      </c>
      <c r="J1667">
        <v>0</v>
      </c>
      <c r="K1667">
        <v>0</v>
      </c>
      <c r="L1667">
        <v>7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763.80000000000007</v>
      </c>
      <c r="AE1667">
        <v>0</v>
      </c>
      <c r="AF1667">
        <v>1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1</v>
      </c>
      <c r="AO1667">
        <v>0</v>
      </c>
      <c r="AP1667">
        <v>1</v>
      </c>
      <c r="AQ1667">
        <v>0</v>
      </c>
      <c r="AR1667">
        <v>0</v>
      </c>
      <c r="AS1667">
        <v>1</v>
      </c>
      <c r="AT1667">
        <v>0</v>
      </c>
      <c r="AU1667">
        <v>14.700000000000001</v>
      </c>
      <c r="AV1667">
        <v>0</v>
      </c>
      <c r="AW1667">
        <v>763.80000000000007</v>
      </c>
      <c r="AY1667">
        <v>648</v>
      </c>
      <c r="AZ1667">
        <v>924</v>
      </c>
      <c r="BC1667" t="s">
        <v>250</v>
      </c>
      <c r="BD1667" t="s">
        <v>608</v>
      </c>
    </row>
    <row r="1668" spans="1:56" x14ac:dyDescent="0.3">
      <c r="A1668">
        <v>30224</v>
      </c>
      <c r="B1668">
        <v>1</v>
      </c>
      <c r="C1668">
        <v>89</v>
      </c>
      <c r="D1668">
        <v>0</v>
      </c>
      <c r="E1668">
        <v>0</v>
      </c>
      <c r="F1668">
        <v>3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7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763.80000000000007</v>
      </c>
      <c r="AE1668">
        <v>0</v>
      </c>
      <c r="AF1668">
        <v>0</v>
      </c>
      <c r="AG1668">
        <v>1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1</v>
      </c>
      <c r="AO1668">
        <v>0</v>
      </c>
      <c r="AP1668">
        <v>1</v>
      </c>
      <c r="AQ1668">
        <v>0</v>
      </c>
      <c r="AR1668">
        <v>0</v>
      </c>
      <c r="AS1668">
        <v>1</v>
      </c>
      <c r="AT1668">
        <v>0</v>
      </c>
      <c r="AU1668">
        <v>14.700000000000001</v>
      </c>
      <c r="AV1668">
        <v>0</v>
      </c>
      <c r="AW1668">
        <v>763.80000000000007</v>
      </c>
      <c r="AY1668">
        <v>1210</v>
      </c>
      <c r="AZ1668">
        <v>1245</v>
      </c>
      <c r="BC1668" t="s">
        <v>250</v>
      </c>
      <c r="BD1668" t="s">
        <v>608</v>
      </c>
    </row>
    <row r="1669" spans="1:56" x14ac:dyDescent="0.3">
      <c r="A1669">
        <v>30225</v>
      </c>
      <c r="B1669">
        <v>1</v>
      </c>
      <c r="C1669">
        <v>57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8</v>
      </c>
      <c r="K1669">
        <v>34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811.4</v>
      </c>
      <c r="AE1669">
        <v>0</v>
      </c>
      <c r="AF1669">
        <v>1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1</v>
      </c>
      <c r="AO1669">
        <v>0</v>
      </c>
      <c r="AP1669">
        <v>1</v>
      </c>
      <c r="AQ1669">
        <v>0</v>
      </c>
      <c r="AR1669">
        <v>0</v>
      </c>
      <c r="AS1669">
        <v>0</v>
      </c>
      <c r="AT1669">
        <v>0</v>
      </c>
      <c r="AU1669">
        <v>12.420000000000002</v>
      </c>
      <c r="AV1669">
        <v>1.3333333333333333</v>
      </c>
      <c r="AW1669">
        <v>811.4</v>
      </c>
      <c r="AX1669">
        <v>49</v>
      </c>
      <c r="AY1669">
        <v>552</v>
      </c>
      <c r="AZ1669">
        <v>760</v>
      </c>
      <c r="BC1669" t="s">
        <v>506</v>
      </c>
      <c r="BD1669" t="s">
        <v>609</v>
      </c>
    </row>
    <row r="1670" spans="1:56" x14ac:dyDescent="0.3">
      <c r="A1670">
        <v>30226</v>
      </c>
      <c r="B1670">
        <v>1</v>
      </c>
      <c r="C1670">
        <v>88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12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768</v>
      </c>
      <c r="AE1670">
        <v>0</v>
      </c>
      <c r="AF1670">
        <v>1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1</v>
      </c>
      <c r="AO1670">
        <v>0</v>
      </c>
      <c r="AP1670">
        <v>1</v>
      </c>
      <c r="AQ1670">
        <v>0</v>
      </c>
      <c r="AR1670">
        <v>0</v>
      </c>
      <c r="AS1670">
        <v>1</v>
      </c>
      <c r="AT1670">
        <v>0</v>
      </c>
      <c r="AU1670">
        <v>12</v>
      </c>
      <c r="AV1670">
        <v>0</v>
      </c>
      <c r="AW1670">
        <v>768</v>
      </c>
      <c r="AX1670">
        <v>84</v>
      </c>
      <c r="AY1670">
        <v>480</v>
      </c>
      <c r="AZ1670">
        <v>974</v>
      </c>
      <c r="BC1670" t="s">
        <v>507</v>
      </c>
      <c r="BD1670" t="s">
        <v>610</v>
      </c>
    </row>
    <row r="1671" spans="1:56" x14ac:dyDescent="0.3">
      <c r="A1671">
        <v>30227</v>
      </c>
      <c r="B1671">
        <v>0</v>
      </c>
      <c r="C1671">
        <v>24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13</v>
      </c>
      <c r="K1671">
        <v>0</v>
      </c>
      <c r="L1671">
        <v>0</v>
      </c>
      <c r="M1671">
        <v>0</v>
      </c>
      <c r="N1671">
        <v>26</v>
      </c>
      <c r="O1671">
        <v>37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</v>
      </c>
      <c r="W1671">
        <v>0</v>
      </c>
      <c r="X1671">
        <v>0</v>
      </c>
      <c r="Y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1</v>
      </c>
      <c r="AO1671">
        <v>0</v>
      </c>
      <c r="AP1671">
        <v>1</v>
      </c>
      <c r="AQ1671">
        <v>0</v>
      </c>
      <c r="AR1671">
        <v>0</v>
      </c>
      <c r="AS1671">
        <v>1</v>
      </c>
      <c r="AT1671">
        <v>0</v>
      </c>
      <c r="AU1671">
        <v>8.14</v>
      </c>
      <c r="AV1671">
        <v>2.1666666666666665</v>
      </c>
      <c r="AW1671">
        <v>792.3</v>
      </c>
      <c r="AX1671">
        <v>79</v>
      </c>
      <c r="AY1671">
        <v>1001</v>
      </c>
      <c r="AZ1671">
        <v>1001</v>
      </c>
      <c r="BB1671">
        <v>381</v>
      </c>
      <c r="BC1671" t="s">
        <v>508</v>
      </c>
      <c r="BD1671" t="s">
        <v>611</v>
      </c>
    </row>
    <row r="1672" spans="1:56" x14ac:dyDescent="0.3">
      <c r="A1672">
        <v>30228</v>
      </c>
      <c r="B1672">
        <v>0</v>
      </c>
      <c r="C1672">
        <v>26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12</v>
      </c>
      <c r="K1672">
        <v>0</v>
      </c>
      <c r="L1672">
        <v>0</v>
      </c>
      <c r="M1672">
        <v>0</v>
      </c>
      <c r="N1672">
        <v>22</v>
      </c>
      <c r="O1672">
        <v>40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0</v>
      </c>
      <c r="X1672">
        <v>0</v>
      </c>
      <c r="Y1672">
        <v>0</v>
      </c>
      <c r="Z1672">
        <v>1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1</v>
      </c>
      <c r="AO1672">
        <v>0</v>
      </c>
      <c r="AP1672">
        <v>1</v>
      </c>
      <c r="AQ1672">
        <v>0</v>
      </c>
      <c r="AR1672">
        <v>0</v>
      </c>
      <c r="AS1672">
        <v>1</v>
      </c>
      <c r="AT1672">
        <v>0</v>
      </c>
      <c r="AU1672">
        <v>8.8000000000000007</v>
      </c>
      <c r="AV1672">
        <v>2</v>
      </c>
      <c r="AW1672">
        <v>799.2</v>
      </c>
      <c r="AX1672">
        <v>72</v>
      </c>
      <c r="AY1672">
        <v>1132</v>
      </c>
      <c r="AZ1672">
        <v>1160</v>
      </c>
      <c r="BB1672">
        <v>375</v>
      </c>
      <c r="BC1672" t="s">
        <v>508</v>
      </c>
      <c r="BD1672" t="s">
        <v>611</v>
      </c>
    </row>
    <row r="1673" spans="1:56" x14ac:dyDescent="0.3">
      <c r="A1673">
        <v>30229</v>
      </c>
      <c r="B1673">
        <v>0</v>
      </c>
      <c r="C1673">
        <v>27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10</v>
      </c>
      <c r="K1673">
        <v>0</v>
      </c>
      <c r="L1673">
        <v>0</v>
      </c>
      <c r="M1673">
        <v>0</v>
      </c>
      <c r="N1673">
        <v>18</v>
      </c>
      <c r="O1673">
        <v>45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1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1</v>
      </c>
      <c r="AO1673">
        <v>0</v>
      </c>
      <c r="AP1673">
        <v>1</v>
      </c>
      <c r="AQ1673">
        <v>0</v>
      </c>
      <c r="AR1673">
        <v>0</v>
      </c>
      <c r="AS1673">
        <v>1</v>
      </c>
      <c r="AT1673">
        <v>0</v>
      </c>
      <c r="AU1673">
        <v>9.9</v>
      </c>
      <c r="AV1673">
        <v>1.6666666666666667</v>
      </c>
      <c r="AW1673">
        <v>813</v>
      </c>
      <c r="AX1673">
        <v>77</v>
      </c>
      <c r="AY1673">
        <v>1114</v>
      </c>
      <c r="AZ1673">
        <v>1173</v>
      </c>
      <c r="BB1673">
        <v>360</v>
      </c>
      <c r="BC1673" t="s">
        <v>508</v>
      </c>
      <c r="BD1673" t="s">
        <v>611</v>
      </c>
    </row>
    <row r="1674" spans="1:56" x14ac:dyDescent="0.3">
      <c r="A1674">
        <v>30230</v>
      </c>
      <c r="B1674">
        <v>1</v>
      </c>
      <c r="C1674">
        <v>85</v>
      </c>
      <c r="D1674">
        <v>3</v>
      </c>
      <c r="E1674">
        <v>10</v>
      </c>
      <c r="F1674">
        <v>0</v>
      </c>
      <c r="G1674">
        <v>0</v>
      </c>
      <c r="H1674">
        <v>2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739.5</v>
      </c>
      <c r="AE1674">
        <v>0</v>
      </c>
      <c r="AF1674">
        <v>0</v>
      </c>
      <c r="AG1674">
        <v>1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1</v>
      </c>
      <c r="AO1674">
        <v>0</v>
      </c>
      <c r="AP1674">
        <v>1</v>
      </c>
      <c r="AQ1674">
        <v>1</v>
      </c>
      <c r="AR1674">
        <v>1</v>
      </c>
      <c r="AS1674">
        <v>0</v>
      </c>
      <c r="AT1674">
        <v>0</v>
      </c>
      <c r="AU1674">
        <v>9.5</v>
      </c>
      <c r="AV1674">
        <v>3</v>
      </c>
      <c r="AW1674">
        <v>739.5</v>
      </c>
      <c r="AY1674">
        <v>1050</v>
      </c>
      <c r="AZ1674">
        <v>1300</v>
      </c>
      <c r="BC1674" t="s">
        <v>509</v>
      </c>
      <c r="BD1674" t="s">
        <v>612</v>
      </c>
    </row>
    <row r="1675" spans="1:56" x14ac:dyDescent="0.3">
      <c r="A1675">
        <v>30231</v>
      </c>
      <c r="B1675">
        <v>0</v>
      </c>
      <c r="C1675">
        <v>85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9</v>
      </c>
      <c r="M1675">
        <v>0</v>
      </c>
      <c r="N1675">
        <v>0</v>
      </c>
      <c r="O1675">
        <v>0</v>
      </c>
      <c r="P1675">
        <v>6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796.5</v>
      </c>
      <c r="AE1675">
        <v>0</v>
      </c>
      <c r="AF1675">
        <v>1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1</v>
      </c>
      <c r="AO1675">
        <v>0</v>
      </c>
      <c r="AP1675">
        <v>1</v>
      </c>
      <c r="AQ1675">
        <v>0</v>
      </c>
      <c r="AR1675">
        <v>0</v>
      </c>
      <c r="AS1675">
        <v>1</v>
      </c>
      <c r="AT1675">
        <v>0</v>
      </c>
      <c r="AU1675">
        <v>11.64</v>
      </c>
      <c r="AV1675">
        <v>0</v>
      </c>
      <c r="AW1675">
        <v>796.5</v>
      </c>
      <c r="AY1675">
        <v>692</v>
      </c>
      <c r="AZ1675">
        <v>1115</v>
      </c>
      <c r="BC1675" t="s">
        <v>510</v>
      </c>
      <c r="BD1675" t="s">
        <v>613</v>
      </c>
    </row>
    <row r="1676" spans="1:56" x14ac:dyDescent="0.3">
      <c r="A1676">
        <v>30232</v>
      </c>
      <c r="B1676">
        <v>1</v>
      </c>
      <c r="C1676">
        <v>88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768</v>
      </c>
      <c r="AE1676">
        <v>0</v>
      </c>
      <c r="AF1676">
        <v>1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1</v>
      </c>
      <c r="AO1676">
        <v>0</v>
      </c>
      <c r="AP1676">
        <v>1</v>
      </c>
      <c r="AQ1676">
        <v>0</v>
      </c>
      <c r="AR1676">
        <v>0</v>
      </c>
      <c r="AS1676">
        <v>1</v>
      </c>
      <c r="AT1676">
        <v>0</v>
      </c>
      <c r="AU1676">
        <v>12</v>
      </c>
      <c r="AV1676">
        <v>0</v>
      </c>
      <c r="AW1676">
        <v>768</v>
      </c>
      <c r="AY1676">
        <v>400</v>
      </c>
      <c r="AZ1676">
        <v>550</v>
      </c>
      <c r="BC1676" t="s">
        <v>511</v>
      </c>
      <c r="BD1676" t="s">
        <v>614</v>
      </c>
    </row>
    <row r="1677" spans="1:56" x14ac:dyDescent="0.3">
      <c r="A1677">
        <v>30233</v>
      </c>
      <c r="B1677">
        <v>0</v>
      </c>
      <c r="C1677">
        <v>95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5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1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1</v>
      </c>
      <c r="AO1677">
        <v>1</v>
      </c>
      <c r="AP1677">
        <v>0</v>
      </c>
      <c r="AQ1677">
        <v>0</v>
      </c>
      <c r="AR1677">
        <v>0</v>
      </c>
      <c r="AS1677">
        <v>0</v>
      </c>
      <c r="AT1677">
        <v>1</v>
      </c>
      <c r="AU1677">
        <v>0</v>
      </c>
      <c r="AV1677">
        <v>0</v>
      </c>
      <c r="AW1677">
        <v>882</v>
      </c>
      <c r="AX1677">
        <v>115</v>
      </c>
      <c r="AY1677">
        <v>791</v>
      </c>
      <c r="AZ1677">
        <v>890</v>
      </c>
      <c r="BB1677">
        <v>318</v>
      </c>
      <c r="BC1677" t="s">
        <v>512</v>
      </c>
      <c r="BD1677" t="s">
        <v>615</v>
      </c>
    </row>
    <row r="1678" spans="1:56" x14ac:dyDescent="0.3">
      <c r="A1678">
        <v>30234</v>
      </c>
      <c r="B1678">
        <v>0</v>
      </c>
      <c r="C1678">
        <v>95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5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882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1</v>
      </c>
      <c r="AO1678">
        <v>1</v>
      </c>
      <c r="AP1678">
        <v>0</v>
      </c>
      <c r="AQ1678">
        <v>0</v>
      </c>
      <c r="AR1678">
        <v>0</v>
      </c>
      <c r="AS1678">
        <v>0</v>
      </c>
      <c r="AT1678">
        <v>1</v>
      </c>
      <c r="AU1678">
        <v>0</v>
      </c>
      <c r="AV1678">
        <v>0</v>
      </c>
      <c r="AW1678">
        <v>882</v>
      </c>
      <c r="AX1678">
        <v>120</v>
      </c>
      <c r="AY1678">
        <v>592</v>
      </c>
      <c r="AZ1678">
        <v>648</v>
      </c>
      <c r="BB1678">
        <v>239</v>
      </c>
      <c r="BC1678" t="s">
        <v>512</v>
      </c>
      <c r="BD1678" t="s">
        <v>615</v>
      </c>
    </row>
    <row r="1679" spans="1:56" x14ac:dyDescent="0.3">
      <c r="A1679">
        <v>30235</v>
      </c>
      <c r="B1679">
        <v>0</v>
      </c>
      <c r="C1679">
        <v>93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7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1</v>
      </c>
      <c r="W1679">
        <v>0</v>
      </c>
      <c r="X1679">
        <v>0</v>
      </c>
      <c r="Y1679">
        <v>0</v>
      </c>
      <c r="Z1679">
        <v>1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1</v>
      </c>
      <c r="AO1679">
        <v>1</v>
      </c>
      <c r="AP1679">
        <v>0</v>
      </c>
      <c r="AQ1679">
        <v>0</v>
      </c>
      <c r="AR1679">
        <v>0</v>
      </c>
      <c r="AS1679">
        <v>0</v>
      </c>
      <c r="AT1679">
        <v>1</v>
      </c>
      <c r="AU1679">
        <v>0</v>
      </c>
      <c r="AV1679">
        <v>0</v>
      </c>
      <c r="AW1679">
        <v>882</v>
      </c>
      <c r="AX1679">
        <v>118</v>
      </c>
      <c r="AY1679">
        <v>863</v>
      </c>
      <c r="AZ1679">
        <v>895</v>
      </c>
      <c r="BB1679">
        <v>333</v>
      </c>
      <c r="BC1679" t="s">
        <v>512</v>
      </c>
      <c r="BD1679" t="s">
        <v>615</v>
      </c>
    </row>
    <row r="1680" spans="1:56" x14ac:dyDescent="0.3">
      <c r="A1680">
        <v>30236</v>
      </c>
      <c r="B1680">
        <v>0</v>
      </c>
      <c r="C1680">
        <v>93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7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882</v>
      </c>
      <c r="AE1680">
        <v>0</v>
      </c>
      <c r="AF1680">
        <v>0</v>
      </c>
      <c r="AG1680">
        <v>0</v>
      </c>
      <c r="AH1680">
        <v>1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1</v>
      </c>
      <c r="AO1680">
        <v>1</v>
      </c>
      <c r="AP1680">
        <v>0</v>
      </c>
      <c r="AQ1680">
        <v>0</v>
      </c>
      <c r="AR1680">
        <v>0</v>
      </c>
      <c r="AS1680">
        <v>0</v>
      </c>
      <c r="AT1680">
        <v>1</v>
      </c>
      <c r="AU1680">
        <v>0</v>
      </c>
      <c r="AV1680">
        <v>0</v>
      </c>
      <c r="AW1680">
        <v>882</v>
      </c>
      <c r="AX1680">
        <v>112</v>
      </c>
      <c r="AY1680">
        <v>522</v>
      </c>
      <c r="AZ1680">
        <v>660</v>
      </c>
      <c r="BB1680">
        <v>224</v>
      </c>
      <c r="BC1680" t="s">
        <v>512</v>
      </c>
      <c r="BD1680" t="s">
        <v>615</v>
      </c>
    </row>
    <row r="1681" spans="1:56" x14ac:dyDescent="0.3">
      <c r="A1681">
        <v>30237</v>
      </c>
      <c r="B1681">
        <v>0</v>
      </c>
      <c r="C1681">
        <v>85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15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1</v>
      </c>
      <c r="W1681">
        <v>0</v>
      </c>
      <c r="X1681">
        <v>0</v>
      </c>
      <c r="Y1681">
        <v>0</v>
      </c>
      <c r="Z1681">
        <v>1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1</v>
      </c>
      <c r="AO1681">
        <v>1</v>
      </c>
      <c r="AP1681">
        <v>0</v>
      </c>
      <c r="AQ1681">
        <v>0</v>
      </c>
      <c r="AR1681">
        <v>0</v>
      </c>
      <c r="AS1681">
        <v>0</v>
      </c>
      <c r="AT1681">
        <v>1</v>
      </c>
      <c r="AU1681">
        <v>0</v>
      </c>
      <c r="AV1681">
        <v>0</v>
      </c>
      <c r="AW1681">
        <v>882</v>
      </c>
      <c r="AX1681">
        <v>120</v>
      </c>
      <c r="AY1681">
        <v>666</v>
      </c>
      <c r="AZ1681">
        <v>666</v>
      </c>
      <c r="BB1681">
        <v>382</v>
      </c>
      <c r="BC1681" t="s">
        <v>512</v>
      </c>
      <c r="BD1681" t="s">
        <v>615</v>
      </c>
    </row>
    <row r="1682" spans="1:56" x14ac:dyDescent="0.3">
      <c r="A1682">
        <v>30238</v>
      </c>
      <c r="B1682">
        <v>0</v>
      </c>
      <c r="C1682">
        <v>85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15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882</v>
      </c>
      <c r="AE1682">
        <v>0</v>
      </c>
      <c r="AF1682">
        <v>0</v>
      </c>
      <c r="AG1682">
        <v>0</v>
      </c>
      <c r="AH1682">
        <v>1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1</v>
      </c>
      <c r="AO1682">
        <v>1</v>
      </c>
      <c r="AP1682">
        <v>0</v>
      </c>
      <c r="AQ1682">
        <v>0</v>
      </c>
      <c r="AR1682">
        <v>0</v>
      </c>
      <c r="AS1682">
        <v>0</v>
      </c>
      <c r="AT1682">
        <v>1</v>
      </c>
      <c r="AU1682">
        <v>0</v>
      </c>
      <c r="AV1682">
        <v>0</v>
      </c>
      <c r="AW1682">
        <v>882</v>
      </c>
      <c r="AX1682">
        <v>121</v>
      </c>
      <c r="AY1682">
        <v>541</v>
      </c>
      <c r="AZ1682">
        <v>676</v>
      </c>
      <c r="BB1682">
        <v>224</v>
      </c>
      <c r="BC1682" t="s">
        <v>512</v>
      </c>
      <c r="BD1682" t="s">
        <v>615</v>
      </c>
    </row>
    <row r="1683" spans="1:56" x14ac:dyDescent="0.3">
      <c r="A1683">
        <v>30239</v>
      </c>
      <c r="B1683">
        <v>1</v>
      </c>
      <c r="C1683">
        <v>85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15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739.5</v>
      </c>
      <c r="AE1683">
        <v>0</v>
      </c>
      <c r="AF1683">
        <v>1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1</v>
      </c>
      <c r="AO1683">
        <v>0</v>
      </c>
      <c r="AP1683">
        <v>1</v>
      </c>
      <c r="AQ1683">
        <v>0</v>
      </c>
      <c r="AR1683">
        <v>0</v>
      </c>
      <c r="AS1683">
        <v>1</v>
      </c>
      <c r="AT1683">
        <v>0</v>
      </c>
      <c r="AU1683">
        <v>15</v>
      </c>
      <c r="AV1683">
        <v>0</v>
      </c>
      <c r="AW1683">
        <v>739.5</v>
      </c>
      <c r="AY1683">
        <v>439</v>
      </c>
      <c r="AZ1683">
        <v>714</v>
      </c>
      <c r="BC1683" t="s">
        <v>513</v>
      </c>
      <c r="BD1683" t="s">
        <v>616</v>
      </c>
    </row>
    <row r="1684" spans="1:56" x14ac:dyDescent="0.3">
      <c r="A1684">
        <v>30240</v>
      </c>
      <c r="B1684">
        <v>1</v>
      </c>
      <c r="C1684">
        <v>84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15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724.1</v>
      </c>
      <c r="AE1684">
        <v>0</v>
      </c>
      <c r="AF1684">
        <v>1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1</v>
      </c>
      <c r="AO1684">
        <v>0</v>
      </c>
      <c r="AP1684">
        <v>1</v>
      </c>
      <c r="AQ1684">
        <v>0</v>
      </c>
      <c r="AR1684">
        <v>0</v>
      </c>
      <c r="AS1684">
        <v>1</v>
      </c>
      <c r="AT1684">
        <v>0</v>
      </c>
      <c r="AU1684">
        <v>17.899999999999999</v>
      </c>
      <c r="AV1684">
        <v>0</v>
      </c>
      <c r="AW1684">
        <v>724.1</v>
      </c>
      <c r="AY1684">
        <v>837</v>
      </c>
      <c r="AZ1684">
        <v>837</v>
      </c>
      <c r="BC1684" t="s">
        <v>513</v>
      </c>
      <c r="BD1684" t="s">
        <v>616</v>
      </c>
    </row>
    <row r="1685" spans="1:56" x14ac:dyDescent="0.3">
      <c r="A1685">
        <v>30241</v>
      </c>
      <c r="B1685">
        <v>1</v>
      </c>
      <c r="C1685">
        <v>80</v>
      </c>
      <c r="D1685">
        <v>4</v>
      </c>
      <c r="E1685">
        <v>5</v>
      </c>
      <c r="F1685">
        <v>6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5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711.3</v>
      </c>
      <c r="AE1685">
        <v>0</v>
      </c>
      <c r="AF1685">
        <v>0</v>
      </c>
      <c r="AG1685">
        <v>1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1</v>
      </c>
      <c r="AO1685">
        <v>0</v>
      </c>
      <c r="AP1685">
        <v>1</v>
      </c>
      <c r="AQ1685">
        <v>0</v>
      </c>
      <c r="AR1685">
        <v>0</v>
      </c>
      <c r="AS1685">
        <v>0</v>
      </c>
      <c r="AT1685">
        <v>0</v>
      </c>
      <c r="AU1685">
        <v>13.950000000000003</v>
      </c>
      <c r="AV1685">
        <v>4</v>
      </c>
      <c r="AW1685">
        <v>711.3</v>
      </c>
      <c r="AY1685">
        <v>873</v>
      </c>
      <c r="AZ1685">
        <v>875</v>
      </c>
      <c r="BC1685" t="s">
        <v>514</v>
      </c>
      <c r="BD1685" t="s">
        <v>617</v>
      </c>
    </row>
    <row r="1686" spans="1:56" x14ac:dyDescent="0.3">
      <c r="A1686">
        <v>30242</v>
      </c>
      <c r="B1686">
        <v>1</v>
      </c>
      <c r="C1686">
        <v>52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5</v>
      </c>
      <c r="K1686">
        <v>30</v>
      </c>
      <c r="L1686">
        <v>0</v>
      </c>
      <c r="M1686">
        <v>0</v>
      </c>
      <c r="N1686">
        <v>0</v>
      </c>
      <c r="O1686">
        <v>13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847.5</v>
      </c>
      <c r="AE1686">
        <v>0</v>
      </c>
      <c r="AF1686">
        <v>1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1</v>
      </c>
      <c r="AO1686">
        <v>0</v>
      </c>
      <c r="AP1686">
        <v>1</v>
      </c>
      <c r="AQ1686">
        <v>0</v>
      </c>
      <c r="AR1686">
        <v>0</v>
      </c>
      <c r="AS1686">
        <v>0</v>
      </c>
      <c r="AT1686">
        <v>0</v>
      </c>
      <c r="AU1686">
        <v>11.26</v>
      </c>
      <c r="AV1686">
        <v>0.83333333333333337</v>
      </c>
      <c r="AW1686">
        <v>847.5</v>
      </c>
      <c r="AX1686">
        <v>61</v>
      </c>
      <c r="AY1686">
        <v>521</v>
      </c>
      <c r="AZ1686">
        <v>554</v>
      </c>
      <c r="BB1686">
        <v>175</v>
      </c>
      <c r="BC1686" t="s">
        <v>515</v>
      </c>
      <c r="BD1686" t="s">
        <v>618</v>
      </c>
    </row>
    <row r="1687" spans="1:56" x14ac:dyDescent="0.3">
      <c r="A1687">
        <v>30243</v>
      </c>
      <c r="B1687">
        <v>1</v>
      </c>
      <c r="C1687">
        <v>73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2</v>
      </c>
      <c r="K1687">
        <v>24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872.40000000000009</v>
      </c>
      <c r="AE1687">
        <v>0</v>
      </c>
      <c r="AF1687">
        <v>1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1</v>
      </c>
      <c r="AO1687">
        <v>0</v>
      </c>
      <c r="AP1687">
        <v>1</v>
      </c>
      <c r="AQ1687">
        <v>0</v>
      </c>
      <c r="AR1687">
        <v>1</v>
      </c>
      <c r="AS1687">
        <v>0</v>
      </c>
      <c r="AT1687">
        <v>0</v>
      </c>
      <c r="AU1687">
        <v>6.7200000000000006</v>
      </c>
      <c r="AV1687">
        <v>0.66666666666666663</v>
      </c>
      <c r="AW1687">
        <v>872.40000000000009</v>
      </c>
      <c r="AX1687">
        <v>75</v>
      </c>
      <c r="AY1687">
        <v>499</v>
      </c>
      <c r="AZ1687">
        <v>646</v>
      </c>
      <c r="BC1687" t="s">
        <v>516</v>
      </c>
      <c r="BD1687" t="s">
        <v>619</v>
      </c>
    </row>
    <row r="1688" spans="1:56" x14ac:dyDescent="0.3">
      <c r="A1688">
        <v>30244</v>
      </c>
      <c r="B1688">
        <v>1</v>
      </c>
      <c r="C1688">
        <v>68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</v>
      </c>
      <c r="K1688">
        <v>24</v>
      </c>
      <c r="L1688">
        <v>3</v>
      </c>
      <c r="M1688">
        <v>2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841.19999999999993</v>
      </c>
      <c r="AE1688">
        <v>0</v>
      </c>
      <c r="AF1688">
        <v>1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1</v>
      </c>
      <c r="AO1688">
        <v>0</v>
      </c>
      <c r="AP1688">
        <v>1</v>
      </c>
      <c r="AQ1688">
        <v>0</v>
      </c>
      <c r="AR1688">
        <v>0</v>
      </c>
      <c r="AS1688">
        <v>0</v>
      </c>
      <c r="AT1688">
        <v>0</v>
      </c>
      <c r="AU1688">
        <v>9.7200000000000006</v>
      </c>
      <c r="AV1688">
        <v>1.1666666666666665</v>
      </c>
      <c r="AW1688">
        <v>841.19999999999993</v>
      </c>
      <c r="AX1688">
        <v>72</v>
      </c>
      <c r="AY1688">
        <v>534</v>
      </c>
      <c r="AZ1688">
        <v>673</v>
      </c>
      <c r="BC1688" t="s">
        <v>516</v>
      </c>
      <c r="BD1688" t="s">
        <v>619</v>
      </c>
    </row>
    <row r="1689" spans="1:56" x14ac:dyDescent="0.3">
      <c r="A1689">
        <v>30245</v>
      </c>
      <c r="B1689">
        <v>1</v>
      </c>
      <c r="C1689">
        <v>65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</v>
      </c>
      <c r="K1689">
        <v>25</v>
      </c>
      <c r="L1689">
        <v>5</v>
      </c>
      <c r="M1689">
        <v>2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822.19999999999993</v>
      </c>
      <c r="AE1689">
        <v>0</v>
      </c>
      <c r="AF1689">
        <v>1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1</v>
      </c>
      <c r="AO1689">
        <v>0</v>
      </c>
      <c r="AP1689">
        <v>1</v>
      </c>
      <c r="AQ1689">
        <v>0</v>
      </c>
      <c r="AR1689">
        <v>0</v>
      </c>
      <c r="AS1689">
        <v>0</v>
      </c>
      <c r="AT1689">
        <v>0</v>
      </c>
      <c r="AU1689">
        <v>12</v>
      </c>
      <c r="AV1689">
        <v>1.1666666666666665</v>
      </c>
      <c r="AW1689">
        <v>822.19999999999993</v>
      </c>
      <c r="AX1689">
        <v>68</v>
      </c>
      <c r="AY1689">
        <v>491</v>
      </c>
      <c r="AZ1689">
        <v>618</v>
      </c>
      <c r="BC1689" t="s">
        <v>516</v>
      </c>
      <c r="BD1689" t="s">
        <v>619</v>
      </c>
    </row>
    <row r="1690" spans="1:56" x14ac:dyDescent="0.3">
      <c r="A1690">
        <v>30246</v>
      </c>
      <c r="B1690">
        <v>1</v>
      </c>
      <c r="C1690">
        <v>87</v>
      </c>
      <c r="D1690">
        <v>0</v>
      </c>
      <c r="E1690">
        <v>0</v>
      </c>
      <c r="F1690">
        <v>0</v>
      </c>
      <c r="G1690">
        <v>0</v>
      </c>
      <c r="H1690">
        <v>3</v>
      </c>
      <c r="I1690">
        <v>0</v>
      </c>
      <c r="J1690">
        <v>0</v>
      </c>
      <c r="K1690">
        <v>10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1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1</v>
      </c>
      <c r="AO1690">
        <v>0</v>
      </c>
      <c r="AP1690">
        <v>1</v>
      </c>
      <c r="AQ1690">
        <v>0</v>
      </c>
      <c r="AR1690">
        <v>0</v>
      </c>
      <c r="AS1690">
        <v>1</v>
      </c>
      <c r="AT1690">
        <v>0</v>
      </c>
      <c r="AU1690">
        <v>11.5</v>
      </c>
      <c r="AV1690">
        <v>0</v>
      </c>
      <c r="AW1690">
        <v>835.8</v>
      </c>
      <c r="AX1690">
        <v>77</v>
      </c>
      <c r="BB1690">
        <v>479</v>
      </c>
      <c r="BC1690" t="s">
        <v>517</v>
      </c>
      <c r="BD1690" t="s">
        <v>620</v>
      </c>
    </row>
    <row r="1691" spans="1:56" x14ac:dyDescent="0.3">
      <c r="A1691">
        <v>30247</v>
      </c>
      <c r="B1691">
        <v>1</v>
      </c>
      <c r="C1691">
        <v>82</v>
      </c>
      <c r="D1691">
        <v>0</v>
      </c>
      <c r="E1691">
        <v>0</v>
      </c>
      <c r="F1691">
        <v>0</v>
      </c>
      <c r="G1691">
        <v>0</v>
      </c>
      <c r="H1691">
        <v>3</v>
      </c>
      <c r="I1691">
        <v>0</v>
      </c>
      <c r="J1691">
        <v>0</v>
      </c>
      <c r="K1691">
        <v>15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1</v>
      </c>
      <c r="W1691">
        <v>0</v>
      </c>
      <c r="X1691">
        <v>0</v>
      </c>
      <c r="Y1691">
        <v>0</v>
      </c>
      <c r="Z1691">
        <v>1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1</v>
      </c>
      <c r="AO1691">
        <v>0</v>
      </c>
      <c r="AP1691">
        <v>1</v>
      </c>
      <c r="AQ1691">
        <v>0</v>
      </c>
      <c r="AR1691">
        <v>0</v>
      </c>
      <c r="AS1691">
        <v>1</v>
      </c>
      <c r="AT1691">
        <v>0</v>
      </c>
      <c r="AU1691">
        <v>12.899999999999999</v>
      </c>
      <c r="AV1691">
        <v>0</v>
      </c>
      <c r="AW1691">
        <v>835.8</v>
      </c>
      <c r="AX1691">
        <v>71</v>
      </c>
      <c r="BB1691">
        <v>411</v>
      </c>
      <c r="BC1691" t="s">
        <v>517</v>
      </c>
      <c r="BD1691" t="s">
        <v>620</v>
      </c>
    </row>
    <row r="1692" spans="1:56" x14ac:dyDescent="0.3">
      <c r="A1692">
        <v>30248</v>
      </c>
      <c r="B1692">
        <v>1</v>
      </c>
      <c r="C1692">
        <v>77</v>
      </c>
      <c r="D1692">
        <v>0</v>
      </c>
      <c r="E1692">
        <v>0</v>
      </c>
      <c r="F1692">
        <v>0</v>
      </c>
      <c r="G1692">
        <v>0</v>
      </c>
      <c r="H1692">
        <v>3</v>
      </c>
      <c r="I1692">
        <v>0</v>
      </c>
      <c r="J1692">
        <v>0</v>
      </c>
      <c r="K1692">
        <v>20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1</v>
      </c>
      <c r="W1692">
        <v>0</v>
      </c>
      <c r="X1692">
        <v>0</v>
      </c>
      <c r="Y1692">
        <v>0</v>
      </c>
      <c r="Z1692">
        <v>1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1</v>
      </c>
      <c r="AO1692">
        <v>0</v>
      </c>
      <c r="AP1692">
        <v>1</v>
      </c>
      <c r="AQ1692">
        <v>0</v>
      </c>
      <c r="AR1692">
        <v>0</v>
      </c>
      <c r="AS1692">
        <v>1</v>
      </c>
      <c r="AT1692">
        <v>0</v>
      </c>
      <c r="AU1692">
        <v>14.3</v>
      </c>
      <c r="AV1692">
        <v>0</v>
      </c>
      <c r="AW1692">
        <v>835.8</v>
      </c>
      <c r="AX1692">
        <v>67</v>
      </c>
      <c r="BB1692">
        <v>326</v>
      </c>
      <c r="BC1692" t="s">
        <v>517</v>
      </c>
      <c r="BD1692" t="s">
        <v>620</v>
      </c>
    </row>
    <row r="1693" spans="1:56" x14ac:dyDescent="0.3">
      <c r="A1693">
        <v>30249</v>
      </c>
      <c r="B1693">
        <v>1</v>
      </c>
      <c r="C1693">
        <v>72</v>
      </c>
      <c r="D1693">
        <v>0</v>
      </c>
      <c r="E1693">
        <v>0</v>
      </c>
      <c r="F1693">
        <v>0</v>
      </c>
      <c r="G1693">
        <v>0</v>
      </c>
      <c r="H1693">
        <v>3</v>
      </c>
      <c r="I1693">
        <v>0</v>
      </c>
      <c r="J1693">
        <v>0</v>
      </c>
      <c r="K1693">
        <v>25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1</v>
      </c>
      <c r="W1693">
        <v>0</v>
      </c>
      <c r="X1693">
        <v>0</v>
      </c>
      <c r="Y1693">
        <v>0</v>
      </c>
      <c r="Z1693">
        <v>1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1</v>
      </c>
      <c r="AO1693">
        <v>0</v>
      </c>
      <c r="AP1693">
        <v>1</v>
      </c>
      <c r="AQ1693">
        <v>0</v>
      </c>
      <c r="AR1693">
        <v>0</v>
      </c>
      <c r="AS1693">
        <v>1</v>
      </c>
      <c r="AT1693">
        <v>0</v>
      </c>
      <c r="AU1693">
        <v>15.7</v>
      </c>
      <c r="AV1693">
        <v>0</v>
      </c>
      <c r="AW1693">
        <v>835.8</v>
      </c>
      <c r="AX1693">
        <v>65</v>
      </c>
      <c r="BB1693">
        <v>289</v>
      </c>
      <c r="BC1693" t="s">
        <v>517</v>
      </c>
      <c r="BD1693" t="s">
        <v>620</v>
      </c>
    </row>
    <row r="1694" spans="1:56" x14ac:dyDescent="0.3">
      <c r="A1694">
        <v>30250</v>
      </c>
      <c r="B1694">
        <v>1</v>
      </c>
      <c r="C1694">
        <v>92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1</v>
      </c>
      <c r="W1694">
        <v>0</v>
      </c>
      <c r="X1694">
        <v>0</v>
      </c>
      <c r="Y1694">
        <v>0</v>
      </c>
      <c r="Z1694">
        <v>1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1</v>
      </c>
      <c r="AO1694">
        <v>0</v>
      </c>
      <c r="AP1694">
        <v>1</v>
      </c>
      <c r="AQ1694">
        <v>0</v>
      </c>
      <c r="AR1694">
        <v>0</v>
      </c>
      <c r="AS1694">
        <v>1</v>
      </c>
      <c r="AT1694">
        <v>0</v>
      </c>
      <c r="AU1694">
        <v>9.9</v>
      </c>
      <c r="AV1694">
        <v>0</v>
      </c>
      <c r="AW1694">
        <v>800.1</v>
      </c>
      <c r="AX1694">
        <v>111</v>
      </c>
      <c r="AZ1694">
        <v>1902</v>
      </c>
      <c r="BB1694">
        <v>435</v>
      </c>
      <c r="BC1694" t="s">
        <v>518</v>
      </c>
      <c r="BD1694" t="s">
        <v>621</v>
      </c>
    </row>
    <row r="1695" spans="1:56" x14ac:dyDescent="0.3">
      <c r="A1695">
        <v>30251</v>
      </c>
      <c r="B1695">
        <v>1</v>
      </c>
      <c r="C1695">
        <v>90</v>
      </c>
      <c r="D1695">
        <v>0</v>
      </c>
      <c r="E1695">
        <v>0</v>
      </c>
      <c r="F1695">
        <v>0</v>
      </c>
      <c r="G1695">
        <v>0</v>
      </c>
      <c r="H1695">
        <v>3</v>
      </c>
      <c r="I1695">
        <v>0</v>
      </c>
      <c r="J1695">
        <v>0</v>
      </c>
      <c r="K1695">
        <v>0</v>
      </c>
      <c r="L1695">
        <v>7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1</v>
      </c>
      <c r="W1695">
        <v>0</v>
      </c>
      <c r="X1695">
        <v>0</v>
      </c>
      <c r="Y1695">
        <v>0</v>
      </c>
      <c r="Z1695">
        <v>1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1</v>
      </c>
      <c r="AO1695">
        <v>0</v>
      </c>
      <c r="AP1695">
        <v>1</v>
      </c>
      <c r="AQ1695">
        <v>0</v>
      </c>
      <c r="AR1695">
        <v>0</v>
      </c>
      <c r="AS1695">
        <v>1</v>
      </c>
      <c r="AT1695">
        <v>0</v>
      </c>
      <c r="AU1695">
        <v>15.7</v>
      </c>
      <c r="AV1695">
        <v>0</v>
      </c>
      <c r="AW1695">
        <v>769.3</v>
      </c>
      <c r="AX1695">
        <v>85</v>
      </c>
      <c r="AZ1695">
        <v>2201</v>
      </c>
      <c r="BB1695">
        <v>382</v>
      </c>
      <c r="BC1695" t="s">
        <v>518</v>
      </c>
      <c r="BD1695" t="s">
        <v>621</v>
      </c>
    </row>
    <row r="1696" spans="1:56" x14ac:dyDescent="0.3">
      <c r="A1696">
        <v>30252</v>
      </c>
      <c r="B1696">
        <v>1</v>
      </c>
      <c r="C1696">
        <v>88</v>
      </c>
      <c r="D1696">
        <v>0</v>
      </c>
      <c r="E1696">
        <v>0</v>
      </c>
      <c r="F1696">
        <v>0</v>
      </c>
      <c r="G1696">
        <v>0</v>
      </c>
      <c r="H1696">
        <v>5</v>
      </c>
      <c r="I1696">
        <v>0</v>
      </c>
      <c r="J1696">
        <v>0</v>
      </c>
      <c r="K1696">
        <v>0</v>
      </c>
      <c r="L1696">
        <v>7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1</v>
      </c>
      <c r="W1696">
        <v>0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1</v>
      </c>
      <c r="AO1696">
        <v>0</v>
      </c>
      <c r="AP1696">
        <v>1</v>
      </c>
      <c r="AQ1696">
        <v>0</v>
      </c>
      <c r="AR1696">
        <v>0</v>
      </c>
      <c r="AS1696">
        <v>1</v>
      </c>
      <c r="AT1696">
        <v>0</v>
      </c>
      <c r="AU1696">
        <v>21.5</v>
      </c>
      <c r="AV1696">
        <v>0</v>
      </c>
      <c r="AW1696">
        <v>738.5</v>
      </c>
      <c r="AX1696">
        <v>89</v>
      </c>
      <c r="AZ1696">
        <v>1994</v>
      </c>
      <c r="BB1696">
        <v>347</v>
      </c>
      <c r="BC1696" t="s">
        <v>518</v>
      </c>
      <c r="BD1696" t="s">
        <v>621</v>
      </c>
    </row>
    <row r="1697" spans="1:56" x14ac:dyDescent="0.3">
      <c r="A1697">
        <v>30253</v>
      </c>
      <c r="B1697">
        <v>1</v>
      </c>
      <c r="C1697">
        <v>86</v>
      </c>
      <c r="D1697">
        <v>0</v>
      </c>
      <c r="E1697">
        <v>0</v>
      </c>
      <c r="F1697">
        <v>0</v>
      </c>
      <c r="G1697">
        <v>0</v>
      </c>
      <c r="H1697">
        <v>7</v>
      </c>
      <c r="I1697">
        <v>0</v>
      </c>
      <c r="J1697">
        <v>0</v>
      </c>
      <c r="K1697">
        <v>0</v>
      </c>
      <c r="L1697">
        <v>7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1</v>
      </c>
      <c r="W1697">
        <v>0</v>
      </c>
      <c r="X1697">
        <v>0</v>
      </c>
      <c r="Y1697">
        <v>0</v>
      </c>
      <c r="Z1697">
        <v>1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1</v>
      </c>
      <c r="AO1697">
        <v>0</v>
      </c>
      <c r="AP1697">
        <v>1</v>
      </c>
      <c r="AQ1697">
        <v>0</v>
      </c>
      <c r="AR1697">
        <v>0</v>
      </c>
      <c r="AS1697">
        <v>1</v>
      </c>
      <c r="AT1697">
        <v>0</v>
      </c>
      <c r="AU1697">
        <v>27.3</v>
      </c>
      <c r="AV1697">
        <v>0</v>
      </c>
      <c r="AW1697">
        <v>707.7</v>
      </c>
      <c r="AX1697">
        <v>98</v>
      </c>
      <c r="AZ1697">
        <v>1851</v>
      </c>
      <c r="BB1697">
        <v>367</v>
      </c>
      <c r="BC1697" t="s">
        <v>518</v>
      </c>
      <c r="BD1697" t="s">
        <v>621</v>
      </c>
    </row>
    <row r="1698" spans="1:56" x14ac:dyDescent="0.3">
      <c r="A1698">
        <v>30254</v>
      </c>
      <c r="B1698">
        <v>1</v>
      </c>
      <c r="C1698">
        <v>84</v>
      </c>
      <c r="D1698">
        <v>0</v>
      </c>
      <c r="E1698">
        <v>0</v>
      </c>
      <c r="F1698">
        <v>0</v>
      </c>
      <c r="G1698">
        <v>0</v>
      </c>
      <c r="H1698">
        <v>8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8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758.8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1</v>
      </c>
      <c r="AO1698">
        <v>0</v>
      </c>
      <c r="AP1698">
        <v>1</v>
      </c>
      <c r="AQ1698">
        <v>0</v>
      </c>
      <c r="AR1698">
        <v>0</v>
      </c>
      <c r="AS1698">
        <v>0</v>
      </c>
      <c r="AT1698">
        <v>0</v>
      </c>
      <c r="AU1698">
        <v>24.96</v>
      </c>
      <c r="AV1698">
        <v>0</v>
      </c>
      <c r="AW1698">
        <v>758.8</v>
      </c>
      <c r="AY1698">
        <v>914</v>
      </c>
      <c r="AZ1698">
        <v>1058</v>
      </c>
      <c r="BB1698">
        <v>327</v>
      </c>
      <c r="BC1698" t="s">
        <v>519</v>
      </c>
      <c r="BD1698" t="s">
        <v>622</v>
      </c>
    </row>
    <row r="1699" spans="1:56" x14ac:dyDescent="0.3">
      <c r="A1699">
        <v>30255</v>
      </c>
      <c r="B1699">
        <v>1</v>
      </c>
      <c r="C1699">
        <v>80</v>
      </c>
      <c r="D1699">
        <v>0</v>
      </c>
      <c r="E1699">
        <v>0</v>
      </c>
      <c r="F1699">
        <v>0</v>
      </c>
      <c r="G1699">
        <v>0</v>
      </c>
      <c r="H1699">
        <v>8</v>
      </c>
      <c r="I1699">
        <v>0</v>
      </c>
      <c r="J1699">
        <v>4</v>
      </c>
      <c r="K1699">
        <v>0</v>
      </c>
      <c r="L1699">
        <v>0</v>
      </c>
      <c r="M1699">
        <v>0</v>
      </c>
      <c r="N1699">
        <v>0</v>
      </c>
      <c r="O1699">
        <v>8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731.19999999999993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1</v>
      </c>
      <c r="AO1699">
        <v>0</v>
      </c>
      <c r="AP1699">
        <v>1</v>
      </c>
      <c r="AQ1699">
        <v>0</v>
      </c>
      <c r="AR1699">
        <v>0</v>
      </c>
      <c r="AS1699">
        <v>0</v>
      </c>
      <c r="AT1699">
        <v>0</v>
      </c>
      <c r="AU1699">
        <v>24.96</v>
      </c>
      <c r="AV1699">
        <v>0.66666666666666663</v>
      </c>
      <c r="AW1699">
        <v>731.19999999999993</v>
      </c>
      <c r="AY1699">
        <v>934</v>
      </c>
      <c r="AZ1699">
        <v>1054</v>
      </c>
      <c r="BB1699">
        <v>331</v>
      </c>
      <c r="BC1699" t="s">
        <v>519</v>
      </c>
      <c r="BD1699" t="s">
        <v>622</v>
      </c>
    </row>
    <row r="1700" spans="1:56" x14ac:dyDescent="0.3">
      <c r="A1700">
        <v>30256</v>
      </c>
      <c r="B1700">
        <v>1</v>
      </c>
      <c r="C1700">
        <v>76</v>
      </c>
      <c r="D1700">
        <v>0</v>
      </c>
      <c r="E1700">
        <v>0</v>
      </c>
      <c r="F1700">
        <v>0</v>
      </c>
      <c r="G1700">
        <v>0</v>
      </c>
      <c r="H1700">
        <v>10</v>
      </c>
      <c r="I1700">
        <v>0</v>
      </c>
      <c r="J1700">
        <v>4</v>
      </c>
      <c r="K1700">
        <v>0</v>
      </c>
      <c r="L1700">
        <v>0</v>
      </c>
      <c r="M1700">
        <v>0</v>
      </c>
      <c r="N1700">
        <v>0</v>
      </c>
      <c r="O1700">
        <v>10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700.4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1</v>
      </c>
      <c r="AO1700">
        <v>0</v>
      </c>
      <c r="AP1700">
        <v>1</v>
      </c>
      <c r="AQ1700">
        <v>0</v>
      </c>
      <c r="AR1700">
        <v>0</v>
      </c>
      <c r="AS1700">
        <v>0</v>
      </c>
      <c r="AT1700">
        <v>0</v>
      </c>
      <c r="AU1700">
        <v>31.2</v>
      </c>
      <c r="AV1700">
        <v>0.66666666666666663</v>
      </c>
      <c r="AW1700">
        <v>700.4</v>
      </c>
      <c r="AY1700">
        <v>966</v>
      </c>
      <c r="AZ1700">
        <v>1086</v>
      </c>
      <c r="BB1700">
        <v>338</v>
      </c>
      <c r="BC1700" t="s">
        <v>519</v>
      </c>
      <c r="BD1700" t="s">
        <v>622</v>
      </c>
    </row>
    <row r="1701" spans="1:56" x14ac:dyDescent="0.3">
      <c r="A1701">
        <v>30257</v>
      </c>
      <c r="B1701">
        <v>1</v>
      </c>
      <c r="C1701">
        <v>64.8</v>
      </c>
      <c r="D1701">
        <v>0</v>
      </c>
      <c r="E1701">
        <v>0</v>
      </c>
      <c r="F1701">
        <v>0</v>
      </c>
      <c r="G1701">
        <v>0</v>
      </c>
      <c r="H1701">
        <v>2</v>
      </c>
      <c r="I1701">
        <v>0</v>
      </c>
      <c r="J1701">
        <v>0</v>
      </c>
      <c r="K1701">
        <v>25</v>
      </c>
      <c r="L1701">
        <v>5</v>
      </c>
      <c r="M1701">
        <v>3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0.2</v>
      </c>
      <c r="U1701">
        <v>0</v>
      </c>
      <c r="V1701">
        <v>1</v>
      </c>
      <c r="W1701">
        <v>0</v>
      </c>
      <c r="X1701">
        <v>0</v>
      </c>
      <c r="Y1701">
        <v>0</v>
      </c>
      <c r="Z1701">
        <v>1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1</v>
      </c>
      <c r="AO1701">
        <v>1</v>
      </c>
      <c r="AP1701">
        <v>1</v>
      </c>
      <c r="AQ1701">
        <v>0</v>
      </c>
      <c r="AR1701">
        <v>0</v>
      </c>
      <c r="AS1701">
        <v>0</v>
      </c>
      <c r="AT1701">
        <v>0</v>
      </c>
      <c r="AU1701">
        <v>17.8</v>
      </c>
      <c r="AV1701">
        <v>1.02</v>
      </c>
      <c r="AW1701">
        <v>840.90000000000009</v>
      </c>
      <c r="AX1701">
        <v>72</v>
      </c>
      <c r="AZ1701">
        <v>621</v>
      </c>
      <c r="BC1701" t="s">
        <v>520</v>
      </c>
      <c r="BD1701" t="s">
        <v>623</v>
      </c>
    </row>
    <row r="1702" spans="1:56" x14ac:dyDescent="0.3">
      <c r="A1702">
        <v>30258</v>
      </c>
      <c r="B1702">
        <v>1</v>
      </c>
      <c r="C1702">
        <v>64.7</v>
      </c>
      <c r="D1702">
        <v>0</v>
      </c>
      <c r="E1702">
        <v>0</v>
      </c>
      <c r="F1702">
        <v>0</v>
      </c>
      <c r="G1702">
        <v>0</v>
      </c>
      <c r="H1702">
        <v>2</v>
      </c>
      <c r="I1702">
        <v>0</v>
      </c>
      <c r="J1702">
        <v>0</v>
      </c>
      <c r="K1702">
        <v>25</v>
      </c>
      <c r="L1702">
        <v>5</v>
      </c>
      <c r="M1702">
        <v>3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0.3</v>
      </c>
      <c r="U1702">
        <v>0</v>
      </c>
      <c r="V1702">
        <v>1</v>
      </c>
      <c r="W1702">
        <v>0</v>
      </c>
      <c r="X1702">
        <v>0</v>
      </c>
      <c r="Y1702">
        <v>0</v>
      </c>
      <c r="Z1702">
        <v>1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1</v>
      </c>
      <c r="AO1702">
        <v>1</v>
      </c>
      <c r="AP1702">
        <v>1</v>
      </c>
      <c r="AQ1702">
        <v>0</v>
      </c>
      <c r="AR1702">
        <v>0</v>
      </c>
      <c r="AS1702">
        <v>0</v>
      </c>
      <c r="AT1702">
        <v>0</v>
      </c>
      <c r="AU1702">
        <v>17.8</v>
      </c>
      <c r="AV1702">
        <v>1.03</v>
      </c>
      <c r="AW1702">
        <v>853.2</v>
      </c>
      <c r="AX1702">
        <v>75</v>
      </c>
      <c r="AZ1702">
        <v>682</v>
      </c>
      <c r="BC1702" t="s">
        <v>520</v>
      </c>
      <c r="BD1702" t="s">
        <v>623</v>
      </c>
    </row>
    <row r="1703" spans="1:56" x14ac:dyDescent="0.3">
      <c r="A1703">
        <v>30259</v>
      </c>
      <c r="B1703">
        <v>1</v>
      </c>
      <c r="C1703">
        <v>64.400000000000006</v>
      </c>
      <c r="D1703">
        <v>0</v>
      </c>
      <c r="E1703">
        <v>0</v>
      </c>
      <c r="F1703">
        <v>0</v>
      </c>
      <c r="G1703">
        <v>0</v>
      </c>
      <c r="H1703">
        <v>2</v>
      </c>
      <c r="I1703">
        <v>0</v>
      </c>
      <c r="J1703">
        <v>0</v>
      </c>
      <c r="K1703">
        <v>25</v>
      </c>
      <c r="L1703">
        <v>5</v>
      </c>
      <c r="M1703">
        <v>3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0.6</v>
      </c>
      <c r="U1703">
        <v>0</v>
      </c>
      <c r="V1703">
        <v>1</v>
      </c>
      <c r="W1703">
        <v>0</v>
      </c>
      <c r="X1703">
        <v>0</v>
      </c>
      <c r="Y1703">
        <v>0</v>
      </c>
      <c r="Z1703">
        <v>1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1</v>
      </c>
      <c r="AO1703">
        <v>1</v>
      </c>
      <c r="AP1703">
        <v>1</v>
      </c>
      <c r="AQ1703">
        <v>0</v>
      </c>
      <c r="AR1703">
        <v>0</v>
      </c>
      <c r="AS1703">
        <v>0</v>
      </c>
      <c r="AT1703">
        <v>0</v>
      </c>
      <c r="AU1703">
        <v>17.8</v>
      </c>
      <c r="AV1703">
        <v>1.06</v>
      </c>
      <c r="AW1703">
        <v>890.1</v>
      </c>
      <c r="AX1703">
        <v>74</v>
      </c>
      <c r="AZ1703">
        <v>610</v>
      </c>
      <c r="BC1703" t="s">
        <v>520</v>
      </c>
      <c r="BD1703" t="s">
        <v>623</v>
      </c>
    </row>
    <row r="1704" spans="1:56" x14ac:dyDescent="0.3">
      <c r="A1704">
        <v>30260</v>
      </c>
      <c r="B1704">
        <v>1</v>
      </c>
      <c r="C1704">
        <v>81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15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868.8</v>
      </c>
      <c r="AE1704">
        <v>0</v>
      </c>
      <c r="AF1704">
        <v>0</v>
      </c>
      <c r="AG1704">
        <v>1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1</v>
      </c>
      <c r="AO1704">
        <v>0</v>
      </c>
      <c r="AP1704">
        <v>1</v>
      </c>
      <c r="AQ1704">
        <v>0</v>
      </c>
      <c r="AR1704">
        <v>0</v>
      </c>
      <c r="AS1704">
        <v>0</v>
      </c>
      <c r="AT1704">
        <v>0</v>
      </c>
      <c r="AU1704">
        <v>12</v>
      </c>
      <c r="AV1704">
        <v>3.1</v>
      </c>
      <c r="AW1704">
        <v>868.8</v>
      </c>
      <c r="AY1704">
        <v>1203</v>
      </c>
      <c r="BB1704">
        <v>376</v>
      </c>
      <c r="BC1704" t="s">
        <v>521</v>
      </c>
      <c r="BD1704" t="s">
        <v>561</v>
      </c>
    </row>
    <row r="1705" spans="1:56" x14ac:dyDescent="0.3">
      <c r="A1705">
        <v>30261</v>
      </c>
      <c r="B1705">
        <v>1</v>
      </c>
      <c r="C1705">
        <v>63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6</v>
      </c>
      <c r="K1705">
        <v>29</v>
      </c>
      <c r="L1705">
        <v>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821.6</v>
      </c>
      <c r="AE1705">
        <v>0</v>
      </c>
      <c r="AF1705">
        <v>1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1</v>
      </c>
      <c r="AO1705">
        <v>0</v>
      </c>
      <c r="AP1705">
        <v>1</v>
      </c>
      <c r="AQ1705">
        <v>0</v>
      </c>
      <c r="AR1705">
        <v>1</v>
      </c>
      <c r="AS1705">
        <v>0</v>
      </c>
      <c r="AT1705">
        <v>0</v>
      </c>
      <c r="AU1705">
        <v>10.120000000000001</v>
      </c>
      <c r="AV1705">
        <v>1</v>
      </c>
      <c r="AW1705">
        <v>821.6</v>
      </c>
      <c r="AX1705">
        <v>79</v>
      </c>
      <c r="BB1705">
        <v>297</v>
      </c>
      <c r="BC1705" t="s">
        <v>522</v>
      </c>
      <c r="BD1705" t="s">
        <v>624</v>
      </c>
    </row>
    <row r="1706" spans="1:56" x14ac:dyDescent="0.3">
      <c r="A1706">
        <v>30262</v>
      </c>
      <c r="B1706">
        <v>1</v>
      </c>
      <c r="C1706">
        <v>85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3</v>
      </c>
      <c r="L1706">
        <v>12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768</v>
      </c>
      <c r="AE1706">
        <v>0</v>
      </c>
      <c r="AF1706">
        <v>1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1</v>
      </c>
      <c r="AO1706">
        <v>0</v>
      </c>
      <c r="AP1706">
        <v>1</v>
      </c>
      <c r="AQ1706">
        <v>0</v>
      </c>
      <c r="AR1706">
        <v>0</v>
      </c>
      <c r="AS1706">
        <v>0</v>
      </c>
      <c r="AT1706">
        <v>0</v>
      </c>
      <c r="AU1706">
        <v>12.84</v>
      </c>
      <c r="AV1706">
        <v>0</v>
      </c>
      <c r="AW1706">
        <v>768</v>
      </c>
      <c r="AX1706">
        <v>105</v>
      </c>
      <c r="AY1706">
        <v>449</v>
      </c>
      <c r="AZ1706">
        <v>747</v>
      </c>
      <c r="BC1706" t="s">
        <v>523</v>
      </c>
      <c r="BD1706" t="s">
        <v>625</v>
      </c>
    </row>
    <row r="1707" spans="1:56" x14ac:dyDescent="0.3">
      <c r="A1707">
        <v>30263</v>
      </c>
      <c r="B1707">
        <v>1</v>
      </c>
      <c r="C1707">
        <v>52.9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7</v>
      </c>
      <c r="K1707">
        <v>35</v>
      </c>
      <c r="L1707">
        <v>0</v>
      </c>
      <c r="M1707">
        <v>0</v>
      </c>
      <c r="N1707">
        <v>0</v>
      </c>
      <c r="O1707">
        <v>5</v>
      </c>
      <c r="P1707">
        <v>0</v>
      </c>
      <c r="Q1707">
        <v>0</v>
      </c>
      <c r="R1707">
        <v>0</v>
      </c>
      <c r="S1707">
        <v>0</v>
      </c>
      <c r="T1707">
        <v>0.1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846</v>
      </c>
      <c r="AE1707">
        <v>0</v>
      </c>
      <c r="AF1707">
        <v>1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1</v>
      </c>
      <c r="AO1707">
        <v>0</v>
      </c>
      <c r="AP1707">
        <v>1</v>
      </c>
      <c r="AQ1707">
        <v>0</v>
      </c>
      <c r="AR1707">
        <v>0</v>
      </c>
      <c r="AS1707">
        <v>0</v>
      </c>
      <c r="AT1707">
        <v>0</v>
      </c>
      <c r="AU1707">
        <v>10.9</v>
      </c>
      <c r="AV1707">
        <v>1.1766666666666667</v>
      </c>
      <c r="AW1707">
        <v>846</v>
      </c>
      <c r="AY1707">
        <v>530</v>
      </c>
      <c r="AZ1707">
        <v>590</v>
      </c>
      <c r="BC1707" t="s">
        <v>524</v>
      </c>
      <c r="BD1707" t="s">
        <v>626</v>
      </c>
    </row>
    <row r="1708" spans="1:56" x14ac:dyDescent="0.3">
      <c r="A1708">
        <v>30264</v>
      </c>
      <c r="B1708">
        <v>1</v>
      </c>
      <c r="C1708">
        <v>52.5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7</v>
      </c>
      <c r="K1708">
        <v>35</v>
      </c>
      <c r="L1708">
        <v>0</v>
      </c>
      <c r="M1708">
        <v>0</v>
      </c>
      <c r="N1708">
        <v>0</v>
      </c>
      <c r="O1708">
        <v>5</v>
      </c>
      <c r="P1708">
        <v>0</v>
      </c>
      <c r="Q1708">
        <v>0</v>
      </c>
      <c r="R1708">
        <v>0</v>
      </c>
      <c r="S1708">
        <v>0</v>
      </c>
      <c r="T1708">
        <v>0.5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895.2</v>
      </c>
      <c r="AE1708">
        <v>0</v>
      </c>
      <c r="AF1708">
        <v>1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1</v>
      </c>
      <c r="AO1708">
        <v>0</v>
      </c>
      <c r="AP1708">
        <v>1</v>
      </c>
      <c r="AQ1708">
        <v>0</v>
      </c>
      <c r="AR1708">
        <v>0</v>
      </c>
      <c r="AS1708">
        <v>0</v>
      </c>
      <c r="AT1708">
        <v>0</v>
      </c>
      <c r="AU1708">
        <v>10.9</v>
      </c>
      <c r="AV1708">
        <v>1.2166666666666668</v>
      </c>
      <c r="AW1708">
        <v>895.2</v>
      </c>
      <c r="AY1708">
        <v>937</v>
      </c>
      <c r="AZ1708">
        <v>1014</v>
      </c>
      <c r="BC1708" t="s">
        <v>524</v>
      </c>
      <c r="BD1708" t="s">
        <v>626</v>
      </c>
    </row>
    <row r="1709" spans="1:56" x14ac:dyDescent="0.3">
      <c r="A1709">
        <v>30265</v>
      </c>
      <c r="B1709">
        <v>1</v>
      </c>
      <c r="C1709">
        <v>52.3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7</v>
      </c>
      <c r="K1709">
        <v>35</v>
      </c>
      <c r="L1709">
        <v>0</v>
      </c>
      <c r="M1709">
        <v>0</v>
      </c>
      <c r="N1709">
        <v>0</v>
      </c>
      <c r="O1709">
        <v>5</v>
      </c>
      <c r="P1709">
        <v>0</v>
      </c>
      <c r="Q1709">
        <v>0</v>
      </c>
      <c r="R1709">
        <v>0</v>
      </c>
      <c r="S1709">
        <v>0</v>
      </c>
      <c r="T1709">
        <v>0.7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919.80000000000007</v>
      </c>
      <c r="AE1709">
        <v>0</v>
      </c>
      <c r="AF1709">
        <v>1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1</v>
      </c>
      <c r="AO1709">
        <v>0</v>
      </c>
      <c r="AP1709">
        <v>1</v>
      </c>
      <c r="AQ1709">
        <v>0</v>
      </c>
      <c r="AR1709">
        <v>0</v>
      </c>
      <c r="AS1709">
        <v>0</v>
      </c>
      <c r="AT1709">
        <v>0</v>
      </c>
      <c r="AU1709">
        <v>10.9</v>
      </c>
      <c r="AV1709">
        <v>1.2366666666666668</v>
      </c>
      <c r="AW1709">
        <v>919.80000000000007</v>
      </c>
      <c r="AY1709">
        <v>1081</v>
      </c>
      <c r="AZ1709">
        <v>1097</v>
      </c>
      <c r="BC1709" t="s">
        <v>524</v>
      </c>
      <c r="BD1709" t="s">
        <v>626</v>
      </c>
    </row>
    <row r="1710" spans="1:56" x14ac:dyDescent="0.3">
      <c r="A1710">
        <v>30266</v>
      </c>
      <c r="B1710">
        <v>1</v>
      </c>
      <c r="C1710">
        <v>65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30</v>
      </c>
      <c r="K1710">
        <v>0</v>
      </c>
      <c r="L1710">
        <v>5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627.5</v>
      </c>
      <c r="AE1710">
        <v>0</v>
      </c>
      <c r="AF1710">
        <v>1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1</v>
      </c>
      <c r="AO1710">
        <v>0</v>
      </c>
      <c r="AP1710">
        <v>1</v>
      </c>
      <c r="AQ1710">
        <v>0</v>
      </c>
      <c r="AR1710">
        <v>0</v>
      </c>
      <c r="AS1710">
        <v>0</v>
      </c>
      <c r="AT1710">
        <v>0</v>
      </c>
      <c r="AU1710">
        <v>5</v>
      </c>
      <c r="AV1710">
        <v>5</v>
      </c>
      <c r="AW1710">
        <v>627.5</v>
      </c>
      <c r="AX1710">
        <v>75</v>
      </c>
      <c r="AY1710">
        <v>383</v>
      </c>
      <c r="AZ1710">
        <v>762</v>
      </c>
      <c r="BC1710" t="s">
        <v>301</v>
      </c>
      <c r="BD1710" t="s">
        <v>627</v>
      </c>
    </row>
    <row r="1711" spans="1:56" x14ac:dyDescent="0.3">
      <c r="A1711">
        <v>30267</v>
      </c>
      <c r="B1711">
        <v>1</v>
      </c>
      <c r="C1711">
        <v>64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30</v>
      </c>
      <c r="K1711">
        <v>0</v>
      </c>
      <c r="L1711">
        <v>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618</v>
      </c>
      <c r="AE1711">
        <v>0</v>
      </c>
      <c r="AF1711">
        <v>1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1</v>
      </c>
      <c r="AO1711">
        <v>0</v>
      </c>
      <c r="AP1711">
        <v>1</v>
      </c>
      <c r="AQ1711">
        <v>0</v>
      </c>
      <c r="AR1711">
        <v>0</v>
      </c>
      <c r="AS1711">
        <v>0</v>
      </c>
      <c r="AT1711">
        <v>0</v>
      </c>
      <c r="AU1711">
        <v>6</v>
      </c>
      <c r="AV1711">
        <v>5</v>
      </c>
      <c r="AW1711">
        <v>618</v>
      </c>
      <c r="AX1711">
        <v>63</v>
      </c>
      <c r="AY1711">
        <v>459</v>
      </c>
      <c r="AZ1711">
        <v>723</v>
      </c>
      <c r="BC1711" t="s">
        <v>301</v>
      </c>
      <c r="BD1711" t="s">
        <v>627</v>
      </c>
    </row>
    <row r="1712" spans="1:56" x14ac:dyDescent="0.3">
      <c r="A1712">
        <v>30268</v>
      </c>
      <c r="B1712">
        <v>1</v>
      </c>
      <c r="C1712">
        <v>63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30</v>
      </c>
      <c r="K1712">
        <v>0</v>
      </c>
      <c r="L1712">
        <v>7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608.5</v>
      </c>
      <c r="AE1712">
        <v>0</v>
      </c>
      <c r="AF1712">
        <v>1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1</v>
      </c>
      <c r="AO1712">
        <v>0</v>
      </c>
      <c r="AP1712">
        <v>1</v>
      </c>
      <c r="AQ1712">
        <v>0</v>
      </c>
      <c r="AR1712">
        <v>0</v>
      </c>
      <c r="AS1712">
        <v>0</v>
      </c>
      <c r="AT1712">
        <v>0</v>
      </c>
      <c r="AU1712">
        <v>7</v>
      </c>
      <c r="AV1712">
        <v>5</v>
      </c>
      <c r="AW1712">
        <v>608.5</v>
      </c>
      <c r="AX1712">
        <v>66</v>
      </c>
      <c r="AY1712">
        <v>674</v>
      </c>
      <c r="AZ1712">
        <v>784</v>
      </c>
      <c r="BC1712" t="s">
        <v>301</v>
      </c>
      <c r="BD1712" t="s">
        <v>627</v>
      </c>
    </row>
    <row r="1713" spans="1:56" x14ac:dyDescent="0.3">
      <c r="A1713">
        <v>30269</v>
      </c>
      <c r="B1713">
        <v>1</v>
      </c>
      <c r="C1713">
        <v>59.454900000000002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40.545099999999998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0</v>
      </c>
      <c r="X1713">
        <v>0</v>
      </c>
      <c r="Y1713">
        <v>0</v>
      </c>
      <c r="Z1713">
        <v>1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1</v>
      </c>
      <c r="AO1713">
        <v>0</v>
      </c>
      <c r="AP1713">
        <v>1</v>
      </c>
      <c r="AQ1713">
        <v>0</v>
      </c>
      <c r="AR1713">
        <v>1</v>
      </c>
      <c r="AS1713">
        <v>0</v>
      </c>
      <c r="AT1713">
        <v>0</v>
      </c>
      <c r="AU1713">
        <v>11.352624377889663</v>
      </c>
      <c r="AV1713">
        <v>0</v>
      </c>
      <c r="AW1713">
        <v>882</v>
      </c>
      <c r="AX1713">
        <v>75</v>
      </c>
      <c r="AY1713">
        <v>447</v>
      </c>
      <c r="BB1713">
        <v>227</v>
      </c>
      <c r="BC1713" t="s">
        <v>525</v>
      </c>
      <c r="BD1713" t="s">
        <v>628</v>
      </c>
    </row>
    <row r="1714" spans="1:56" x14ac:dyDescent="0.3">
      <c r="A1714">
        <v>30270</v>
      </c>
      <c r="B1714">
        <v>1</v>
      </c>
      <c r="C1714">
        <v>56.929099999999998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39.901000000000003</v>
      </c>
      <c r="L1714">
        <v>3.1699000000000002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0</v>
      </c>
      <c r="X1714">
        <v>0</v>
      </c>
      <c r="Y1714">
        <v>0</v>
      </c>
      <c r="Z1714">
        <v>1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1</v>
      </c>
      <c r="AO1714">
        <v>0</v>
      </c>
      <c r="AP1714">
        <v>1</v>
      </c>
      <c r="AQ1714">
        <v>0</v>
      </c>
      <c r="AR1714">
        <v>0</v>
      </c>
      <c r="AS1714">
        <v>0</v>
      </c>
      <c r="AT1714">
        <v>0</v>
      </c>
      <c r="AU1714">
        <v>14.342152046147781</v>
      </c>
      <c r="AV1714">
        <v>0</v>
      </c>
      <c r="AW1714">
        <v>851.88629097831506</v>
      </c>
      <c r="AX1714">
        <v>67</v>
      </c>
      <c r="AY1714">
        <v>535</v>
      </c>
      <c r="BB1714">
        <v>189</v>
      </c>
      <c r="BC1714" t="s">
        <v>525</v>
      </c>
      <c r="BD1714" t="s">
        <v>628</v>
      </c>
    </row>
    <row r="1715" spans="1:56" x14ac:dyDescent="0.3">
      <c r="A1715">
        <v>30271</v>
      </c>
      <c r="B1715">
        <v>1</v>
      </c>
      <c r="C1715">
        <v>54.482300000000002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39.277099999999997</v>
      </c>
      <c r="L1715">
        <v>6.2405999999999997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1</v>
      </c>
      <c r="W1715">
        <v>0</v>
      </c>
      <c r="X1715">
        <v>0</v>
      </c>
      <c r="Y1715">
        <v>0</v>
      </c>
      <c r="Z1715">
        <v>1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1</v>
      </c>
      <c r="AO1715">
        <v>0</v>
      </c>
      <c r="AP1715">
        <v>1</v>
      </c>
      <c r="AQ1715">
        <v>0</v>
      </c>
      <c r="AR1715">
        <v>0</v>
      </c>
      <c r="AS1715">
        <v>0</v>
      </c>
      <c r="AT1715">
        <v>0</v>
      </c>
      <c r="AU1715">
        <v>17.238187542986623</v>
      </c>
      <c r="AV1715">
        <v>0</v>
      </c>
      <c r="AW1715">
        <v>822.71433475451124</v>
      </c>
      <c r="AX1715">
        <v>64</v>
      </c>
      <c r="AY1715">
        <v>621</v>
      </c>
      <c r="BB1715">
        <v>211</v>
      </c>
      <c r="BC1715" t="s">
        <v>525</v>
      </c>
      <c r="BD1715" t="s">
        <v>628</v>
      </c>
    </row>
    <row r="1716" spans="1:56" x14ac:dyDescent="0.3">
      <c r="A1716">
        <v>30272</v>
      </c>
      <c r="B1716">
        <v>1</v>
      </c>
      <c r="C1716">
        <v>52.110799999999998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38.672400000000003</v>
      </c>
      <c r="L1716">
        <v>9.2167999999999992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1</v>
      </c>
      <c r="W1716">
        <v>0</v>
      </c>
      <c r="X1716">
        <v>0</v>
      </c>
      <c r="Y1716">
        <v>0</v>
      </c>
      <c r="Z1716">
        <v>1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1</v>
      </c>
      <c r="AO1716">
        <v>0</v>
      </c>
      <c r="AP1716">
        <v>1</v>
      </c>
      <c r="AQ1716">
        <v>0</v>
      </c>
      <c r="AR1716">
        <v>0</v>
      </c>
      <c r="AS1716">
        <v>0</v>
      </c>
      <c r="AT1716">
        <v>0</v>
      </c>
      <c r="AU1716">
        <v>20.045049049254644</v>
      </c>
      <c r="AV1716">
        <v>0</v>
      </c>
      <c r="AW1716">
        <v>794.44063400860944</v>
      </c>
      <c r="AX1716">
        <v>56</v>
      </c>
      <c r="AY1716">
        <v>634</v>
      </c>
      <c r="BB1716">
        <v>218</v>
      </c>
      <c r="BC1716" t="s">
        <v>525</v>
      </c>
      <c r="BD1716" t="s">
        <v>628</v>
      </c>
    </row>
    <row r="1717" spans="1:56" x14ac:dyDescent="0.3">
      <c r="A1717">
        <v>30273</v>
      </c>
      <c r="B1717">
        <v>1</v>
      </c>
      <c r="C1717">
        <v>49.811300000000003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38.085999999999999</v>
      </c>
      <c r="L1717">
        <v>12.1027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1</v>
      </c>
      <c r="W1717">
        <v>0</v>
      </c>
      <c r="X1717">
        <v>0</v>
      </c>
      <c r="Y1717">
        <v>0</v>
      </c>
      <c r="Z1717">
        <v>1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1</v>
      </c>
      <c r="AO1717">
        <v>0</v>
      </c>
      <c r="AP1717">
        <v>1</v>
      </c>
      <c r="AQ1717">
        <v>0</v>
      </c>
      <c r="AR1717">
        <v>0</v>
      </c>
      <c r="AS1717">
        <v>0</v>
      </c>
      <c r="AT1717">
        <v>0</v>
      </c>
      <c r="AU1717">
        <v>22.766792849266956</v>
      </c>
      <c r="AV1717">
        <v>0</v>
      </c>
      <c r="AW1717">
        <v>767.02432952165282</v>
      </c>
      <c r="AX1717">
        <v>55</v>
      </c>
      <c r="AY1717">
        <v>663</v>
      </c>
      <c r="BB1717">
        <v>242</v>
      </c>
      <c r="BC1717" t="s">
        <v>525</v>
      </c>
      <c r="BD1717" t="s">
        <v>628</v>
      </c>
    </row>
    <row r="1718" spans="1:56" x14ac:dyDescent="0.3">
      <c r="A1718">
        <v>30274</v>
      </c>
      <c r="B1718">
        <v>1</v>
      </c>
      <c r="C1718">
        <v>22.3386</v>
      </c>
      <c r="D1718">
        <v>13.344200000000001</v>
      </c>
      <c r="E1718">
        <v>23.205100000000002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41.112000000000002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636.20223915442921</v>
      </c>
      <c r="AE1718">
        <v>0</v>
      </c>
      <c r="AF1718">
        <v>0</v>
      </c>
      <c r="AG1718">
        <v>0</v>
      </c>
      <c r="AH1718">
        <v>1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1</v>
      </c>
      <c r="AO1718">
        <v>0</v>
      </c>
      <c r="AP1718">
        <v>1</v>
      </c>
      <c r="AQ1718">
        <v>0</v>
      </c>
      <c r="AR1718">
        <v>0</v>
      </c>
      <c r="AS1718">
        <v>0</v>
      </c>
      <c r="AT1718">
        <v>0</v>
      </c>
      <c r="AU1718">
        <v>13.714552191282458</v>
      </c>
      <c r="AV1718">
        <v>13.344249668401837</v>
      </c>
      <c r="AW1718">
        <v>636.20223915442921</v>
      </c>
      <c r="AY1718">
        <v>1020</v>
      </c>
      <c r="AZ1718">
        <v>1318</v>
      </c>
      <c r="BB1718">
        <v>448</v>
      </c>
      <c r="BC1718" t="s">
        <v>526</v>
      </c>
      <c r="BD1718" t="s">
        <v>629</v>
      </c>
    </row>
    <row r="1719" spans="1:56" x14ac:dyDescent="0.3">
      <c r="A1719">
        <v>30275</v>
      </c>
      <c r="B1719">
        <v>0</v>
      </c>
      <c r="C1719">
        <v>11.661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22.223299999999998</v>
      </c>
      <c r="K1719">
        <v>22.633199999999999</v>
      </c>
      <c r="L1719">
        <v>0</v>
      </c>
      <c r="M1719">
        <v>0</v>
      </c>
      <c r="N1719">
        <v>43.482500000000002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728.65892692216914</v>
      </c>
      <c r="AE1719">
        <v>0</v>
      </c>
      <c r="AF1719">
        <v>0</v>
      </c>
      <c r="AG1719">
        <v>0</v>
      </c>
      <c r="AH1719">
        <v>1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1</v>
      </c>
      <c r="AO1719">
        <v>0</v>
      </c>
      <c r="AP1719">
        <v>1</v>
      </c>
      <c r="AQ1719">
        <v>0</v>
      </c>
      <c r="AR1719">
        <v>0</v>
      </c>
      <c r="AS1719">
        <v>0</v>
      </c>
      <c r="AT1719">
        <v>0</v>
      </c>
      <c r="AU1719">
        <v>6.3372873332396571</v>
      </c>
      <c r="AV1719">
        <v>3.7038906540538847</v>
      </c>
      <c r="AW1719">
        <v>728.65892692216914</v>
      </c>
      <c r="AY1719">
        <v>879</v>
      </c>
      <c r="AZ1719">
        <v>969</v>
      </c>
      <c r="BC1719" t="s">
        <v>527</v>
      </c>
      <c r="BD1719" t="s">
        <v>630</v>
      </c>
    </row>
    <row r="1720" spans="1:56" x14ac:dyDescent="0.3">
      <c r="A1720">
        <v>30276</v>
      </c>
      <c r="B1720">
        <v>0</v>
      </c>
      <c r="C1720">
        <v>7.9566999999999997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16.3415</v>
      </c>
      <c r="K1720">
        <v>14.8398</v>
      </c>
      <c r="L1720">
        <v>0</v>
      </c>
      <c r="M1720">
        <v>0</v>
      </c>
      <c r="N1720">
        <v>30.814299999999999</v>
      </c>
      <c r="O1720">
        <v>30.047699999999999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769.24372953318675</v>
      </c>
      <c r="AE1720">
        <v>0</v>
      </c>
      <c r="AF1720">
        <v>0</v>
      </c>
      <c r="AG1720">
        <v>0</v>
      </c>
      <c r="AH1720">
        <v>1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1</v>
      </c>
      <c r="AO1720">
        <v>0</v>
      </c>
      <c r="AP1720">
        <v>1</v>
      </c>
      <c r="AQ1720">
        <v>0</v>
      </c>
      <c r="AR1720">
        <v>0</v>
      </c>
      <c r="AS1720">
        <v>0</v>
      </c>
      <c r="AT1720">
        <v>0</v>
      </c>
      <c r="AU1720">
        <v>10.765637323593298</v>
      </c>
      <c r="AV1720">
        <v>2.7235814122418667</v>
      </c>
      <c r="AW1720">
        <v>769.24372953318675</v>
      </c>
      <c r="AY1720">
        <v>929</v>
      </c>
      <c r="BB1720">
        <v>390</v>
      </c>
      <c r="BC1720" t="s">
        <v>528</v>
      </c>
      <c r="BD1720" t="s">
        <v>631</v>
      </c>
    </row>
    <row r="1721" spans="1:56" x14ac:dyDescent="0.3">
      <c r="A1721">
        <v>30277</v>
      </c>
      <c r="B1721">
        <v>1</v>
      </c>
      <c r="C1721">
        <v>77.419499999999999</v>
      </c>
      <c r="D1721">
        <v>0</v>
      </c>
      <c r="E1721">
        <v>0</v>
      </c>
      <c r="F1721">
        <v>0</v>
      </c>
      <c r="G1721">
        <v>0</v>
      </c>
      <c r="H1721">
        <v>22.580500000000001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1</v>
      </c>
      <c r="W1721">
        <v>0</v>
      </c>
      <c r="X1721">
        <v>0</v>
      </c>
      <c r="Y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1</v>
      </c>
      <c r="AO1721">
        <v>1</v>
      </c>
      <c r="AP1721">
        <v>1</v>
      </c>
      <c r="AQ1721">
        <v>0</v>
      </c>
      <c r="AR1721">
        <v>0</v>
      </c>
      <c r="AS1721">
        <v>0</v>
      </c>
      <c r="AT1721">
        <v>0</v>
      </c>
      <c r="AU1721">
        <v>65.48356835986857</v>
      </c>
      <c r="AV1721">
        <v>0</v>
      </c>
      <c r="AW1721">
        <v>534.25967146828407</v>
      </c>
      <c r="AY1721">
        <v>1389</v>
      </c>
      <c r="AZ1721">
        <v>1566</v>
      </c>
      <c r="BB1721">
        <v>484</v>
      </c>
      <c r="BC1721" t="s">
        <v>529</v>
      </c>
      <c r="BD1721" t="s">
        <v>632</v>
      </c>
    </row>
    <row r="1722" spans="1:56" x14ac:dyDescent="0.3">
      <c r="A1722">
        <v>30278</v>
      </c>
      <c r="B1722">
        <v>1</v>
      </c>
      <c r="C1722">
        <v>75.372200000000007</v>
      </c>
      <c r="D1722">
        <v>0</v>
      </c>
      <c r="E1722">
        <v>0</v>
      </c>
      <c r="F1722">
        <v>0</v>
      </c>
      <c r="G1722">
        <v>0</v>
      </c>
      <c r="H1722">
        <v>22.261700000000001</v>
      </c>
      <c r="I1722">
        <v>0</v>
      </c>
      <c r="J1722">
        <v>0</v>
      </c>
      <c r="K1722">
        <v>0</v>
      </c>
      <c r="L1722">
        <v>0</v>
      </c>
      <c r="M1722">
        <v>2.3660999999999999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1</v>
      </c>
      <c r="W1722">
        <v>0</v>
      </c>
      <c r="X1722">
        <v>0</v>
      </c>
      <c r="Y1722">
        <v>0</v>
      </c>
      <c r="Z1722">
        <v>1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1</v>
      </c>
      <c r="AO1722">
        <v>1</v>
      </c>
      <c r="AP1722">
        <v>1</v>
      </c>
      <c r="AQ1722">
        <v>0</v>
      </c>
      <c r="AR1722">
        <v>0</v>
      </c>
      <c r="AS1722">
        <v>0</v>
      </c>
      <c r="AT1722">
        <v>0</v>
      </c>
      <c r="AU1722">
        <v>64.558918879917101</v>
      </c>
      <c r="AV1722">
        <v>0.78870373740331301</v>
      </c>
      <c r="AW1722">
        <v>549.10754614275629</v>
      </c>
      <c r="AY1722">
        <v>1531</v>
      </c>
      <c r="AZ1722">
        <v>1679</v>
      </c>
      <c r="BB1722">
        <v>495</v>
      </c>
      <c r="BC1722" t="s">
        <v>529</v>
      </c>
      <c r="BD1722" t="s">
        <v>632</v>
      </c>
    </row>
    <row r="1723" spans="1:56" x14ac:dyDescent="0.3">
      <c r="A1723">
        <v>30279</v>
      </c>
      <c r="B1723">
        <v>1</v>
      </c>
      <c r="C1723">
        <v>71.446299999999994</v>
      </c>
      <c r="D1723">
        <v>0</v>
      </c>
      <c r="E1723">
        <v>0</v>
      </c>
      <c r="F1723">
        <v>0</v>
      </c>
      <c r="G1723">
        <v>0</v>
      </c>
      <c r="H1723">
        <v>21.650300000000001</v>
      </c>
      <c r="I1723">
        <v>0</v>
      </c>
      <c r="J1723">
        <v>0</v>
      </c>
      <c r="K1723">
        <v>0</v>
      </c>
      <c r="L1723">
        <v>0</v>
      </c>
      <c r="M1723">
        <v>6.9034000000000004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1</v>
      </c>
      <c r="W1723">
        <v>0</v>
      </c>
      <c r="X1723">
        <v>0</v>
      </c>
      <c r="Y1723">
        <v>0</v>
      </c>
      <c r="Z1723">
        <v>1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1</v>
      </c>
      <c r="AO1723">
        <v>1</v>
      </c>
      <c r="AP1723">
        <v>1</v>
      </c>
      <c r="AQ1723">
        <v>0</v>
      </c>
      <c r="AR1723">
        <v>0</v>
      </c>
      <c r="AS1723">
        <v>0</v>
      </c>
      <c r="AT1723">
        <v>1</v>
      </c>
      <c r="AU1723">
        <v>62.785806486379812</v>
      </c>
      <c r="AV1723">
        <v>2.3011259059556539</v>
      </c>
      <c r="AW1723">
        <v>577.57990369426557</v>
      </c>
      <c r="AY1723">
        <v>1574</v>
      </c>
      <c r="AZ1723">
        <v>1732</v>
      </c>
      <c r="BB1723">
        <v>513</v>
      </c>
      <c r="BC1723" t="s">
        <v>529</v>
      </c>
      <c r="BD1723" t="s">
        <v>632</v>
      </c>
    </row>
    <row r="1724" spans="1:56" x14ac:dyDescent="0.3">
      <c r="A1724">
        <v>30280</v>
      </c>
      <c r="B1724">
        <v>1</v>
      </c>
      <c r="C1724">
        <v>67.730400000000003</v>
      </c>
      <c r="D1724">
        <v>0</v>
      </c>
      <c r="E1724">
        <v>0</v>
      </c>
      <c r="F1724">
        <v>0</v>
      </c>
      <c r="G1724">
        <v>0</v>
      </c>
      <c r="H1724">
        <v>21.0715</v>
      </c>
      <c r="I1724">
        <v>0</v>
      </c>
      <c r="J1724">
        <v>0</v>
      </c>
      <c r="K1724">
        <v>0</v>
      </c>
      <c r="L1724">
        <v>0</v>
      </c>
      <c r="M1724">
        <v>11.1981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1</v>
      </c>
      <c r="W1724">
        <v>0</v>
      </c>
      <c r="X1724">
        <v>0</v>
      </c>
      <c r="Y1724">
        <v>0</v>
      </c>
      <c r="Z1724">
        <v>1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1</v>
      </c>
      <c r="AO1724">
        <v>1</v>
      </c>
      <c r="AP1724">
        <v>1</v>
      </c>
      <c r="AQ1724">
        <v>0</v>
      </c>
      <c r="AR1724">
        <v>0</v>
      </c>
      <c r="AS1724">
        <v>0</v>
      </c>
      <c r="AT1724">
        <v>1</v>
      </c>
      <c r="AU1724">
        <v>61.107487739283258</v>
      </c>
      <c r="AV1724">
        <v>3.7326913770772947</v>
      </c>
      <c r="AW1724">
        <v>604.53007990808351</v>
      </c>
      <c r="AY1724">
        <v>1700</v>
      </c>
      <c r="AZ1724">
        <v>2332</v>
      </c>
      <c r="BB1724">
        <v>558</v>
      </c>
      <c r="BC1724" t="s">
        <v>529</v>
      </c>
      <c r="BD1724" t="s">
        <v>632</v>
      </c>
    </row>
    <row r="1725" spans="1:56" x14ac:dyDescent="0.3">
      <c r="A1725">
        <v>30281</v>
      </c>
      <c r="B1725">
        <v>1</v>
      </c>
      <c r="C1725">
        <v>77.114199999999997</v>
      </c>
      <c r="D1725">
        <v>0</v>
      </c>
      <c r="E1725">
        <v>0</v>
      </c>
      <c r="F1725">
        <v>0</v>
      </c>
      <c r="G1725">
        <v>0</v>
      </c>
      <c r="H1725">
        <v>10.7102</v>
      </c>
      <c r="I1725">
        <v>0</v>
      </c>
      <c r="J1725">
        <v>0</v>
      </c>
      <c r="K1725">
        <v>5.3455000000000004</v>
      </c>
      <c r="L1725">
        <v>0</v>
      </c>
      <c r="M1725">
        <v>6.8300999999999998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1</v>
      </c>
      <c r="W1725">
        <v>0</v>
      </c>
      <c r="X1725">
        <v>0</v>
      </c>
      <c r="Y1725">
        <v>0</v>
      </c>
      <c r="Z1725">
        <v>1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1</v>
      </c>
      <c r="AO1725">
        <v>0</v>
      </c>
      <c r="AP1725">
        <v>1</v>
      </c>
      <c r="AQ1725">
        <v>0</v>
      </c>
      <c r="AR1725">
        <v>1</v>
      </c>
      <c r="AS1725">
        <v>0</v>
      </c>
      <c r="AT1725">
        <v>0</v>
      </c>
      <c r="AU1725">
        <v>32.556427089551853</v>
      </c>
      <c r="AV1725">
        <v>2.2767016890422336</v>
      </c>
      <c r="AW1725">
        <v>745.74873434104495</v>
      </c>
      <c r="AY1725">
        <v>1470</v>
      </c>
      <c r="AZ1725">
        <v>1950</v>
      </c>
      <c r="BC1725" t="s">
        <v>530</v>
      </c>
      <c r="BD1725" t="s">
        <v>633</v>
      </c>
    </row>
    <row r="1726" spans="1:56" x14ac:dyDescent="0.3">
      <c r="A1726">
        <v>30282</v>
      </c>
      <c r="B1726">
        <v>1</v>
      </c>
      <c r="C1726">
        <v>75.048500000000004</v>
      </c>
      <c r="D1726">
        <v>0</v>
      </c>
      <c r="E1726">
        <v>0</v>
      </c>
      <c r="F1726">
        <v>0</v>
      </c>
      <c r="G1726">
        <v>0</v>
      </c>
      <c r="H1726">
        <v>12.8131</v>
      </c>
      <c r="I1726">
        <v>0</v>
      </c>
      <c r="J1726">
        <v>0</v>
      </c>
      <c r="K1726">
        <v>5.3292000000000002</v>
      </c>
      <c r="L1726">
        <v>0</v>
      </c>
      <c r="M1726">
        <v>6.8093000000000004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1</v>
      </c>
      <c r="W1726">
        <v>0</v>
      </c>
      <c r="X1726">
        <v>0</v>
      </c>
      <c r="Y1726">
        <v>0</v>
      </c>
      <c r="Z1726">
        <v>1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1</v>
      </c>
      <c r="AO1726">
        <v>0</v>
      </c>
      <c r="AP1726">
        <v>1</v>
      </c>
      <c r="AQ1726">
        <v>0</v>
      </c>
      <c r="AR1726">
        <v>0</v>
      </c>
      <c r="AS1726">
        <v>0</v>
      </c>
      <c r="AT1726">
        <v>0</v>
      </c>
      <c r="AU1726">
        <v>38.650098976366095</v>
      </c>
      <c r="AV1726">
        <v>2.2697563273276886</v>
      </c>
      <c r="AW1726">
        <v>713.27747698636097</v>
      </c>
      <c r="AY1726">
        <v>1600</v>
      </c>
      <c r="AZ1726">
        <v>2080</v>
      </c>
      <c r="BC1726" t="s">
        <v>530</v>
      </c>
      <c r="BD1726" t="s">
        <v>633</v>
      </c>
    </row>
    <row r="1727" spans="1:56" x14ac:dyDescent="0.3">
      <c r="A1727">
        <v>30283</v>
      </c>
      <c r="B1727">
        <v>1</v>
      </c>
      <c r="C1727">
        <v>72.995400000000004</v>
      </c>
      <c r="D1727">
        <v>0</v>
      </c>
      <c r="E1727">
        <v>0</v>
      </c>
      <c r="F1727">
        <v>0</v>
      </c>
      <c r="G1727">
        <v>0</v>
      </c>
      <c r="H1727">
        <v>14.9031</v>
      </c>
      <c r="I1727">
        <v>0</v>
      </c>
      <c r="J1727">
        <v>0</v>
      </c>
      <c r="K1727">
        <v>5.3129</v>
      </c>
      <c r="L1727">
        <v>0</v>
      </c>
      <c r="M1727">
        <v>6.7885999999999997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1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1</v>
      </c>
      <c r="AO1727">
        <v>0</v>
      </c>
      <c r="AP1727">
        <v>1</v>
      </c>
      <c r="AQ1727">
        <v>0</v>
      </c>
      <c r="AR1727">
        <v>0</v>
      </c>
      <c r="AS1727">
        <v>0</v>
      </c>
      <c r="AT1727">
        <v>0</v>
      </c>
      <c r="AU1727">
        <v>44.706704929186998</v>
      </c>
      <c r="AV1727">
        <v>2.2628532121147016</v>
      </c>
      <c r="AW1727">
        <v>681.00373231436583</v>
      </c>
      <c r="AY1727">
        <v>1880</v>
      </c>
      <c r="AZ1727">
        <v>2400</v>
      </c>
      <c r="BC1727" t="s">
        <v>530</v>
      </c>
      <c r="BD1727" t="s">
        <v>633</v>
      </c>
    </row>
  </sheetData>
  <autoFilter ref="A1:BD1727" xr:uid="{92C91345-9CE2-4256-9977-84D8B4ABA20F}"/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3" bestFit="1" customWidth="1"/>
    <col min="2" max="2" width="9.25" bestFit="1" customWidth="1"/>
    <col min="3" max="3" width="8.5" bestFit="1" customWidth="1"/>
    <col min="4" max="5" width="6.5" bestFit="1" customWidth="1"/>
    <col min="6" max="6" width="5.5" bestFit="1" customWidth="1"/>
    <col min="7" max="7" width="4.08203125" bestFit="1" customWidth="1"/>
    <col min="8" max="8" width="6.5" bestFit="1" customWidth="1"/>
    <col min="9" max="9" width="3.58203125" bestFit="1" customWidth="1"/>
    <col min="10" max="13" width="6.5" bestFit="1" customWidth="1"/>
    <col min="14" max="14" width="3.25" bestFit="1" customWidth="1"/>
    <col min="15" max="15" width="6.5" bestFit="1" customWidth="1"/>
    <col min="16" max="16" width="3.25" bestFit="1" customWidth="1"/>
    <col min="17" max="17" width="2.83203125" bestFit="1" customWidth="1"/>
    <col min="18" max="18" width="2.58203125" bestFit="1" customWidth="1"/>
    <col min="19" max="20" width="2.83203125" bestFit="1" customWidth="1"/>
    <col min="21" max="21" width="3.33203125" bestFit="1" customWidth="1"/>
    <col min="22" max="22" width="10.83203125" bestFit="1" customWidth="1"/>
    <col min="23" max="23" width="9.75" bestFit="1" customWidth="1"/>
    <col min="24" max="24" width="9.58203125" bestFit="1" customWidth="1"/>
    <col min="25" max="25" width="16.33203125" bestFit="1" customWidth="1"/>
    <col min="26" max="26" width="15.83203125" bestFit="1" customWidth="1"/>
    <col min="27" max="27" width="16.58203125" bestFit="1" customWidth="1"/>
    <col min="28" max="28" width="17.83203125" bestFit="1" customWidth="1"/>
    <col min="29" max="29" width="10.25" bestFit="1" customWidth="1"/>
    <col min="30" max="30" width="12.75" bestFit="1" customWidth="1"/>
    <col min="31" max="31" width="11.83203125" bestFit="1" customWidth="1"/>
    <col min="32" max="32" width="7.75" bestFit="1" customWidth="1"/>
    <col min="33" max="33" width="12.08203125" bestFit="1" customWidth="1"/>
    <col min="34" max="34" width="10.25" bestFit="1" customWidth="1"/>
    <col min="35" max="35" width="12.75" bestFit="1" customWidth="1"/>
    <col min="36" max="36" width="11.83203125" bestFit="1" customWidth="1"/>
    <col min="37" max="37" width="7.75" bestFit="1" customWidth="1"/>
    <col min="38" max="38" width="12.08203125" bestFit="1" customWidth="1"/>
    <col min="39" max="39" width="10.08203125" bestFit="1" customWidth="1"/>
    <col min="40" max="40" width="11.83203125" bestFit="1" customWidth="1"/>
    <col min="41" max="41" width="10.58203125" bestFit="1" customWidth="1"/>
    <col min="42" max="42" width="17.83203125" bestFit="1" customWidth="1"/>
    <col min="43" max="43" width="25.25" bestFit="1" customWidth="1"/>
    <col min="44" max="44" width="13.5" bestFit="1" customWidth="1"/>
    <col min="45" max="45" width="17.75" bestFit="1" customWidth="1"/>
    <col min="46" max="46" width="9.5" bestFit="1" customWidth="1"/>
    <col min="47" max="47" width="12.75" bestFit="1" customWidth="1"/>
    <col min="48" max="48" width="16.25" bestFit="1" customWidth="1"/>
    <col min="49" max="49" width="7.5" bestFit="1" customWidth="1"/>
    <col min="50" max="50" width="9.5" bestFit="1" customWidth="1"/>
    <col min="51" max="52" width="10.5" bestFit="1" customWidth="1"/>
    <col min="53" max="53" width="7.5" bestFit="1" customWidth="1"/>
    <col min="54" max="54" width="7.5" customWidth="1"/>
  </cols>
  <sheetData>
    <row r="1" spans="1:55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882</v>
      </c>
      <c r="AY2">
        <v>500</v>
      </c>
      <c r="BC2" t="s">
        <v>49</v>
      </c>
    </row>
    <row r="3" spans="1:55" x14ac:dyDescent="0.3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0</v>
      </c>
      <c r="AU3">
        <f t="shared" si="0"/>
        <v>0</v>
      </c>
      <c r="AV3">
        <f t="shared" si="1"/>
        <v>882</v>
      </c>
      <c r="AY3">
        <v>257</v>
      </c>
      <c r="BC3" t="s">
        <v>49</v>
      </c>
    </row>
    <row r="4" spans="1:55" x14ac:dyDescent="0.3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10.998400000000002</v>
      </c>
      <c r="AU4">
        <f t="shared" si="0"/>
        <v>0</v>
      </c>
      <c r="AV4">
        <f t="shared" si="1"/>
        <v>882</v>
      </c>
      <c r="AY4">
        <v>581.4</v>
      </c>
      <c r="AZ4">
        <v>22.32</v>
      </c>
      <c r="BC4" t="s">
        <v>51</v>
      </c>
    </row>
    <row r="5" spans="1:55" x14ac:dyDescent="0.3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11.354000000000001</v>
      </c>
      <c r="AU5">
        <f t="shared" si="0"/>
        <v>0</v>
      </c>
      <c r="AV5">
        <f t="shared" si="1"/>
        <v>882</v>
      </c>
      <c r="AY5">
        <v>352</v>
      </c>
      <c r="AZ5">
        <v>9.08</v>
      </c>
      <c r="BC5" t="s">
        <v>52</v>
      </c>
    </row>
    <row r="6" spans="1:55" x14ac:dyDescent="0.3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11.354000000000001</v>
      </c>
      <c r="AU6">
        <f t="shared" si="0"/>
        <v>0</v>
      </c>
      <c r="AV6">
        <f t="shared" si="1"/>
        <v>882</v>
      </c>
      <c r="AY6">
        <v>392</v>
      </c>
      <c r="AZ6">
        <v>8.07</v>
      </c>
      <c r="BC6" t="s">
        <v>52</v>
      </c>
    </row>
    <row r="7" spans="1:55" x14ac:dyDescent="0.3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11.354000000000001</v>
      </c>
      <c r="AU7">
        <f t="shared" si="0"/>
        <v>0</v>
      </c>
      <c r="AV7">
        <f t="shared" si="1"/>
        <v>882</v>
      </c>
      <c r="AY7">
        <v>506</v>
      </c>
      <c r="AZ7">
        <v>9.58</v>
      </c>
      <c r="BC7" t="s">
        <v>52</v>
      </c>
    </row>
    <row r="8" spans="1:55" x14ac:dyDescent="0.3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11.354000000000001</v>
      </c>
      <c r="AU8">
        <f t="shared" si="0"/>
        <v>0</v>
      </c>
      <c r="AV8">
        <f t="shared" si="1"/>
        <v>882</v>
      </c>
      <c r="AY8">
        <v>435</v>
      </c>
      <c r="AZ8">
        <v>8.9499999999999993</v>
      </c>
      <c r="BC8" t="s">
        <v>52</v>
      </c>
    </row>
    <row r="9" spans="1:55" x14ac:dyDescent="0.3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11.354000000000001</v>
      </c>
      <c r="AU9">
        <f t="shared" si="0"/>
        <v>0</v>
      </c>
      <c r="AV9">
        <f t="shared" si="1"/>
        <v>882</v>
      </c>
      <c r="AY9">
        <v>370</v>
      </c>
      <c r="AZ9">
        <v>10.02</v>
      </c>
      <c r="BC9" t="s">
        <v>52</v>
      </c>
    </row>
    <row r="10" spans="1:55" x14ac:dyDescent="0.3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10.64</v>
      </c>
      <c r="AU10">
        <f t="shared" si="0"/>
        <v>0</v>
      </c>
      <c r="AV10">
        <f t="shared" si="1"/>
        <v>882</v>
      </c>
      <c r="AY10">
        <v>411</v>
      </c>
      <c r="AZ10">
        <v>36.700000000000003</v>
      </c>
      <c r="BC10" t="s">
        <v>53</v>
      </c>
    </row>
    <row r="11" spans="1:55" x14ac:dyDescent="0.3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9.1476000000000006</v>
      </c>
      <c r="AU11">
        <f t="shared" si="0"/>
        <v>0</v>
      </c>
      <c r="AV11">
        <f t="shared" si="1"/>
        <v>882</v>
      </c>
      <c r="AY11">
        <v>779</v>
      </c>
      <c r="AZ11">
        <v>6.2</v>
      </c>
      <c r="BC11" t="s">
        <v>54</v>
      </c>
    </row>
    <row r="12" spans="1:55" x14ac:dyDescent="0.3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9.1476000000000006</v>
      </c>
      <c r="AU12">
        <f t="shared" si="0"/>
        <v>0</v>
      </c>
      <c r="AV12">
        <f t="shared" si="1"/>
        <v>882</v>
      </c>
      <c r="AY12">
        <v>503</v>
      </c>
      <c r="AZ12">
        <v>25.8</v>
      </c>
      <c r="BC12" t="s">
        <v>54</v>
      </c>
    </row>
    <row r="13" spans="1:55" x14ac:dyDescent="0.3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9.1476000000000006</v>
      </c>
      <c r="AU13">
        <f t="shared" si="0"/>
        <v>0</v>
      </c>
      <c r="AV13">
        <f t="shared" si="1"/>
        <v>882</v>
      </c>
      <c r="AY13">
        <v>608</v>
      </c>
      <c r="AZ13">
        <v>24.9</v>
      </c>
      <c r="BC13" t="s">
        <v>54</v>
      </c>
    </row>
    <row r="14" spans="1:55" x14ac:dyDescent="0.3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9.1476000000000006</v>
      </c>
      <c r="AU14">
        <f t="shared" si="0"/>
        <v>0</v>
      </c>
      <c r="AV14">
        <f t="shared" si="1"/>
        <v>882</v>
      </c>
      <c r="AY14">
        <v>623</v>
      </c>
      <c r="AZ14">
        <v>16.899999999999999</v>
      </c>
      <c r="BC14" t="s">
        <v>54</v>
      </c>
    </row>
    <row r="15" spans="1:55" x14ac:dyDescent="0.3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12.7148</v>
      </c>
      <c r="AU15">
        <f t="shared" si="0"/>
        <v>0</v>
      </c>
      <c r="AV15">
        <f t="shared" si="1"/>
        <v>882</v>
      </c>
      <c r="AY15">
        <v>561</v>
      </c>
      <c r="AZ15">
        <v>3.5</v>
      </c>
      <c r="BC15" t="s">
        <v>54</v>
      </c>
    </row>
    <row r="16" spans="1:55" x14ac:dyDescent="0.3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12.7148</v>
      </c>
      <c r="AU16">
        <f t="shared" si="0"/>
        <v>0</v>
      </c>
      <c r="AV16">
        <f t="shared" si="1"/>
        <v>882</v>
      </c>
      <c r="AY16">
        <v>449</v>
      </c>
      <c r="AZ16">
        <v>24</v>
      </c>
      <c r="BC16" t="s">
        <v>54</v>
      </c>
    </row>
    <row r="17" spans="3:55" x14ac:dyDescent="0.3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12.7148</v>
      </c>
      <c r="AU17">
        <f t="shared" si="0"/>
        <v>0</v>
      </c>
      <c r="AV17">
        <f t="shared" si="1"/>
        <v>882</v>
      </c>
      <c r="AY17">
        <v>493</v>
      </c>
      <c r="AZ17">
        <v>21.1</v>
      </c>
      <c r="BC17" t="s">
        <v>54</v>
      </c>
    </row>
    <row r="18" spans="3:55" x14ac:dyDescent="0.3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12.7148</v>
      </c>
      <c r="AU18">
        <f t="shared" si="0"/>
        <v>0</v>
      </c>
      <c r="AV18">
        <f t="shared" si="1"/>
        <v>882</v>
      </c>
      <c r="AY18">
        <v>587</v>
      </c>
      <c r="AZ18">
        <v>17.100000000000001</v>
      </c>
      <c r="BC18" t="s">
        <v>54</v>
      </c>
    </row>
    <row r="19" spans="3:55" x14ac:dyDescent="0.3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3.6400000000000006</v>
      </c>
      <c r="AU19">
        <f t="shared" si="0"/>
        <v>0</v>
      </c>
      <c r="AV19">
        <f t="shared" si="1"/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3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7.8400000000000007</v>
      </c>
      <c r="AU20">
        <f t="shared" si="0"/>
        <v>0</v>
      </c>
      <c r="AV20">
        <f t="shared" si="1"/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3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4.2</v>
      </c>
      <c r="AU21">
        <f t="shared" si="0"/>
        <v>0</v>
      </c>
      <c r="AV21">
        <f t="shared" si="1"/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3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8.9600000000000009</v>
      </c>
      <c r="AU22">
        <f t="shared" si="0"/>
        <v>0</v>
      </c>
      <c r="AV22">
        <f t="shared" si="1"/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3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10.64</v>
      </c>
      <c r="AU23">
        <f t="shared" si="0"/>
        <v>0</v>
      </c>
      <c r="AV23">
        <f t="shared" si="1"/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3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5.0848000000000004</v>
      </c>
      <c r="AU24">
        <f t="shared" si="0"/>
        <v>0</v>
      </c>
      <c r="AV24">
        <f t="shared" si="1"/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3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6.7200000000000006</v>
      </c>
      <c r="AU25">
        <f t="shared" si="0"/>
        <v>0</v>
      </c>
      <c r="AV25">
        <f t="shared" si="1"/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3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6.7200000000000006</v>
      </c>
      <c r="AU26">
        <f t="shared" si="0"/>
        <v>0</v>
      </c>
      <c r="AV26">
        <f t="shared" si="1"/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3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6.7200000000000006</v>
      </c>
      <c r="AU27">
        <f t="shared" si="0"/>
        <v>0</v>
      </c>
      <c r="AV27">
        <f t="shared" si="1"/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3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6.7200000000000006</v>
      </c>
      <c r="AU28">
        <f t="shared" si="0"/>
        <v>0</v>
      </c>
      <c r="AV28">
        <f t="shared" si="1"/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3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2.3324000000000003</v>
      </c>
      <c r="AU29">
        <f t="shared" si="0"/>
        <v>0</v>
      </c>
      <c r="AV29">
        <f t="shared" si="1"/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3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2.3324000000000003</v>
      </c>
      <c r="AU30">
        <f t="shared" si="0"/>
        <v>0</v>
      </c>
      <c r="AV30">
        <f t="shared" si="1"/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3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2.3324000000000003</v>
      </c>
      <c r="AU31">
        <f t="shared" si="0"/>
        <v>0</v>
      </c>
      <c r="AV31">
        <f t="shared" si="1"/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3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2.758</v>
      </c>
      <c r="AU32">
        <f t="shared" si="0"/>
        <v>0</v>
      </c>
      <c r="AV32">
        <f t="shared" si="1"/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3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2.758</v>
      </c>
      <c r="AU33">
        <f t="shared" si="0"/>
        <v>0</v>
      </c>
      <c r="AV33">
        <f t="shared" si="1"/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3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2.758</v>
      </c>
      <c r="AU34">
        <f t="shared" si="0"/>
        <v>0</v>
      </c>
      <c r="AV34">
        <f t="shared" si="1"/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3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3.1948000000000003</v>
      </c>
      <c r="AU35">
        <f t="shared" si="0"/>
        <v>0</v>
      </c>
      <c r="AV35">
        <f t="shared" si="1"/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3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3.1948000000000003</v>
      </c>
      <c r="AU36">
        <f t="shared" si="0"/>
        <v>0</v>
      </c>
      <c r="AV36">
        <f t="shared" si="1"/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3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3.1948000000000003</v>
      </c>
      <c r="AU37">
        <f t="shared" si="0"/>
        <v>0</v>
      </c>
      <c r="AV37">
        <f t="shared" si="1"/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3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3.6428000000000003</v>
      </c>
      <c r="AU38">
        <f t="shared" si="0"/>
        <v>0</v>
      </c>
      <c r="AV38">
        <f t="shared" si="1"/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3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3.6428000000000003</v>
      </c>
      <c r="AU39">
        <f t="shared" si="0"/>
        <v>0</v>
      </c>
      <c r="AV39">
        <f t="shared" si="1"/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3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3.6428000000000003</v>
      </c>
      <c r="AU40">
        <f t="shared" si="0"/>
        <v>0</v>
      </c>
      <c r="AV40">
        <f t="shared" si="1"/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3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6.0815999999999999</v>
      </c>
      <c r="AU41">
        <f t="shared" si="0"/>
        <v>0</v>
      </c>
      <c r="AV41">
        <f t="shared" si="1"/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3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6.0815999999999999</v>
      </c>
      <c r="AU42">
        <f t="shared" si="0"/>
        <v>0</v>
      </c>
      <c r="AV42">
        <f t="shared" si="1"/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3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6.0815999999999999</v>
      </c>
      <c r="AU43">
        <f t="shared" si="0"/>
        <v>0</v>
      </c>
      <c r="AV43">
        <f t="shared" si="1"/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3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4.1048</v>
      </c>
      <c r="AU44">
        <f t="shared" si="0"/>
        <v>0</v>
      </c>
      <c r="AV44">
        <f t="shared" si="1"/>
        <v>882</v>
      </c>
      <c r="AW44">
        <v>64</v>
      </c>
      <c r="AX44">
        <v>456</v>
      </c>
      <c r="BC44" t="s">
        <v>60</v>
      </c>
    </row>
    <row r="45" spans="3:55" x14ac:dyDescent="0.3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5.0652000000000008</v>
      </c>
      <c r="AU45">
        <f t="shared" si="0"/>
        <v>0</v>
      </c>
      <c r="AV45">
        <f t="shared" si="1"/>
        <v>882</v>
      </c>
      <c r="AW45">
        <v>79</v>
      </c>
      <c r="AX45">
        <v>327</v>
      </c>
      <c r="BC45" t="s">
        <v>60</v>
      </c>
    </row>
    <row r="46" spans="3:55" x14ac:dyDescent="0.3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6.16</v>
      </c>
      <c r="AU46">
        <f t="shared" si="0"/>
        <v>0</v>
      </c>
      <c r="AV46">
        <f t="shared" si="1"/>
        <v>882</v>
      </c>
      <c r="AW46">
        <v>73</v>
      </c>
      <c r="AX46">
        <v>405</v>
      </c>
      <c r="BC46" t="s">
        <v>60</v>
      </c>
    </row>
    <row r="47" spans="3:55" x14ac:dyDescent="0.3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7.2800000000000011</v>
      </c>
      <c r="AU47">
        <f t="shared" si="0"/>
        <v>0</v>
      </c>
      <c r="AV47">
        <f t="shared" si="1"/>
        <v>882</v>
      </c>
      <c r="AW47">
        <v>50</v>
      </c>
      <c r="AX47">
        <v>290</v>
      </c>
      <c r="BC47" t="s">
        <v>60</v>
      </c>
    </row>
    <row r="48" spans="3:55" x14ac:dyDescent="0.3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7.2800000000000011</v>
      </c>
      <c r="AU48">
        <f t="shared" si="0"/>
        <v>0</v>
      </c>
      <c r="AV48">
        <f t="shared" si="1"/>
        <v>882</v>
      </c>
      <c r="AW48">
        <v>75</v>
      </c>
      <c r="AX48">
        <v>447</v>
      </c>
      <c r="BC48" t="s">
        <v>60</v>
      </c>
    </row>
    <row r="49" spans="3:49" x14ac:dyDescent="0.3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6.7200000000000006</v>
      </c>
      <c r="AU49">
        <f t="shared" si="0"/>
        <v>0</v>
      </c>
      <c r="AV49">
        <f t="shared" si="1"/>
        <v>882</v>
      </c>
      <c r="AW49">
        <v>66.7</v>
      </c>
    </row>
    <row r="50" spans="3:49" x14ac:dyDescent="0.3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2.0020000000000002</v>
      </c>
      <c r="AU50">
        <f t="shared" si="0"/>
        <v>0</v>
      </c>
      <c r="AV50">
        <f t="shared" si="1"/>
        <v>882</v>
      </c>
      <c r="AW50">
        <v>81.25</v>
      </c>
    </row>
    <row r="51" spans="3:49" x14ac:dyDescent="0.3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4.6732000000000005</v>
      </c>
      <c r="AU51">
        <f t="shared" si="0"/>
        <v>0</v>
      </c>
      <c r="AV51">
        <f t="shared" si="1"/>
        <v>882</v>
      </c>
      <c r="AW51">
        <v>80.989999999999995</v>
      </c>
    </row>
    <row r="52" spans="3:49" x14ac:dyDescent="0.3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2.548</v>
      </c>
      <c r="AU52">
        <f t="shared" si="0"/>
        <v>0</v>
      </c>
      <c r="AV52">
        <f t="shared" si="1"/>
        <v>882</v>
      </c>
      <c r="AW52">
        <v>92.7</v>
      </c>
    </row>
    <row r="53" spans="3:49" x14ac:dyDescent="0.3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2.5760000000000001</v>
      </c>
      <c r="AU53">
        <f t="shared" si="0"/>
        <v>0</v>
      </c>
      <c r="AV53">
        <f t="shared" si="1"/>
        <v>882</v>
      </c>
      <c r="AW53">
        <v>93.11</v>
      </c>
    </row>
    <row r="54" spans="3:49" x14ac:dyDescent="0.3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4.8580000000000005</v>
      </c>
      <c r="AU54">
        <f t="shared" si="0"/>
        <v>0</v>
      </c>
      <c r="AV54">
        <f t="shared" si="1"/>
        <v>882</v>
      </c>
      <c r="AW54">
        <v>98.88</v>
      </c>
    </row>
    <row r="55" spans="3:49" x14ac:dyDescent="0.3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7.7000000000000011</v>
      </c>
      <c r="AU55">
        <f t="shared" si="0"/>
        <v>0</v>
      </c>
      <c r="AV55">
        <f t="shared" si="1"/>
        <v>882</v>
      </c>
      <c r="AW55">
        <v>77.31</v>
      </c>
    </row>
    <row r="56" spans="3:49" x14ac:dyDescent="0.3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8.0220000000000002</v>
      </c>
      <c r="AU56">
        <f t="shared" si="0"/>
        <v>0</v>
      </c>
      <c r="AV56">
        <f t="shared" si="1"/>
        <v>882</v>
      </c>
      <c r="AW56">
        <v>95.22</v>
      </c>
    </row>
    <row r="57" spans="3:49" x14ac:dyDescent="0.3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0.36400000000000005</v>
      </c>
      <c r="AU57">
        <f t="shared" si="0"/>
        <v>0</v>
      </c>
      <c r="AV57">
        <f t="shared" si="1"/>
        <v>882</v>
      </c>
      <c r="AW57">
        <v>112.5</v>
      </c>
    </row>
    <row r="58" spans="3:49" x14ac:dyDescent="0.3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0.58800000000000008</v>
      </c>
      <c r="AU58">
        <f t="shared" si="0"/>
        <v>0</v>
      </c>
      <c r="AV58">
        <f t="shared" si="1"/>
        <v>882</v>
      </c>
      <c r="AW58">
        <v>108</v>
      </c>
    </row>
    <row r="59" spans="3:49" x14ac:dyDescent="0.3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1.5148000000000001</v>
      </c>
      <c r="AU59">
        <f t="shared" si="0"/>
        <v>0</v>
      </c>
      <c r="AV59">
        <f t="shared" si="1"/>
        <v>882</v>
      </c>
      <c r="AW59">
        <v>78.5</v>
      </c>
    </row>
    <row r="60" spans="3:49" x14ac:dyDescent="0.3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2.3324000000000003</v>
      </c>
      <c r="AU60">
        <f t="shared" si="0"/>
        <v>0</v>
      </c>
      <c r="AV60">
        <f t="shared" si="1"/>
        <v>882</v>
      </c>
      <c r="AW60">
        <v>66.5</v>
      </c>
    </row>
    <row r="61" spans="3:49" x14ac:dyDescent="0.3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2.6740000000000004</v>
      </c>
      <c r="AU61">
        <f t="shared" si="0"/>
        <v>0</v>
      </c>
      <c r="AV61">
        <f t="shared" si="1"/>
        <v>882</v>
      </c>
      <c r="AW61">
        <v>66</v>
      </c>
    </row>
    <row r="62" spans="3:49" x14ac:dyDescent="0.3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3.1948000000000003</v>
      </c>
      <c r="AU62">
        <f t="shared" si="0"/>
        <v>0</v>
      </c>
      <c r="AV62">
        <f t="shared" si="1"/>
        <v>882</v>
      </c>
      <c r="AW62">
        <v>78.5</v>
      </c>
    </row>
    <row r="63" spans="3:49" x14ac:dyDescent="0.3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5.0652000000000008</v>
      </c>
      <c r="AU63">
        <f t="shared" si="0"/>
        <v>0</v>
      </c>
      <c r="AV63">
        <f t="shared" si="1"/>
        <v>882</v>
      </c>
      <c r="AW63">
        <v>93.5</v>
      </c>
    </row>
    <row r="64" spans="3:49" x14ac:dyDescent="0.3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7.1596000000000011</v>
      </c>
      <c r="AU64">
        <f t="shared" si="0"/>
        <v>0</v>
      </c>
      <c r="AV64">
        <f t="shared" si="1"/>
        <v>882</v>
      </c>
      <c r="AW64">
        <v>67</v>
      </c>
    </row>
    <row r="65" spans="3:49" x14ac:dyDescent="0.3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8.3019999999999996</v>
      </c>
      <c r="AU65">
        <f t="shared" si="0"/>
        <v>0</v>
      </c>
      <c r="AV65">
        <f t="shared" si="1"/>
        <v>882</v>
      </c>
      <c r="AW65">
        <v>67.5</v>
      </c>
    </row>
    <row r="66" spans="3:49" x14ac:dyDescent="0.3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9.5200000000000014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882</v>
      </c>
      <c r="AW66">
        <v>74.5</v>
      </c>
    </row>
    <row r="67" spans="3:49" x14ac:dyDescent="0.3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12.205200000000001</v>
      </c>
      <c r="AU67">
        <f t="shared" si="3"/>
        <v>0</v>
      </c>
      <c r="AV67">
        <f t="shared" si="4"/>
        <v>882</v>
      </c>
      <c r="AW67">
        <v>84</v>
      </c>
    </row>
    <row r="68" spans="3:49" x14ac:dyDescent="0.3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6.2915999999999999</v>
      </c>
      <c r="AU68">
        <f t="shared" si="3"/>
        <v>0</v>
      </c>
      <c r="AV68">
        <f t="shared" si="4"/>
        <v>882</v>
      </c>
      <c r="AW68">
        <v>72</v>
      </c>
    </row>
    <row r="69" spans="3:49" x14ac:dyDescent="0.3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7.1596000000000011</v>
      </c>
      <c r="AU69">
        <f t="shared" si="3"/>
        <v>0</v>
      </c>
      <c r="AV69">
        <f t="shared" si="4"/>
        <v>882</v>
      </c>
      <c r="AW69">
        <v>61</v>
      </c>
    </row>
    <row r="70" spans="3:49" x14ac:dyDescent="0.3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7.6076000000000015</v>
      </c>
      <c r="AU70">
        <f t="shared" si="3"/>
        <v>0</v>
      </c>
      <c r="AV70">
        <f t="shared" si="4"/>
        <v>882</v>
      </c>
      <c r="AW70">
        <v>62</v>
      </c>
    </row>
    <row r="71" spans="3:49" x14ac:dyDescent="0.3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8.33</v>
      </c>
      <c r="AU71">
        <f t="shared" si="3"/>
        <v>0</v>
      </c>
      <c r="AV71">
        <f t="shared" si="4"/>
        <v>882</v>
      </c>
      <c r="AW71">
        <v>65</v>
      </c>
    </row>
    <row r="72" spans="3:49" x14ac:dyDescent="0.3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8.3496000000000006</v>
      </c>
      <c r="AU72">
        <f t="shared" si="3"/>
        <v>0</v>
      </c>
      <c r="AV72">
        <f t="shared" si="4"/>
        <v>882</v>
      </c>
      <c r="AW72">
        <v>64.3</v>
      </c>
    </row>
    <row r="73" spans="3:49" x14ac:dyDescent="0.3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5.6000000000000005</v>
      </c>
      <c r="AU73">
        <f t="shared" si="3"/>
        <v>0</v>
      </c>
      <c r="AV73">
        <f t="shared" si="4"/>
        <v>882</v>
      </c>
      <c r="AW73">
        <v>61.4</v>
      </c>
    </row>
    <row r="74" spans="3:49" x14ac:dyDescent="0.3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7.1428000000000011</v>
      </c>
      <c r="AU74">
        <f t="shared" si="3"/>
        <v>0</v>
      </c>
      <c r="AV74">
        <f t="shared" si="4"/>
        <v>882</v>
      </c>
      <c r="AW74">
        <v>65</v>
      </c>
    </row>
    <row r="75" spans="3:49" x14ac:dyDescent="0.3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15.7948</v>
      </c>
      <c r="AU75">
        <f t="shared" si="3"/>
        <v>0</v>
      </c>
      <c r="AV75">
        <f t="shared" si="4"/>
        <v>882</v>
      </c>
      <c r="AW75">
        <v>54</v>
      </c>
    </row>
    <row r="76" spans="3:49" x14ac:dyDescent="0.3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7.5600000000000005</v>
      </c>
      <c r="AU76">
        <f t="shared" si="3"/>
        <v>0</v>
      </c>
      <c r="AV76">
        <f t="shared" si="4"/>
        <v>882</v>
      </c>
      <c r="AW76">
        <v>67.099999999999994</v>
      </c>
    </row>
    <row r="77" spans="3:49" x14ac:dyDescent="0.3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7.6328000000000014</v>
      </c>
      <c r="AU77">
        <f t="shared" si="3"/>
        <v>0</v>
      </c>
      <c r="AV77">
        <f t="shared" si="4"/>
        <v>882</v>
      </c>
      <c r="AW77">
        <v>55</v>
      </c>
    </row>
    <row r="78" spans="3:49" x14ac:dyDescent="0.3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6.4820000000000002</v>
      </c>
      <c r="AU78">
        <f t="shared" si="3"/>
        <v>0</v>
      </c>
      <c r="AV78">
        <f t="shared" si="4"/>
        <v>882</v>
      </c>
      <c r="AW78">
        <v>65</v>
      </c>
    </row>
    <row r="79" spans="3:49" x14ac:dyDescent="0.3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8.0696000000000012</v>
      </c>
      <c r="AU79">
        <f t="shared" si="3"/>
        <v>0</v>
      </c>
      <c r="AV79">
        <f t="shared" si="4"/>
        <v>882</v>
      </c>
      <c r="AW79">
        <v>62</v>
      </c>
    </row>
    <row r="80" spans="3:49" x14ac:dyDescent="0.3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6.0815999999999999</v>
      </c>
      <c r="AU80">
        <f t="shared" si="3"/>
        <v>0</v>
      </c>
      <c r="AV80">
        <f t="shared" si="4"/>
        <v>882</v>
      </c>
      <c r="AW80">
        <v>69</v>
      </c>
    </row>
    <row r="81" spans="3:55" x14ac:dyDescent="0.3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6.4820000000000002</v>
      </c>
      <c r="AU81">
        <f t="shared" si="3"/>
        <v>0</v>
      </c>
      <c r="AV81">
        <f t="shared" si="4"/>
        <v>882</v>
      </c>
      <c r="AW81">
        <v>65</v>
      </c>
    </row>
    <row r="82" spans="3:55" x14ac:dyDescent="0.3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6.6</v>
      </c>
      <c r="AU82">
        <f t="shared" si="3"/>
        <v>0</v>
      </c>
      <c r="AV82">
        <f t="shared" si="4"/>
        <v>882</v>
      </c>
      <c r="AY82">
        <v>587</v>
      </c>
      <c r="AZ82">
        <v>20.97</v>
      </c>
      <c r="BC82" t="s">
        <v>109</v>
      </c>
    </row>
    <row r="83" spans="3:55" x14ac:dyDescent="0.3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6.6</v>
      </c>
      <c r="AU83">
        <f t="shared" si="3"/>
        <v>0</v>
      </c>
      <c r="AV83">
        <f t="shared" si="4"/>
        <v>882</v>
      </c>
      <c r="AY83">
        <v>891</v>
      </c>
      <c r="AZ83">
        <v>9.32</v>
      </c>
      <c r="BC83" t="s">
        <v>109</v>
      </c>
    </row>
    <row r="84" spans="3:55" x14ac:dyDescent="0.3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6.6</v>
      </c>
      <c r="AU84">
        <f t="shared" si="3"/>
        <v>0</v>
      </c>
      <c r="AV84">
        <f t="shared" si="4"/>
        <v>882</v>
      </c>
      <c r="AY84">
        <v>761</v>
      </c>
      <c r="AZ84">
        <v>11.93</v>
      </c>
      <c r="BC84" t="s">
        <v>109</v>
      </c>
    </row>
    <row r="85" spans="3:55" x14ac:dyDescent="0.3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11</v>
      </c>
      <c r="AU85">
        <f t="shared" si="3"/>
        <v>0</v>
      </c>
      <c r="AV85">
        <f t="shared" si="4"/>
        <v>882</v>
      </c>
      <c r="AY85">
        <v>582</v>
      </c>
      <c r="AZ85">
        <v>22.97</v>
      </c>
      <c r="BC85" t="s">
        <v>109</v>
      </c>
    </row>
    <row r="86" spans="3:55" x14ac:dyDescent="0.3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11</v>
      </c>
      <c r="AU86">
        <f t="shared" si="3"/>
        <v>0</v>
      </c>
      <c r="AV86">
        <f t="shared" si="4"/>
        <v>882</v>
      </c>
      <c r="AY86">
        <v>1029</v>
      </c>
      <c r="AZ86">
        <v>10.38</v>
      </c>
      <c r="BC86" t="s">
        <v>109</v>
      </c>
    </row>
    <row r="87" spans="3:55" x14ac:dyDescent="0.3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11</v>
      </c>
      <c r="AU87">
        <f t="shared" si="3"/>
        <v>0</v>
      </c>
      <c r="AV87">
        <f t="shared" si="4"/>
        <v>882</v>
      </c>
      <c r="AY87">
        <v>988</v>
      </c>
      <c r="AZ87">
        <v>10.63</v>
      </c>
      <c r="BC87" t="s">
        <v>109</v>
      </c>
    </row>
    <row r="88" spans="3:55" x14ac:dyDescent="0.3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0.62919999999999998</v>
      </c>
      <c r="AU88">
        <f t="shared" si="3"/>
        <v>0</v>
      </c>
      <c r="AV88">
        <f t="shared" si="4"/>
        <v>882</v>
      </c>
      <c r="AW88">
        <v>100</v>
      </c>
      <c r="AX88">
        <v>396</v>
      </c>
      <c r="BC88" t="s">
        <v>60</v>
      </c>
    </row>
    <row r="89" spans="3:55" x14ac:dyDescent="0.3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2.2395999999999998</v>
      </c>
      <c r="AU89">
        <f t="shared" si="3"/>
        <v>0</v>
      </c>
      <c r="AV89">
        <f t="shared" si="4"/>
        <v>882</v>
      </c>
      <c r="AW89">
        <v>69</v>
      </c>
      <c r="AX89">
        <v>441</v>
      </c>
      <c r="BC89" t="s">
        <v>60</v>
      </c>
    </row>
    <row r="90" spans="3:55" x14ac:dyDescent="0.3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4.6023999999999994</v>
      </c>
      <c r="AU90">
        <f t="shared" si="3"/>
        <v>0</v>
      </c>
      <c r="AV90">
        <f t="shared" si="4"/>
        <v>882</v>
      </c>
      <c r="AW90">
        <v>88</v>
      </c>
      <c r="AX90">
        <v>379</v>
      </c>
      <c r="BC90" t="s">
        <v>60</v>
      </c>
    </row>
    <row r="91" spans="3:55" x14ac:dyDescent="0.3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8.3974000000000011</v>
      </c>
      <c r="AU91">
        <f t="shared" si="3"/>
        <v>0</v>
      </c>
      <c r="AV91">
        <f t="shared" si="4"/>
        <v>882</v>
      </c>
      <c r="AW91">
        <v>67</v>
      </c>
      <c r="AX91">
        <v>373</v>
      </c>
      <c r="BC91" t="s">
        <v>60</v>
      </c>
    </row>
    <row r="92" spans="3:55" x14ac:dyDescent="0.3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13.98</v>
      </c>
      <c r="AU92">
        <f t="shared" si="3"/>
        <v>0</v>
      </c>
      <c r="AV92">
        <f t="shared" si="4"/>
        <v>749.19</v>
      </c>
      <c r="AY92">
        <v>1153</v>
      </c>
      <c r="AZ92">
        <v>8.18</v>
      </c>
      <c r="BC92" t="s">
        <v>61</v>
      </c>
    </row>
    <row r="93" spans="3:55" x14ac:dyDescent="0.3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13.98</v>
      </c>
      <c r="AU93">
        <f t="shared" si="3"/>
        <v>0</v>
      </c>
      <c r="AV93">
        <f t="shared" si="4"/>
        <v>749.19</v>
      </c>
      <c r="AY93">
        <v>938</v>
      </c>
      <c r="AZ93">
        <v>27.2</v>
      </c>
      <c r="BC93" t="s">
        <v>61</v>
      </c>
    </row>
    <row r="94" spans="3:55" x14ac:dyDescent="0.3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13.98</v>
      </c>
      <c r="AU94">
        <f t="shared" si="3"/>
        <v>0</v>
      </c>
      <c r="AV94">
        <f t="shared" si="4"/>
        <v>749.19</v>
      </c>
      <c r="AY94">
        <v>924</v>
      </c>
      <c r="AZ94">
        <v>28.2</v>
      </c>
      <c r="BC94" t="s">
        <v>61</v>
      </c>
    </row>
    <row r="95" spans="3:55" x14ac:dyDescent="0.3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13.98</v>
      </c>
      <c r="AU95">
        <f t="shared" si="3"/>
        <v>0</v>
      </c>
      <c r="AV95">
        <f t="shared" si="4"/>
        <v>749.19</v>
      </c>
      <c r="AY95">
        <v>921</v>
      </c>
      <c r="AZ95">
        <v>21.78</v>
      </c>
      <c r="BC95" t="s">
        <v>61</v>
      </c>
    </row>
    <row r="96" spans="3:55" x14ac:dyDescent="0.3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13.98</v>
      </c>
      <c r="AU96">
        <f t="shared" si="3"/>
        <v>0</v>
      </c>
      <c r="AV96">
        <f t="shared" si="4"/>
        <v>749.19</v>
      </c>
      <c r="AY96">
        <v>940</v>
      </c>
      <c r="AZ96">
        <v>17.399999999999999</v>
      </c>
      <c r="BC96" t="s">
        <v>61</v>
      </c>
    </row>
    <row r="97" spans="3:55" x14ac:dyDescent="0.3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15</v>
      </c>
      <c r="AU97">
        <f t="shared" si="3"/>
        <v>0</v>
      </c>
      <c r="AV97">
        <f t="shared" si="4"/>
        <v>739.5</v>
      </c>
      <c r="AY97">
        <v>669</v>
      </c>
      <c r="AZ97">
        <v>45.52</v>
      </c>
      <c r="BC97" t="s">
        <v>110</v>
      </c>
    </row>
    <row r="98" spans="3:55" x14ac:dyDescent="0.3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16</v>
      </c>
      <c r="AU98">
        <f t="shared" si="3"/>
        <v>0</v>
      </c>
      <c r="AV98">
        <f t="shared" si="4"/>
        <v>730</v>
      </c>
      <c r="AY98">
        <v>687</v>
      </c>
      <c r="AZ98">
        <v>38.42</v>
      </c>
      <c r="BC98" t="s">
        <v>110</v>
      </c>
    </row>
    <row r="99" spans="3:55" x14ac:dyDescent="0.3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17</v>
      </c>
      <c r="AU99">
        <f t="shared" si="3"/>
        <v>0</v>
      </c>
      <c r="AV99">
        <f t="shared" si="4"/>
        <v>720.5</v>
      </c>
      <c r="AY99">
        <v>722</v>
      </c>
      <c r="AZ99">
        <v>23.86</v>
      </c>
      <c r="BC99" t="s">
        <v>110</v>
      </c>
    </row>
    <row r="100" spans="3:55" x14ac:dyDescent="0.3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18</v>
      </c>
      <c r="AU100">
        <f t="shared" si="3"/>
        <v>0</v>
      </c>
      <c r="AV100">
        <f t="shared" si="4"/>
        <v>711</v>
      </c>
      <c r="AY100">
        <v>778</v>
      </c>
      <c r="AZ100">
        <v>15.5</v>
      </c>
      <c r="BC100" t="s">
        <v>110</v>
      </c>
    </row>
    <row r="101" spans="3:55" x14ac:dyDescent="0.3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7.5</v>
      </c>
      <c r="AU101">
        <f t="shared" si="3"/>
        <v>0</v>
      </c>
      <c r="AV101">
        <f t="shared" si="4"/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3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15</v>
      </c>
      <c r="AU102">
        <f t="shared" si="3"/>
        <v>0</v>
      </c>
      <c r="AV102">
        <f t="shared" si="4"/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3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8</v>
      </c>
      <c r="AU103">
        <f t="shared" si="3"/>
        <v>0</v>
      </c>
      <c r="AV103">
        <f t="shared" si="4"/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3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10.199999999999999</v>
      </c>
      <c r="AU104">
        <f t="shared" si="3"/>
        <v>0</v>
      </c>
      <c r="AV104">
        <f t="shared" si="4"/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3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10.83</v>
      </c>
      <c r="AU105">
        <f t="shared" si="3"/>
        <v>0</v>
      </c>
      <c r="AV105">
        <f t="shared" si="4"/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3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12.89</v>
      </c>
      <c r="AU106">
        <f t="shared" si="3"/>
        <v>0</v>
      </c>
      <c r="AV106">
        <f t="shared" si="4"/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3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15.05</v>
      </c>
      <c r="AU107">
        <f t="shared" si="3"/>
        <v>0</v>
      </c>
      <c r="AV107">
        <f t="shared" si="4"/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3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15</v>
      </c>
      <c r="AU108">
        <f t="shared" si="3"/>
        <v>0</v>
      </c>
      <c r="AV108">
        <f t="shared" si="4"/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3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16</v>
      </c>
      <c r="AU109">
        <f t="shared" si="3"/>
        <v>0</v>
      </c>
      <c r="AV109">
        <f t="shared" si="4"/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3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17</v>
      </c>
      <c r="AU110">
        <f t="shared" si="3"/>
        <v>0</v>
      </c>
      <c r="AV110">
        <f t="shared" si="4"/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3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18</v>
      </c>
      <c r="AU111">
        <f t="shared" si="3"/>
        <v>0</v>
      </c>
      <c r="AV111">
        <f t="shared" si="4"/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3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4.6500000000000004</v>
      </c>
      <c r="AU112">
        <f t="shared" si="3"/>
        <v>0</v>
      </c>
      <c r="AV112">
        <f t="shared" si="4"/>
        <v>837.82500000000005</v>
      </c>
      <c r="AW112">
        <v>91</v>
      </c>
      <c r="AX112">
        <v>537</v>
      </c>
      <c r="BC112" t="s">
        <v>60</v>
      </c>
    </row>
    <row r="113" spans="3:55" x14ac:dyDescent="0.3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5.3900000000000006</v>
      </c>
      <c r="AU113">
        <f t="shared" si="3"/>
        <v>0</v>
      </c>
      <c r="AV113">
        <f t="shared" si="4"/>
        <v>830.79499999999996</v>
      </c>
      <c r="AW113">
        <v>93</v>
      </c>
      <c r="AX113">
        <v>731</v>
      </c>
      <c r="BC113" t="s">
        <v>60</v>
      </c>
    </row>
    <row r="114" spans="3:55" x14ac:dyDescent="0.3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10.76</v>
      </c>
      <c r="AU114">
        <f t="shared" si="3"/>
        <v>0</v>
      </c>
      <c r="AV114">
        <f t="shared" si="4"/>
        <v>779.78</v>
      </c>
      <c r="AW114">
        <v>75</v>
      </c>
      <c r="AX114">
        <v>823</v>
      </c>
      <c r="BC114" t="s">
        <v>60</v>
      </c>
    </row>
    <row r="115" spans="3:55" x14ac:dyDescent="0.3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5.25</v>
      </c>
      <c r="AU115">
        <f t="shared" si="3"/>
        <v>0</v>
      </c>
      <c r="AV115">
        <f t="shared" si="4"/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3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6.370000000000001</v>
      </c>
      <c r="AU116">
        <f t="shared" si="3"/>
        <v>0</v>
      </c>
      <c r="AV116">
        <f t="shared" si="4"/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3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6.25</v>
      </c>
      <c r="AU117">
        <f t="shared" si="3"/>
        <v>0</v>
      </c>
      <c r="AV117">
        <f t="shared" si="4"/>
        <v>822.625</v>
      </c>
      <c r="AW117">
        <v>116</v>
      </c>
      <c r="BB117" t="s">
        <v>340</v>
      </c>
    </row>
    <row r="118" spans="3:55" x14ac:dyDescent="0.3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8.1</v>
      </c>
      <c r="AU118">
        <f t="shared" si="3"/>
        <v>0</v>
      </c>
      <c r="AV118">
        <f t="shared" si="4"/>
        <v>805.05</v>
      </c>
      <c r="AW118">
        <v>78</v>
      </c>
      <c r="BB118" t="s">
        <v>340</v>
      </c>
    </row>
    <row r="119" spans="3:55" x14ac:dyDescent="0.3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22.2</v>
      </c>
      <c r="AU119">
        <f t="shared" si="3"/>
        <v>0</v>
      </c>
      <c r="AV119">
        <f t="shared" si="4"/>
        <v>671.1</v>
      </c>
      <c r="AW119">
        <v>99</v>
      </c>
      <c r="BB119" t="s">
        <v>340</v>
      </c>
    </row>
    <row r="120" spans="3:55" x14ac:dyDescent="0.3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11.8</v>
      </c>
      <c r="AU120">
        <f t="shared" si="3"/>
        <v>0</v>
      </c>
      <c r="AV120">
        <f t="shared" si="4"/>
        <v>769.9</v>
      </c>
      <c r="AW120">
        <v>116</v>
      </c>
      <c r="BB120" t="s">
        <v>232</v>
      </c>
    </row>
    <row r="121" spans="3:55" x14ac:dyDescent="0.3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3.89</v>
      </c>
      <c r="AU121">
        <f t="shared" si="3"/>
        <v>0</v>
      </c>
      <c r="AV121">
        <f t="shared" si="4"/>
        <v>845.04499999999996</v>
      </c>
      <c r="AW121">
        <v>70</v>
      </c>
      <c r="BB121" t="s">
        <v>232</v>
      </c>
    </row>
    <row r="122" spans="3:55" x14ac:dyDescent="0.3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8.09</v>
      </c>
      <c r="AU122">
        <f t="shared" si="3"/>
        <v>0</v>
      </c>
      <c r="AV122">
        <f t="shared" si="4"/>
        <v>805.14499999999998</v>
      </c>
      <c r="AW122">
        <v>84</v>
      </c>
      <c r="BB122" t="s">
        <v>232</v>
      </c>
    </row>
    <row r="123" spans="3:55" x14ac:dyDescent="0.3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3.2</v>
      </c>
      <c r="AU123">
        <f t="shared" si="3"/>
        <v>0</v>
      </c>
      <c r="AV123">
        <f t="shared" si="4"/>
        <v>851.6</v>
      </c>
      <c r="AW123">
        <v>83.73</v>
      </c>
      <c r="BB123" t="s">
        <v>232</v>
      </c>
    </row>
    <row r="124" spans="3:55" x14ac:dyDescent="0.3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4.5</v>
      </c>
      <c r="AU124">
        <f t="shared" si="3"/>
        <v>0</v>
      </c>
      <c r="AV124">
        <f t="shared" si="4"/>
        <v>839.25</v>
      </c>
      <c r="AW124">
        <v>88.36</v>
      </c>
      <c r="BB124" t="s">
        <v>225</v>
      </c>
    </row>
    <row r="125" spans="3:55" x14ac:dyDescent="0.3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6</v>
      </c>
      <c r="AU125">
        <f t="shared" si="3"/>
        <v>0</v>
      </c>
      <c r="AV125">
        <f t="shared" si="4"/>
        <v>825</v>
      </c>
      <c r="AW125">
        <v>111.7</v>
      </c>
      <c r="BB125" t="s">
        <v>226</v>
      </c>
    </row>
    <row r="126" spans="3:55" x14ac:dyDescent="0.3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7</v>
      </c>
      <c r="AU126">
        <f t="shared" si="3"/>
        <v>0</v>
      </c>
      <c r="AV126">
        <f t="shared" si="4"/>
        <v>815.5</v>
      </c>
      <c r="AW126">
        <v>99.55</v>
      </c>
      <c r="BB126" t="s">
        <v>227</v>
      </c>
    </row>
    <row r="127" spans="3:55" x14ac:dyDescent="0.3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8</v>
      </c>
      <c r="AU127">
        <f t="shared" si="3"/>
        <v>0</v>
      </c>
      <c r="AV127">
        <f t="shared" si="4"/>
        <v>806</v>
      </c>
      <c r="AW127">
        <v>82.84</v>
      </c>
      <c r="BB127" t="s">
        <v>228</v>
      </c>
    </row>
    <row r="128" spans="3:55" x14ac:dyDescent="0.3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12</v>
      </c>
      <c r="AU128">
        <f t="shared" si="3"/>
        <v>0</v>
      </c>
      <c r="AV128">
        <f t="shared" si="4"/>
        <v>768</v>
      </c>
      <c r="AW128">
        <v>89.7</v>
      </c>
      <c r="BB128" t="s">
        <v>229</v>
      </c>
    </row>
    <row r="129" spans="3:55" x14ac:dyDescent="0.3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5.26</v>
      </c>
      <c r="AU129">
        <f t="shared" si="3"/>
        <v>0</v>
      </c>
      <c r="AV129">
        <f t="shared" si="4"/>
        <v>832.03</v>
      </c>
      <c r="AW129">
        <v>113</v>
      </c>
      <c r="BB129" t="s">
        <v>230</v>
      </c>
    </row>
    <row r="130" spans="3:55" x14ac:dyDescent="0.3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5.71</v>
      </c>
      <c r="AU130">
        <f t="shared" ref="AU130:AU193" si="6">D130+J130/6+M130/3+(T130+S130)/10</f>
        <v>0</v>
      </c>
      <c r="AV130">
        <f t="shared" ref="AV130:AV193" si="7"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3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6.87</v>
      </c>
      <c r="AU131">
        <f t="shared" si="6"/>
        <v>0</v>
      </c>
      <c r="AV131">
        <f t="shared" si="7"/>
        <v>816.73500000000001</v>
      </c>
      <c r="AW131">
        <v>104.47</v>
      </c>
      <c r="BB131" t="s">
        <v>232</v>
      </c>
    </row>
    <row r="132" spans="3:55" x14ac:dyDescent="0.3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8.1199999999999992</v>
      </c>
      <c r="AU132">
        <f t="shared" si="6"/>
        <v>0</v>
      </c>
      <c r="AV132">
        <f t="shared" si="7"/>
        <v>804.86</v>
      </c>
      <c r="AW132">
        <v>70.48</v>
      </c>
      <c r="BB132" t="s">
        <v>233</v>
      </c>
    </row>
    <row r="133" spans="3:55" x14ac:dyDescent="0.3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16</v>
      </c>
      <c r="AU133">
        <f t="shared" si="6"/>
        <v>0</v>
      </c>
      <c r="AV133">
        <f t="shared" si="7"/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3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17.600000000000001</v>
      </c>
      <c r="AU134">
        <f t="shared" si="6"/>
        <v>0</v>
      </c>
      <c r="AV134">
        <f t="shared" si="7"/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3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19.200000000000003</v>
      </c>
      <c r="AU135">
        <f t="shared" si="6"/>
        <v>0</v>
      </c>
      <c r="AV135">
        <f t="shared" si="7"/>
        <v>736.8</v>
      </c>
      <c r="AY135">
        <v>753</v>
      </c>
      <c r="AZ135">
        <v>13.27</v>
      </c>
      <c r="BC135" t="s">
        <v>71</v>
      </c>
    </row>
    <row r="136" spans="3:55" x14ac:dyDescent="0.3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20.8</v>
      </c>
      <c r="AU136">
        <f t="shared" si="6"/>
        <v>0</v>
      </c>
      <c r="AV136">
        <f t="shared" si="7"/>
        <v>724.7</v>
      </c>
      <c r="AY136">
        <v>785</v>
      </c>
      <c r="AZ136">
        <v>12.6</v>
      </c>
      <c r="BC136" t="s">
        <v>71</v>
      </c>
    </row>
    <row r="137" spans="3:55" x14ac:dyDescent="0.3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22.400000000000002</v>
      </c>
      <c r="AU137">
        <f t="shared" si="6"/>
        <v>0</v>
      </c>
      <c r="AV137">
        <f t="shared" si="7"/>
        <v>712.6</v>
      </c>
      <c r="AY137">
        <v>789</v>
      </c>
      <c r="AZ137">
        <v>13.52</v>
      </c>
      <c r="BC137" t="s">
        <v>71</v>
      </c>
    </row>
    <row r="138" spans="3:55" x14ac:dyDescent="0.3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19.200000000000003</v>
      </c>
      <c r="AU138">
        <f t="shared" si="6"/>
        <v>0</v>
      </c>
      <c r="AV138">
        <f t="shared" si="7"/>
        <v>736.8</v>
      </c>
      <c r="AY138">
        <v>754</v>
      </c>
      <c r="AZ138">
        <v>13.31</v>
      </c>
      <c r="BC138" t="s">
        <v>72</v>
      </c>
    </row>
    <row r="139" spans="3:55" x14ac:dyDescent="0.3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16</v>
      </c>
      <c r="AU139">
        <f t="shared" si="6"/>
        <v>0</v>
      </c>
      <c r="AV139">
        <f t="shared" si="7"/>
        <v>761</v>
      </c>
      <c r="AY139">
        <v>863</v>
      </c>
      <c r="AZ139">
        <v>18.989999999999998</v>
      </c>
      <c r="BC139" t="s">
        <v>73</v>
      </c>
    </row>
    <row r="140" spans="3:55" x14ac:dyDescent="0.3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17.600000000000001</v>
      </c>
      <c r="AU140">
        <f t="shared" si="6"/>
        <v>0</v>
      </c>
      <c r="AV140">
        <f t="shared" si="7"/>
        <v>748.9</v>
      </c>
      <c r="AY140">
        <v>833</v>
      </c>
      <c r="AZ140">
        <v>16.84</v>
      </c>
      <c r="BC140" t="s">
        <v>74</v>
      </c>
    </row>
    <row r="141" spans="3:55" x14ac:dyDescent="0.3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19.200000000000003</v>
      </c>
      <c r="AU141">
        <f t="shared" si="6"/>
        <v>0</v>
      </c>
      <c r="AV141">
        <f t="shared" si="7"/>
        <v>736.8</v>
      </c>
      <c r="AY141">
        <v>753</v>
      </c>
      <c r="AZ141">
        <v>13.29</v>
      </c>
      <c r="BC141" t="s">
        <v>75</v>
      </c>
    </row>
    <row r="142" spans="3:55" x14ac:dyDescent="0.3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20.8</v>
      </c>
      <c r="AU142">
        <f t="shared" si="6"/>
        <v>0</v>
      </c>
      <c r="AV142">
        <f t="shared" si="7"/>
        <v>724.7</v>
      </c>
      <c r="AY142">
        <v>785</v>
      </c>
      <c r="AZ142">
        <v>12.58</v>
      </c>
      <c r="BC142" t="s">
        <v>76</v>
      </c>
    </row>
    <row r="143" spans="3:55" x14ac:dyDescent="0.3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22.400000000000002</v>
      </c>
      <c r="AU143">
        <f t="shared" si="6"/>
        <v>0</v>
      </c>
      <c r="AV143">
        <f t="shared" si="7"/>
        <v>712.6</v>
      </c>
      <c r="AY143">
        <v>789</v>
      </c>
      <c r="AZ143">
        <v>13.49</v>
      </c>
      <c r="BC143" t="s">
        <v>77</v>
      </c>
    </row>
    <row r="144" spans="3:55" x14ac:dyDescent="0.3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-5.73</v>
      </c>
      <c r="AU144">
        <f t="shared" si="6"/>
        <v>5.73</v>
      </c>
      <c r="AV144">
        <f t="shared" si="7"/>
        <v>894.03300000000002</v>
      </c>
      <c r="AY144">
        <v>932</v>
      </c>
      <c r="BC144" t="s">
        <v>49</v>
      </c>
    </row>
    <row r="145" spans="3:55" x14ac:dyDescent="0.3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-5.73</v>
      </c>
      <c r="AU145">
        <f t="shared" si="6"/>
        <v>5.73</v>
      </c>
      <c r="AV145">
        <f t="shared" si="7"/>
        <v>894.03300000000002</v>
      </c>
      <c r="AY145">
        <v>695</v>
      </c>
      <c r="BC145" t="s">
        <v>49</v>
      </c>
    </row>
    <row r="146" spans="3:55" x14ac:dyDescent="0.3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20.126000000000001</v>
      </c>
      <c r="AU146">
        <f t="shared" si="6"/>
        <v>0</v>
      </c>
      <c r="AV146">
        <f t="shared" si="7"/>
        <v>775.12400000000002</v>
      </c>
      <c r="AW146">
        <v>129</v>
      </c>
      <c r="AX146">
        <v>1560</v>
      </c>
      <c r="BC146" t="s">
        <v>60</v>
      </c>
    </row>
    <row r="147" spans="3:55" x14ac:dyDescent="0.3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17.574000000000002</v>
      </c>
      <c r="AU147">
        <f t="shared" si="6"/>
        <v>0</v>
      </c>
      <c r="AV147">
        <f t="shared" si="7"/>
        <v>788.67599999999993</v>
      </c>
      <c r="AW147">
        <v>130</v>
      </c>
      <c r="AX147">
        <v>1847</v>
      </c>
      <c r="BC147" t="s">
        <v>60</v>
      </c>
    </row>
    <row r="148" spans="3:55" x14ac:dyDescent="0.3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0</v>
      </c>
      <c r="AU148">
        <f t="shared" si="6"/>
        <v>11.666666666666666</v>
      </c>
      <c r="AV148">
        <f t="shared" si="7"/>
        <v>399</v>
      </c>
      <c r="AW148">
        <v>74.7</v>
      </c>
    </row>
    <row r="149" spans="3:55" x14ac:dyDescent="0.3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0</v>
      </c>
      <c r="AU149">
        <f t="shared" si="6"/>
        <v>1.4116666666666668</v>
      </c>
      <c r="AV149">
        <f t="shared" si="7"/>
        <v>823.55700000000002</v>
      </c>
      <c r="AW149">
        <v>110.5</v>
      </c>
    </row>
    <row r="150" spans="3:55" x14ac:dyDescent="0.3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0</v>
      </c>
      <c r="AU150">
        <f t="shared" si="6"/>
        <v>4.583333333333333</v>
      </c>
      <c r="AV150">
        <f t="shared" si="7"/>
        <v>692.25</v>
      </c>
      <c r="AW150">
        <v>94.61</v>
      </c>
    </row>
    <row r="151" spans="3:55" x14ac:dyDescent="0.3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10.920000000000002</v>
      </c>
      <c r="AU151">
        <f t="shared" si="6"/>
        <v>0.255</v>
      </c>
      <c r="AV151">
        <f t="shared" si="7"/>
        <v>871.44299999999998</v>
      </c>
      <c r="AY151">
        <v>598.70000000000005</v>
      </c>
      <c r="AZ151">
        <v>21.88</v>
      </c>
      <c r="BC151" t="s">
        <v>51</v>
      </c>
    </row>
    <row r="152" spans="3:55" x14ac:dyDescent="0.3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10.841600000000001</v>
      </c>
      <c r="AU152">
        <f t="shared" si="6"/>
        <v>0.50666666666666671</v>
      </c>
      <c r="AV152">
        <f t="shared" si="7"/>
        <v>861.024</v>
      </c>
      <c r="AY152">
        <v>667.1</v>
      </c>
      <c r="AZ152">
        <v>11.03</v>
      </c>
      <c r="BC152" t="s">
        <v>51</v>
      </c>
    </row>
    <row r="153" spans="3:55" x14ac:dyDescent="0.3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10.763200000000001</v>
      </c>
      <c r="AU153">
        <f t="shared" si="6"/>
        <v>0.755</v>
      </c>
      <c r="AV153">
        <f t="shared" si="7"/>
        <v>850.74299999999994</v>
      </c>
      <c r="AY153">
        <v>768.2</v>
      </c>
      <c r="AZ153">
        <v>5.26</v>
      </c>
      <c r="BC153" t="s">
        <v>51</v>
      </c>
    </row>
    <row r="154" spans="3:55" x14ac:dyDescent="0.3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10.684799999999999</v>
      </c>
      <c r="AU154">
        <f t="shared" si="6"/>
        <v>1</v>
      </c>
      <c r="AV154">
        <f t="shared" si="7"/>
        <v>840.6</v>
      </c>
      <c r="AY154">
        <v>746.6</v>
      </c>
      <c r="AZ154">
        <v>3.88</v>
      </c>
      <c r="BC154" t="s">
        <v>51</v>
      </c>
    </row>
    <row r="155" spans="3:55" x14ac:dyDescent="0.3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10.536400000000002</v>
      </c>
      <c r="AU155">
        <f t="shared" si="6"/>
        <v>1.4783333333333333</v>
      </c>
      <c r="AV155">
        <f t="shared" si="7"/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3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9.7580000000000009</v>
      </c>
      <c r="AU156">
        <f t="shared" si="6"/>
        <v>0.51833333333333331</v>
      </c>
      <c r="AV156">
        <f t="shared" si="7"/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3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9.6180000000000021</v>
      </c>
      <c r="AU157">
        <f t="shared" si="6"/>
        <v>1.0216666666666667</v>
      </c>
      <c r="AV157">
        <f t="shared" si="7"/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3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9.4780000000000015</v>
      </c>
      <c r="AU158">
        <f t="shared" si="6"/>
        <v>1.5116666666666667</v>
      </c>
      <c r="AV158">
        <f t="shared" si="7"/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3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9.3436000000000003</v>
      </c>
      <c r="AU159">
        <f t="shared" si="6"/>
        <v>1.9866666666666666</v>
      </c>
      <c r="AV159">
        <f t="shared" si="7"/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3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3.6400000000000006</v>
      </c>
      <c r="AU160">
        <f t="shared" si="6"/>
        <v>2.1666666666666665</v>
      </c>
      <c r="AV160">
        <f t="shared" si="7"/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3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3.6400000000000006</v>
      </c>
      <c r="AU161">
        <f t="shared" si="6"/>
        <v>2.1666666666666665</v>
      </c>
      <c r="AV161">
        <f t="shared" si="7"/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3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3.6400000000000006</v>
      </c>
      <c r="AU162">
        <f t="shared" si="6"/>
        <v>2.1666666666666665</v>
      </c>
      <c r="AV162">
        <f t="shared" si="7"/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3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3.6400000000000006</v>
      </c>
      <c r="AU163">
        <f t="shared" si="6"/>
        <v>2.1666666666666665</v>
      </c>
      <c r="AV163">
        <f t="shared" si="7"/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3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3.6400000000000006</v>
      </c>
      <c r="AU164">
        <f t="shared" si="6"/>
        <v>2.1666666666666665</v>
      </c>
      <c r="AV164">
        <f t="shared" si="7"/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3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3.6400000000000006</v>
      </c>
      <c r="AU165">
        <f t="shared" si="6"/>
        <v>2.1666666666666665</v>
      </c>
      <c r="AV165">
        <f t="shared" si="7"/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3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3.6400000000000006</v>
      </c>
      <c r="AU166">
        <f t="shared" si="6"/>
        <v>2.1666666666666665</v>
      </c>
      <c r="AV166">
        <f t="shared" si="7"/>
        <v>792.3</v>
      </c>
      <c r="AY166">
        <v>807</v>
      </c>
      <c r="AZ166">
        <v>16.989999999999998</v>
      </c>
      <c r="BC166" t="s">
        <v>82</v>
      </c>
    </row>
    <row r="167" spans="3:55" x14ac:dyDescent="0.3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3.6400000000000006</v>
      </c>
      <c r="AU167">
        <f t="shared" si="6"/>
        <v>2.1666666666666665</v>
      </c>
      <c r="AV167">
        <f t="shared" si="7"/>
        <v>792.3</v>
      </c>
      <c r="AY167">
        <v>881</v>
      </c>
      <c r="AZ167">
        <v>8.34</v>
      </c>
      <c r="BC167" t="s">
        <v>82</v>
      </c>
    </row>
    <row r="168" spans="3:55" x14ac:dyDescent="0.3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3.6400000000000006</v>
      </c>
      <c r="AU168">
        <f t="shared" si="6"/>
        <v>2.1666666666666665</v>
      </c>
      <c r="AV168">
        <f t="shared" si="7"/>
        <v>792.3</v>
      </c>
      <c r="AY168">
        <v>814</v>
      </c>
      <c r="AZ168">
        <v>19.489999999999998</v>
      </c>
      <c r="BC168" t="s">
        <v>82</v>
      </c>
    </row>
    <row r="169" spans="3:55" x14ac:dyDescent="0.3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3.6400000000000006</v>
      </c>
      <c r="AU169">
        <f t="shared" si="6"/>
        <v>2.1666666666666665</v>
      </c>
      <c r="AV169">
        <f t="shared" si="7"/>
        <v>792.3</v>
      </c>
      <c r="AY169">
        <v>876</v>
      </c>
      <c r="AZ169">
        <v>15.45</v>
      </c>
      <c r="BC169" t="s">
        <v>82</v>
      </c>
    </row>
    <row r="170" spans="3:55" x14ac:dyDescent="0.3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3.6400000000000006</v>
      </c>
      <c r="AU170">
        <f t="shared" si="6"/>
        <v>2.1666666666666665</v>
      </c>
      <c r="AV170">
        <f t="shared" si="7"/>
        <v>792.3</v>
      </c>
      <c r="AY170">
        <v>804</v>
      </c>
      <c r="AZ170">
        <v>20.2</v>
      </c>
      <c r="BC170" t="s">
        <v>82</v>
      </c>
    </row>
    <row r="171" spans="3:55" x14ac:dyDescent="0.3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3.6400000000000006</v>
      </c>
      <c r="AU171">
        <f t="shared" si="6"/>
        <v>2.1666666666666665</v>
      </c>
      <c r="AV171">
        <f t="shared" si="7"/>
        <v>792.3</v>
      </c>
      <c r="AY171">
        <v>1000</v>
      </c>
      <c r="AZ171">
        <v>11.83</v>
      </c>
      <c r="BC171" t="s">
        <v>82</v>
      </c>
    </row>
    <row r="172" spans="3:55" x14ac:dyDescent="0.3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3.6400000000000006</v>
      </c>
      <c r="AU172">
        <f t="shared" si="6"/>
        <v>2.1666666666666665</v>
      </c>
      <c r="AV172">
        <f t="shared" si="7"/>
        <v>792.3</v>
      </c>
      <c r="AY172">
        <v>687</v>
      </c>
      <c r="AZ172">
        <v>16.059999999999999</v>
      </c>
      <c r="BC172" t="s">
        <v>82</v>
      </c>
    </row>
    <row r="173" spans="3:55" x14ac:dyDescent="0.3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3.6400000000000006</v>
      </c>
      <c r="AU173">
        <f t="shared" si="6"/>
        <v>2.1666666666666665</v>
      </c>
      <c r="AV173">
        <f t="shared" si="7"/>
        <v>792.3</v>
      </c>
      <c r="AY173">
        <v>850</v>
      </c>
      <c r="AZ173">
        <v>19.93</v>
      </c>
      <c r="BC173" t="s">
        <v>82</v>
      </c>
    </row>
    <row r="174" spans="3:55" x14ac:dyDescent="0.3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3.6400000000000006</v>
      </c>
      <c r="AU174">
        <f t="shared" si="6"/>
        <v>2.1666666666666665</v>
      </c>
      <c r="AV174">
        <f t="shared" si="7"/>
        <v>792.3</v>
      </c>
      <c r="AY174">
        <v>761</v>
      </c>
      <c r="AZ174">
        <v>13.08</v>
      </c>
      <c r="BC174" t="s">
        <v>82</v>
      </c>
    </row>
    <row r="175" spans="3:55" x14ac:dyDescent="0.3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3.6400000000000006</v>
      </c>
      <c r="AU175">
        <f t="shared" si="6"/>
        <v>2.1666666666666665</v>
      </c>
      <c r="AV175">
        <f t="shared" si="7"/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3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3.6400000000000006</v>
      </c>
      <c r="AU176">
        <f t="shared" si="6"/>
        <v>2.1666666666666665</v>
      </c>
      <c r="AV176">
        <f t="shared" si="7"/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3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3.6400000000000006</v>
      </c>
      <c r="AU177">
        <f t="shared" si="6"/>
        <v>2.1666666666666665</v>
      </c>
      <c r="AV177">
        <f t="shared" si="7"/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3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9.5200000000000014</v>
      </c>
      <c r="AU178">
        <f t="shared" si="6"/>
        <v>4.166666666666667</v>
      </c>
      <c r="AV178">
        <f t="shared" si="7"/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3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9.5200000000000014</v>
      </c>
      <c r="AU179">
        <f t="shared" si="6"/>
        <v>4.166666666666667</v>
      </c>
      <c r="AV179">
        <f t="shared" si="7"/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3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9.5200000000000014</v>
      </c>
      <c r="AU180">
        <f t="shared" si="6"/>
        <v>4.166666666666667</v>
      </c>
      <c r="AV180">
        <f t="shared" si="7"/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3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9.5200000000000014</v>
      </c>
      <c r="AU181">
        <f t="shared" si="6"/>
        <v>4.166666666666667</v>
      </c>
      <c r="AV181">
        <f t="shared" si="7"/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3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9.5200000000000014</v>
      </c>
      <c r="AU182">
        <f t="shared" si="6"/>
        <v>4.166666666666667</v>
      </c>
      <c r="AV182">
        <f t="shared" si="7"/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3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9.5200000000000014</v>
      </c>
      <c r="AU183">
        <f t="shared" si="6"/>
        <v>4.166666666666667</v>
      </c>
      <c r="AV183">
        <f t="shared" si="7"/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3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6.8460000000000001</v>
      </c>
      <c r="AU184">
        <f t="shared" si="6"/>
        <v>3.0516666666666672</v>
      </c>
      <c r="AV184">
        <f t="shared" si="7"/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3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6.16</v>
      </c>
      <c r="AU185">
        <f t="shared" si="6"/>
        <v>3.9833333333333329</v>
      </c>
      <c r="AV185">
        <f t="shared" si="7"/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3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5.8044000000000011</v>
      </c>
      <c r="AU186">
        <f t="shared" si="6"/>
        <v>4.4483333333333333</v>
      </c>
      <c r="AV186">
        <f t="shared" si="7"/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3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5.2136000000000005</v>
      </c>
      <c r="AU187">
        <f t="shared" si="6"/>
        <v>5.1866666666666665</v>
      </c>
      <c r="AV187">
        <f t="shared" si="7"/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3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2.2176000000000005</v>
      </c>
      <c r="AU188">
        <f t="shared" si="6"/>
        <v>1.32</v>
      </c>
      <c r="AV188">
        <f t="shared" si="7"/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3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6.16</v>
      </c>
      <c r="AU189">
        <f t="shared" si="6"/>
        <v>0.16666666666666666</v>
      </c>
      <c r="AV189">
        <f t="shared" si="7"/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3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6.7200000000000006</v>
      </c>
      <c r="AU190">
        <f t="shared" si="6"/>
        <v>0.33333333333333331</v>
      </c>
      <c r="AV190">
        <f t="shared" si="7"/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3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6.7200000000000006</v>
      </c>
      <c r="AU191">
        <f t="shared" si="6"/>
        <v>0.66666666666666663</v>
      </c>
      <c r="AV191">
        <f t="shared" si="7"/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3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5.2836000000000007</v>
      </c>
      <c r="AU192">
        <f t="shared" si="6"/>
        <v>0.80166666666666664</v>
      </c>
      <c r="AV192">
        <f t="shared" si="7"/>
        <v>848.81100000000004</v>
      </c>
      <c r="AW192">
        <v>65</v>
      </c>
      <c r="BB192" t="s">
        <v>342</v>
      </c>
    </row>
    <row r="193" spans="3:54" x14ac:dyDescent="0.3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5.6000000000000005</v>
      </c>
      <c r="AU193">
        <f t="shared" si="6"/>
        <v>2</v>
      </c>
      <c r="AV193">
        <f t="shared" si="7"/>
        <v>799.2</v>
      </c>
      <c r="AW193">
        <v>54.8</v>
      </c>
      <c r="BB193" t="s">
        <v>342</v>
      </c>
    </row>
    <row r="194" spans="3:54" x14ac:dyDescent="0.3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4.7600000000000007</v>
      </c>
      <c r="AU194">
        <f t="shared" ref="AU194:AU257" si="9">D194+J194/6+M194/3+(T194+S194)/10</f>
        <v>3.5</v>
      </c>
      <c r="AV194">
        <f t="shared" ref="AV194:AV257" si="10"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3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11">L195+0.67*E195+0.44*P195+0.28*K195+0.22*O195+2.9*H195+1.6*F195+1.7*G195-D195</f>
        <v>3.08</v>
      </c>
      <c r="AU195">
        <f t="shared" si="9"/>
        <v>6.333333333333333</v>
      </c>
      <c r="AV195">
        <f t="shared" si="10"/>
        <v>619.79999999999995</v>
      </c>
      <c r="AW195">
        <v>48.8</v>
      </c>
      <c r="BB195" t="s">
        <v>342</v>
      </c>
    </row>
    <row r="196" spans="3:54" x14ac:dyDescent="0.3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1.6800000000000002</v>
      </c>
      <c r="AU196">
        <f t="shared" si="9"/>
        <v>8.8333333333333339</v>
      </c>
      <c r="AV196">
        <f t="shared" si="10"/>
        <v>516.29999999999995</v>
      </c>
      <c r="AW196">
        <v>48</v>
      </c>
      <c r="BB196" t="s">
        <v>342</v>
      </c>
    </row>
    <row r="197" spans="3:54" x14ac:dyDescent="0.3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2.1448</v>
      </c>
      <c r="AU197">
        <f t="shared" si="9"/>
        <v>1.2983333333333333</v>
      </c>
      <c r="AV197">
        <f t="shared" si="10"/>
        <v>828.24900000000002</v>
      </c>
      <c r="AW197">
        <v>91.2</v>
      </c>
      <c r="BB197" t="s">
        <v>342</v>
      </c>
    </row>
    <row r="198" spans="3:54" x14ac:dyDescent="0.3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4.9560000000000004</v>
      </c>
      <c r="AU198">
        <f t="shared" si="9"/>
        <v>4.916666666666667</v>
      </c>
      <c r="AV198">
        <f t="shared" si="10"/>
        <v>678.45</v>
      </c>
      <c r="AW198">
        <v>68.2</v>
      </c>
      <c r="BB198" t="s">
        <v>342</v>
      </c>
    </row>
    <row r="199" spans="3:54" x14ac:dyDescent="0.3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7.2800000000000011</v>
      </c>
      <c r="AU199">
        <f t="shared" si="9"/>
        <v>3.3333333333333335</v>
      </c>
      <c r="AV199">
        <f t="shared" si="10"/>
        <v>744</v>
      </c>
      <c r="AW199">
        <v>59.07</v>
      </c>
      <c r="BB199" t="s">
        <v>242</v>
      </c>
    </row>
    <row r="200" spans="3:54" x14ac:dyDescent="0.3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10.220000000000001</v>
      </c>
      <c r="AU200">
        <f t="shared" si="9"/>
        <v>1.7333333333333334</v>
      </c>
      <c r="AV200">
        <f t="shared" si="10"/>
        <v>810.24</v>
      </c>
      <c r="AW200">
        <v>92.18</v>
      </c>
      <c r="BB200" t="s">
        <v>242</v>
      </c>
    </row>
    <row r="201" spans="3:54" x14ac:dyDescent="0.3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2.1812</v>
      </c>
      <c r="AU201">
        <f t="shared" si="9"/>
        <v>1.3533333333333333</v>
      </c>
      <c r="AV201">
        <f t="shared" si="10"/>
        <v>825.97199999999998</v>
      </c>
      <c r="AW201">
        <v>80</v>
      </c>
      <c r="BB201" t="s">
        <v>243</v>
      </c>
    </row>
    <row r="202" spans="3:54" x14ac:dyDescent="0.3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7.7308000000000003</v>
      </c>
      <c r="AU202">
        <f t="shared" si="9"/>
        <v>0.81</v>
      </c>
      <c r="AV202">
        <f t="shared" si="10"/>
        <v>848.46600000000001</v>
      </c>
      <c r="AW202">
        <v>65</v>
      </c>
      <c r="BB202" t="s">
        <v>244</v>
      </c>
    </row>
    <row r="203" spans="3:54" x14ac:dyDescent="0.3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7.0000000000000009</v>
      </c>
      <c r="AU203">
        <f t="shared" si="9"/>
        <v>0.5</v>
      </c>
      <c r="AV203">
        <f t="shared" si="10"/>
        <v>861.3</v>
      </c>
      <c r="AW203">
        <v>66</v>
      </c>
      <c r="BB203" t="s">
        <v>245</v>
      </c>
    </row>
    <row r="204" spans="3:54" x14ac:dyDescent="0.3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7.0000000000000009</v>
      </c>
      <c r="AU204">
        <f t="shared" si="9"/>
        <v>0.66666666666666663</v>
      </c>
      <c r="AV204">
        <f t="shared" si="10"/>
        <v>854.4</v>
      </c>
      <c r="AW204">
        <v>69</v>
      </c>
      <c r="BB204" t="s">
        <v>246</v>
      </c>
    </row>
    <row r="205" spans="3:54" x14ac:dyDescent="0.3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7.0000000000000009</v>
      </c>
      <c r="AU205">
        <f t="shared" si="9"/>
        <v>1</v>
      </c>
      <c r="AV205">
        <f t="shared" si="10"/>
        <v>840.6</v>
      </c>
      <c r="AW205">
        <v>68</v>
      </c>
      <c r="BB205" t="s">
        <v>247</v>
      </c>
    </row>
    <row r="206" spans="3:54" x14ac:dyDescent="0.3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6.8460000000000001</v>
      </c>
      <c r="AU206">
        <f t="shared" si="9"/>
        <v>3.0533333333333332</v>
      </c>
      <c r="AV206">
        <f t="shared" si="10"/>
        <v>755.59199999999998</v>
      </c>
      <c r="AW206">
        <v>62</v>
      </c>
      <c r="BB206" t="s">
        <v>248</v>
      </c>
    </row>
    <row r="207" spans="3:54" x14ac:dyDescent="0.3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5.6000000000000005</v>
      </c>
      <c r="AU207">
        <f t="shared" si="9"/>
        <v>0.83333333333333337</v>
      </c>
      <c r="AV207">
        <f t="shared" si="10"/>
        <v>847.5</v>
      </c>
      <c r="AW207">
        <v>51.3</v>
      </c>
      <c r="BB207" t="s">
        <v>249</v>
      </c>
    </row>
    <row r="208" spans="3:54" x14ac:dyDescent="0.3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5.6000000000000005</v>
      </c>
      <c r="AU208">
        <f t="shared" si="9"/>
        <v>3.3333333333333335</v>
      </c>
      <c r="AV208">
        <f t="shared" si="10"/>
        <v>744</v>
      </c>
      <c r="AW208">
        <v>47.3</v>
      </c>
    </row>
    <row r="209" spans="3:49" x14ac:dyDescent="0.3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5.6000000000000005</v>
      </c>
      <c r="AU209">
        <f t="shared" si="9"/>
        <v>5</v>
      </c>
      <c r="AV209">
        <f t="shared" si="10"/>
        <v>675</v>
      </c>
      <c r="AW209">
        <v>52.7</v>
      </c>
    </row>
    <row r="210" spans="3:49" x14ac:dyDescent="0.3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5.6000000000000005</v>
      </c>
      <c r="AU210">
        <f t="shared" si="9"/>
        <v>6.666666666666667</v>
      </c>
      <c r="AV210">
        <f t="shared" si="10"/>
        <v>606</v>
      </c>
      <c r="AW210">
        <v>50.5</v>
      </c>
    </row>
    <row r="211" spans="3:49" x14ac:dyDescent="0.3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11.144</v>
      </c>
      <c r="AU211">
        <f t="shared" si="9"/>
        <v>6.5133333333333328</v>
      </c>
      <c r="AV211">
        <f t="shared" si="10"/>
        <v>612.34799999999996</v>
      </c>
      <c r="AW211">
        <v>78</v>
      </c>
    </row>
    <row r="212" spans="3:49" x14ac:dyDescent="0.3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12.502000000000001</v>
      </c>
      <c r="AU212">
        <f t="shared" si="9"/>
        <v>7.3083333333333336</v>
      </c>
      <c r="AV212">
        <f t="shared" si="10"/>
        <v>579.43499999999995</v>
      </c>
      <c r="AW212">
        <v>75</v>
      </c>
    </row>
    <row r="213" spans="3:49" x14ac:dyDescent="0.3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6.8460000000000001</v>
      </c>
      <c r="AU213">
        <f t="shared" si="9"/>
        <v>3.0516666666666663</v>
      </c>
      <c r="AV213">
        <f t="shared" si="10"/>
        <v>755.66100000000006</v>
      </c>
      <c r="AW213">
        <v>62</v>
      </c>
    </row>
    <row r="214" spans="3:49" x14ac:dyDescent="0.3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6.16</v>
      </c>
      <c r="AU214">
        <f t="shared" si="9"/>
        <v>3.9833333333333329</v>
      </c>
      <c r="AV214">
        <f t="shared" si="10"/>
        <v>717.09</v>
      </c>
      <c r="AW214">
        <v>65</v>
      </c>
    </row>
    <row r="215" spans="3:49" x14ac:dyDescent="0.3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5.8044000000000011</v>
      </c>
      <c r="AU215">
        <f t="shared" si="9"/>
        <v>4.4483333333333333</v>
      </c>
      <c r="AV215">
        <f t="shared" si="10"/>
        <v>697.83899999999994</v>
      </c>
      <c r="AW215">
        <v>64</v>
      </c>
    </row>
    <row r="216" spans="3:49" x14ac:dyDescent="0.3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5.2136000000000005</v>
      </c>
      <c r="AU216">
        <f t="shared" si="9"/>
        <v>5.1866666666666665</v>
      </c>
      <c r="AV216">
        <f t="shared" si="10"/>
        <v>667.27199999999993</v>
      </c>
      <c r="AW216">
        <v>63</v>
      </c>
    </row>
    <row r="217" spans="3:49" x14ac:dyDescent="0.3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8.4</v>
      </c>
      <c r="AU217">
        <f t="shared" si="9"/>
        <v>5.333333333333333</v>
      </c>
      <c r="AV217">
        <f t="shared" si="10"/>
        <v>661.2</v>
      </c>
      <c r="AW217">
        <v>65</v>
      </c>
    </row>
    <row r="218" spans="3:49" x14ac:dyDescent="0.3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9.5200000000000014</v>
      </c>
      <c r="AU218">
        <f t="shared" si="9"/>
        <v>4.166666666666667</v>
      </c>
      <c r="AV218">
        <f t="shared" si="10"/>
        <v>709.5</v>
      </c>
      <c r="AW218">
        <v>62</v>
      </c>
    </row>
    <row r="219" spans="3:49" x14ac:dyDescent="0.3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9.8000000000000007</v>
      </c>
      <c r="AU219">
        <f t="shared" si="9"/>
        <v>1.6666666666666667</v>
      </c>
      <c r="AV219">
        <f t="shared" si="10"/>
        <v>813</v>
      </c>
      <c r="AW219">
        <v>58.8</v>
      </c>
    </row>
    <row r="220" spans="3:49" x14ac:dyDescent="0.3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9.8000000000000007</v>
      </c>
      <c r="AU220">
        <f t="shared" si="9"/>
        <v>0.83333333333333337</v>
      </c>
      <c r="AV220">
        <f t="shared" si="10"/>
        <v>847.5</v>
      </c>
      <c r="AW220">
        <v>59.8</v>
      </c>
    </row>
    <row r="221" spans="3:49" x14ac:dyDescent="0.3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10.360000000000001</v>
      </c>
      <c r="AU221">
        <f t="shared" si="9"/>
        <v>1</v>
      </c>
      <c r="AV221">
        <f t="shared" si="10"/>
        <v>840.6</v>
      </c>
      <c r="AW221">
        <v>60</v>
      </c>
    </row>
    <row r="222" spans="3:49" x14ac:dyDescent="0.3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10.360000000000001</v>
      </c>
      <c r="AU222">
        <f t="shared" si="9"/>
        <v>0.5</v>
      </c>
      <c r="AV222">
        <f t="shared" si="10"/>
        <v>861.3</v>
      </c>
      <c r="AW222">
        <v>58</v>
      </c>
    </row>
    <row r="223" spans="3:49" x14ac:dyDescent="0.3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7.7308000000000003</v>
      </c>
      <c r="AU223">
        <f t="shared" si="9"/>
        <v>0.81</v>
      </c>
      <c r="AV223">
        <f t="shared" si="10"/>
        <v>848.46600000000001</v>
      </c>
      <c r="AW223">
        <v>64.900000000000006</v>
      </c>
    </row>
    <row r="224" spans="3:49" x14ac:dyDescent="0.3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3.4104000000000001</v>
      </c>
      <c r="AU224">
        <f t="shared" si="9"/>
        <v>1.24</v>
      </c>
      <c r="AV224">
        <f t="shared" si="10"/>
        <v>830.66399999999999</v>
      </c>
      <c r="AW224">
        <v>55</v>
      </c>
    </row>
    <row r="225" spans="3:55" x14ac:dyDescent="0.3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6.4792000000000005</v>
      </c>
      <c r="AU225">
        <f t="shared" si="9"/>
        <v>0.54500000000000004</v>
      </c>
      <c r="AV225">
        <f t="shared" si="10"/>
        <v>859.43700000000001</v>
      </c>
      <c r="AW225">
        <v>76</v>
      </c>
    </row>
    <row r="226" spans="3:55" x14ac:dyDescent="0.3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4.4660000000000002</v>
      </c>
      <c r="AU226">
        <f t="shared" si="9"/>
        <v>1.625</v>
      </c>
      <c r="AV226">
        <f t="shared" si="10"/>
        <v>814.72500000000002</v>
      </c>
      <c r="AW226">
        <v>75</v>
      </c>
    </row>
    <row r="227" spans="3:55" x14ac:dyDescent="0.3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13.600000000000001</v>
      </c>
      <c r="AU227">
        <f t="shared" si="9"/>
        <v>0.5</v>
      </c>
      <c r="AV227">
        <f t="shared" si="10"/>
        <v>785.44999999999993</v>
      </c>
      <c r="AY227">
        <v>1264</v>
      </c>
      <c r="AZ227">
        <v>36.049999999999997</v>
      </c>
      <c r="BC227" t="s">
        <v>112</v>
      </c>
    </row>
    <row r="228" spans="3:55" x14ac:dyDescent="0.3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13.632</v>
      </c>
      <c r="AU228">
        <f t="shared" si="9"/>
        <v>0.49333333333333335</v>
      </c>
      <c r="AV228">
        <f t="shared" si="10"/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3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13.600000000000001</v>
      </c>
      <c r="AU229">
        <f t="shared" si="9"/>
        <v>0.5</v>
      </c>
      <c r="AV229">
        <f t="shared" si="10"/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3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13.600000000000001</v>
      </c>
      <c r="AU230">
        <f t="shared" si="9"/>
        <v>0.5</v>
      </c>
      <c r="AV230">
        <f t="shared" si="10"/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3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12.72</v>
      </c>
      <c r="AU231">
        <f t="shared" si="9"/>
        <v>0.20333333333333334</v>
      </c>
      <c r="AV231">
        <f t="shared" si="10"/>
        <v>788.36699999999996</v>
      </c>
      <c r="AW231">
        <v>83</v>
      </c>
      <c r="AX231">
        <v>554</v>
      </c>
      <c r="BC231" t="s">
        <v>60</v>
      </c>
    </row>
    <row r="232" spans="3:55" x14ac:dyDescent="0.3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11.8</v>
      </c>
      <c r="AU232">
        <f t="shared" si="9"/>
        <v>0</v>
      </c>
      <c r="AV232">
        <f t="shared" si="10"/>
        <v>779.2</v>
      </c>
      <c r="AY232">
        <v>958.4</v>
      </c>
      <c r="AZ232">
        <v>1.1000000000000001</v>
      </c>
      <c r="BC232" t="s">
        <v>93</v>
      </c>
    </row>
    <row r="233" spans="3:55" x14ac:dyDescent="0.3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11.8</v>
      </c>
      <c r="AU233">
        <f t="shared" si="9"/>
        <v>0</v>
      </c>
      <c r="AV233">
        <f t="shared" si="10"/>
        <v>779.2</v>
      </c>
      <c r="AY233">
        <v>886.4</v>
      </c>
      <c r="AZ233">
        <v>46.37</v>
      </c>
      <c r="BC233" t="s">
        <v>93</v>
      </c>
    </row>
    <row r="234" spans="3:55" x14ac:dyDescent="0.3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7.16</v>
      </c>
      <c r="AU234">
        <f t="shared" si="9"/>
        <v>0</v>
      </c>
      <c r="AV234">
        <f t="shared" si="10"/>
        <v>872.5</v>
      </c>
      <c r="AW234">
        <v>87</v>
      </c>
      <c r="AX234">
        <v>452</v>
      </c>
      <c r="BC234" t="s">
        <v>60</v>
      </c>
    </row>
    <row r="235" spans="3:55" x14ac:dyDescent="0.3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6.9375999999999998</v>
      </c>
      <c r="AU235">
        <f t="shared" si="9"/>
        <v>0</v>
      </c>
      <c r="AV235">
        <f t="shared" si="10"/>
        <v>820.53499999999997</v>
      </c>
      <c r="AW235">
        <v>105</v>
      </c>
      <c r="AX235">
        <v>449</v>
      </c>
      <c r="BC235" t="s">
        <v>60</v>
      </c>
    </row>
    <row r="236" spans="3:55" x14ac:dyDescent="0.3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9.2800000000000011</v>
      </c>
      <c r="AU236">
        <f t="shared" si="9"/>
        <v>0</v>
      </c>
      <c r="AV236">
        <f t="shared" si="10"/>
        <v>863</v>
      </c>
      <c r="AW236">
        <v>67</v>
      </c>
      <c r="AX236">
        <v>535</v>
      </c>
      <c r="BC236" t="s">
        <v>60</v>
      </c>
    </row>
    <row r="237" spans="3:55" x14ac:dyDescent="0.3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11.280000000000001</v>
      </c>
      <c r="AU237">
        <f t="shared" si="9"/>
        <v>0</v>
      </c>
      <c r="AV237">
        <f t="shared" si="10"/>
        <v>844</v>
      </c>
      <c r="AW237">
        <v>64</v>
      </c>
      <c r="AX237">
        <v>621</v>
      </c>
      <c r="BC237" t="s">
        <v>60</v>
      </c>
    </row>
    <row r="238" spans="3:55" x14ac:dyDescent="0.3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13.280000000000001</v>
      </c>
      <c r="AU238">
        <f t="shared" si="9"/>
        <v>0</v>
      </c>
      <c r="AV238">
        <f t="shared" si="10"/>
        <v>825</v>
      </c>
      <c r="AW238">
        <v>56</v>
      </c>
      <c r="AX238">
        <v>634</v>
      </c>
      <c r="BC238" t="s">
        <v>60</v>
      </c>
    </row>
    <row r="239" spans="3:55" x14ac:dyDescent="0.3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15.280000000000001</v>
      </c>
      <c r="AU239">
        <f t="shared" si="9"/>
        <v>0</v>
      </c>
      <c r="AV239">
        <f t="shared" si="10"/>
        <v>806</v>
      </c>
      <c r="AW239">
        <v>55</v>
      </c>
      <c r="AX239">
        <v>663</v>
      </c>
      <c r="BC239" t="s">
        <v>60</v>
      </c>
    </row>
    <row r="240" spans="3:55" x14ac:dyDescent="0.3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8</v>
      </c>
      <c r="AU240">
        <f t="shared" si="9"/>
        <v>0</v>
      </c>
      <c r="AV240">
        <f t="shared" si="10"/>
        <v>822.625</v>
      </c>
      <c r="AW240">
        <v>92</v>
      </c>
    </row>
    <row r="241" spans="3:55" x14ac:dyDescent="0.3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11"/>
        <v>8.6760000000000002</v>
      </c>
      <c r="AU241">
        <f t="shared" si="9"/>
        <v>0</v>
      </c>
      <c r="AV241">
        <f t="shared" si="10"/>
        <v>804.1</v>
      </c>
      <c r="AW241">
        <v>82</v>
      </c>
    </row>
    <row r="242" spans="3:55" x14ac:dyDescent="0.3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11"/>
        <v>14.224</v>
      </c>
      <c r="AU242">
        <f t="shared" si="9"/>
        <v>0</v>
      </c>
      <c r="AV242">
        <f t="shared" si="10"/>
        <v>775.6</v>
      </c>
      <c r="AW242">
        <v>92</v>
      </c>
    </row>
    <row r="243" spans="3:55" x14ac:dyDescent="0.3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11"/>
        <v>15.56</v>
      </c>
      <c r="AU243">
        <f t="shared" si="9"/>
        <v>0</v>
      </c>
      <c r="AV243">
        <f t="shared" si="10"/>
        <v>786.05</v>
      </c>
      <c r="AW243">
        <v>83</v>
      </c>
    </row>
    <row r="244" spans="3:55" x14ac:dyDescent="0.3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11"/>
        <v>16.676000000000002</v>
      </c>
      <c r="AU244">
        <f t="shared" si="9"/>
        <v>0</v>
      </c>
      <c r="AV244">
        <f t="shared" si="10"/>
        <v>794.6</v>
      </c>
      <c r="AW244">
        <v>73</v>
      </c>
    </row>
    <row r="245" spans="3:55" x14ac:dyDescent="0.3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11"/>
        <v>9.1755999999999993</v>
      </c>
      <c r="AU245">
        <f t="shared" si="9"/>
        <v>0</v>
      </c>
      <c r="AV245">
        <f t="shared" si="10"/>
        <v>826.14</v>
      </c>
      <c r="AW245">
        <v>83</v>
      </c>
    </row>
    <row r="246" spans="3:55" x14ac:dyDescent="0.3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11"/>
        <v>9.1108000000000011</v>
      </c>
      <c r="AU246">
        <f t="shared" si="9"/>
        <v>0</v>
      </c>
      <c r="AV246">
        <f t="shared" si="10"/>
        <v>803.05499999999995</v>
      </c>
      <c r="AW246">
        <v>78</v>
      </c>
    </row>
    <row r="247" spans="3:55" x14ac:dyDescent="0.3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11"/>
        <v>7.6196000000000002</v>
      </c>
      <c r="AU247">
        <f t="shared" si="9"/>
        <v>0</v>
      </c>
      <c r="AV247">
        <f t="shared" si="10"/>
        <v>817.11500000000001</v>
      </c>
      <c r="AW247">
        <v>89</v>
      </c>
    </row>
    <row r="248" spans="3:55" x14ac:dyDescent="0.3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11"/>
        <v>11.338000000000001</v>
      </c>
      <c r="AU248">
        <f t="shared" si="9"/>
        <v>0</v>
      </c>
      <c r="AV248">
        <f t="shared" si="10"/>
        <v>871.11</v>
      </c>
      <c r="AY248">
        <v>503</v>
      </c>
      <c r="AZ248">
        <v>35.799999999999997</v>
      </c>
      <c r="BC248" t="s">
        <v>53</v>
      </c>
    </row>
    <row r="249" spans="3:55" x14ac:dyDescent="0.3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11"/>
        <v>12.0616</v>
      </c>
      <c r="AU249">
        <f t="shared" si="9"/>
        <v>0</v>
      </c>
      <c r="AV249">
        <f t="shared" si="10"/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3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11"/>
        <v>12.794799999999999</v>
      </c>
      <c r="AU250">
        <f t="shared" si="9"/>
        <v>0</v>
      </c>
      <c r="AV250">
        <f t="shared" si="10"/>
        <v>848.36199999999997</v>
      </c>
      <c r="AY250">
        <v>523</v>
      </c>
      <c r="AZ250">
        <v>18.899999999999999</v>
      </c>
      <c r="BC250" t="s">
        <v>53</v>
      </c>
    </row>
    <row r="251" spans="3:55" x14ac:dyDescent="0.3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11"/>
        <v>13.566800000000001</v>
      </c>
      <c r="AU251">
        <f t="shared" si="9"/>
        <v>0</v>
      </c>
      <c r="AV251">
        <f t="shared" si="10"/>
        <v>836.38300000000004</v>
      </c>
      <c r="AY251">
        <v>557</v>
      </c>
      <c r="AZ251">
        <v>22.5</v>
      </c>
      <c r="BC251" t="s">
        <v>53</v>
      </c>
    </row>
    <row r="252" spans="3:55" x14ac:dyDescent="0.3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11"/>
        <v>14.345600000000001</v>
      </c>
      <c r="AU252">
        <f t="shared" si="9"/>
        <v>0</v>
      </c>
      <c r="AV252">
        <f t="shared" si="10"/>
        <v>824.16200000000003</v>
      </c>
      <c r="AY252">
        <v>603</v>
      </c>
      <c r="AZ252">
        <v>22.7</v>
      </c>
      <c r="BC252" t="s">
        <v>53</v>
      </c>
    </row>
    <row r="253" spans="3:55" x14ac:dyDescent="0.3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11"/>
        <v>5</v>
      </c>
      <c r="AU253">
        <f t="shared" si="9"/>
        <v>5</v>
      </c>
      <c r="AV253">
        <f t="shared" si="10"/>
        <v>627.5</v>
      </c>
      <c r="AY253">
        <v>762</v>
      </c>
      <c r="AZ253">
        <v>18.52</v>
      </c>
      <c r="BC253" t="s">
        <v>95</v>
      </c>
    </row>
    <row r="254" spans="3:55" x14ac:dyDescent="0.3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11"/>
        <v>6</v>
      </c>
      <c r="AU254">
        <f t="shared" si="9"/>
        <v>5</v>
      </c>
      <c r="AV254">
        <f t="shared" si="10"/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3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11"/>
        <v>7</v>
      </c>
      <c r="AU255">
        <f t="shared" si="9"/>
        <v>5</v>
      </c>
      <c r="AV255">
        <f t="shared" si="10"/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3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11"/>
        <v>6.54</v>
      </c>
      <c r="AU256">
        <f t="shared" si="9"/>
        <v>0.47666666666666663</v>
      </c>
      <c r="AV256">
        <f t="shared" si="10"/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3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11"/>
        <v>3.2300000000000004</v>
      </c>
      <c r="AU257">
        <f t="shared" si="9"/>
        <v>3.1633333333333336</v>
      </c>
      <c r="AV257">
        <f t="shared" si="10"/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3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11"/>
        <v>3.8699999999999997</v>
      </c>
      <c r="AU258">
        <f t="shared" ref="AU258:AU321" si="12">D258+J258/6+M258/3+(T258+S258)/10</f>
        <v>3.1633333333333336</v>
      </c>
      <c r="AV258">
        <f t="shared" ref="AV258:AV321" si="13"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3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14">L259+0.67*E259+0.44*P259+0.28*K259+0.22*O259+2.9*H259+1.6*F259+1.7*G259-D259</f>
        <v>4.2799999999999994</v>
      </c>
      <c r="AU259">
        <f t="shared" si="12"/>
        <v>3.2149999999999999</v>
      </c>
      <c r="AV259">
        <f t="shared" si="13"/>
        <v>708.23900000000003</v>
      </c>
      <c r="AW259">
        <v>66</v>
      </c>
      <c r="AX259">
        <v>674</v>
      </c>
      <c r="BC259" t="s">
        <v>60</v>
      </c>
    </row>
    <row r="260" spans="3:55" x14ac:dyDescent="0.3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14"/>
        <v>6.25</v>
      </c>
      <c r="AU260">
        <f t="shared" si="12"/>
        <v>1.0416666666666667</v>
      </c>
      <c r="AV260">
        <f t="shared" si="13"/>
        <v>779.5</v>
      </c>
      <c r="AW260">
        <v>80</v>
      </c>
    </row>
    <row r="261" spans="3:55" x14ac:dyDescent="0.3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14"/>
        <v>5.6</v>
      </c>
      <c r="AU261">
        <f t="shared" si="12"/>
        <v>1.2833333333333334</v>
      </c>
      <c r="AV261">
        <f t="shared" si="13"/>
        <v>775.67</v>
      </c>
      <c r="AW261">
        <v>74</v>
      </c>
    </row>
    <row r="262" spans="3:55" x14ac:dyDescent="0.3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14"/>
        <v>11.2</v>
      </c>
      <c r="AU262">
        <f t="shared" si="12"/>
        <v>1.7666666666666666</v>
      </c>
      <c r="AV262">
        <f t="shared" si="13"/>
        <v>702.46</v>
      </c>
      <c r="AW262">
        <v>80</v>
      </c>
    </row>
    <row r="263" spans="3:55" x14ac:dyDescent="0.3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14"/>
        <v>5.68</v>
      </c>
      <c r="AU263">
        <f t="shared" si="12"/>
        <v>1.4933333333333334</v>
      </c>
      <c r="AV263">
        <f t="shared" si="13"/>
        <v>766.21599999999989</v>
      </c>
      <c r="AW263">
        <v>82</v>
      </c>
    </row>
    <row r="264" spans="3:55" x14ac:dyDescent="0.3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14"/>
        <v>13.080000000000002</v>
      </c>
      <c r="AU264">
        <f t="shared" si="12"/>
        <v>0</v>
      </c>
      <c r="AV264">
        <f t="shared" si="13"/>
        <v>851.2</v>
      </c>
      <c r="AY264">
        <v>739</v>
      </c>
      <c r="AZ264">
        <v>23.38</v>
      </c>
      <c r="BC264" t="s">
        <v>96</v>
      </c>
    </row>
    <row r="265" spans="3:55" x14ac:dyDescent="0.3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14"/>
        <v>13.080000000000002</v>
      </c>
      <c r="AU265">
        <f t="shared" si="12"/>
        <v>0</v>
      </c>
      <c r="AV265">
        <f t="shared" si="13"/>
        <v>851.2</v>
      </c>
      <c r="AY265">
        <v>739</v>
      </c>
      <c r="AZ265">
        <v>24</v>
      </c>
      <c r="BC265" t="s">
        <v>97</v>
      </c>
    </row>
    <row r="266" spans="3:55" x14ac:dyDescent="0.3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14"/>
        <v>8.2439999999999998</v>
      </c>
      <c r="AU266">
        <f t="shared" si="12"/>
        <v>0</v>
      </c>
      <c r="AV266">
        <f t="shared" si="13"/>
        <v>865.06</v>
      </c>
      <c r="AW266">
        <v>81</v>
      </c>
      <c r="AX266">
        <v>477</v>
      </c>
      <c r="BC266" t="s">
        <v>60</v>
      </c>
    </row>
    <row r="267" spans="3:55" x14ac:dyDescent="0.3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14"/>
        <v>9.1332000000000004</v>
      </c>
      <c r="AU267">
        <f t="shared" si="12"/>
        <v>0</v>
      </c>
      <c r="AV267">
        <f t="shared" si="13"/>
        <v>857.05200000000002</v>
      </c>
      <c r="AW267">
        <v>94</v>
      </c>
      <c r="AX267">
        <v>496</v>
      </c>
      <c r="BC267" t="s">
        <v>60</v>
      </c>
    </row>
    <row r="268" spans="3:55" x14ac:dyDescent="0.3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14"/>
        <v>10.003</v>
      </c>
      <c r="AU268">
        <f t="shared" si="12"/>
        <v>0</v>
      </c>
      <c r="AV268">
        <f t="shared" si="13"/>
        <v>848.58199999999999</v>
      </c>
      <c r="AW268">
        <v>95</v>
      </c>
      <c r="AX268">
        <v>604</v>
      </c>
      <c r="BC268" t="s">
        <v>60</v>
      </c>
    </row>
    <row r="269" spans="3:55" x14ac:dyDescent="0.3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14"/>
        <v>10.2752</v>
      </c>
      <c r="AU269">
        <f t="shared" si="12"/>
        <v>0</v>
      </c>
      <c r="AV269">
        <f t="shared" si="13"/>
        <v>842.88400000000001</v>
      </c>
      <c r="AW269">
        <v>90</v>
      </c>
      <c r="AX269">
        <v>672</v>
      </c>
      <c r="BC269" t="s">
        <v>60</v>
      </c>
    </row>
    <row r="270" spans="3:55" x14ac:dyDescent="0.3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14"/>
        <v>10.430000000000001</v>
      </c>
      <c r="AU270">
        <f t="shared" si="12"/>
        <v>0</v>
      </c>
      <c r="AV270">
        <f t="shared" si="13"/>
        <v>838.88</v>
      </c>
      <c r="AW270">
        <v>94</v>
      </c>
      <c r="AX270">
        <v>695</v>
      </c>
      <c r="BC270" t="s">
        <v>60</v>
      </c>
    </row>
    <row r="271" spans="3:55" x14ac:dyDescent="0.3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14"/>
        <v>11.400600000000001</v>
      </c>
      <c r="AU271">
        <f t="shared" si="12"/>
        <v>0</v>
      </c>
      <c r="AV271">
        <f t="shared" si="13"/>
        <v>830.41</v>
      </c>
      <c r="AW271">
        <v>97</v>
      </c>
      <c r="AX271">
        <v>715</v>
      </c>
      <c r="BC271" t="s">
        <v>60</v>
      </c>
    </row>
    <row r="272" spans="3:55" x14ac:dyDescent="0.3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14"/>
        <v>8.3318000000000012</v>
      </c>
      <c r="AU272">
        <f t="shared" si="12"/>
        <v>0</v>
      </c>
      <c r="AV272">
        <f t="shared" si="13"/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3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14"/>
        <v>13.4968</v>
      </c>
      <c r="AU273">
        <f t="shared" si="12"/>
        <v>0</v>
      </c>
      <c r="AV273">
        <f t="shared" si="13"/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3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14"/>
        <v>19.856400000000001</v>
      </c>
      <c r="AU274">
        <f t="shared" si="12"/>
        <v>0</v>
      </c>
      <c r="AV274">
        <f t="shared" si="13"/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3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14"/>
        <v>13.954799999999999</v>
      </c>
      <c r="AU275">
        <f t="shared" si="12"/>
        <v>0</v>
      </c>
      <c r="AV275">
        <f t="shared" si="13"/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3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14"/>
        <v>17.583200000000001</v>
      </c>
      <c r="AU276">
        <f t="shared" si="12"/>
        <v>0</v>
      </c>
      <c r="AV276">
        <f t="shared" si="13"/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3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14"/>
        <v>25.653600000000004</v>
      </c>
      <c r="AU277">
        <f t="shared" si="12"/>
        <v>0</v>
      </c>
      <c r="AV277">
        <f t="shared" si="13"/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3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14"/>
        <v>17.8066</v>
      </c>
      <c r="AU278">
        <f t="shared" si="12"/>
        <v>0</v>
      </c>
      <c r="AV278">
        <f t="shared" si="13"/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3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14"/>
        <v>18.515599999999996</v>
      </c>
      <c r="AU279">
        <f t="shared" si="12"/>
        <v>0</v>
      </c>
      <c r="AV279">
        <f t="shared" si="13"/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3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14"/>
        <v>18.997599999999995</v>
      </c>
      <c r="AU280">
        <f t="shared" si="12"/>
        <v>0</v>
      </c>
      <c r="AV280">
        <f t="shared" si="13"/>
        <v>785.904</v>
      </c>
      <c r="AW280">
        <v>97</v>
      </c>
      <c r="AX280">
        <v>1144</v>
      </c>
      <c r="BC280" t="s">
        <v>60</v>
      </c>
    </row>
    <row r="281" spans="3:55" x14ac:dyDescent="0.3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14"/>
        <v>19.757999999999999</v>
      </c>
      <c r="AU281">
        <f t="shared" si="12"/>
        <v>0</v>
      </c>
      <c r="AV281">
        <f t="shared" si="13"/>
        <v>784.36400000000003</v>
      </c>
      <c r="AW281">
        <v>89</v>
      </c>
      <c r="AX281">
        <v>1010</v>
      </c>
      <c r="BC281" t="s">
        <v>60</v>
      </c>
    </row>
    <row r="282" spans="3:55" x14ac:dyDescent="0.3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14"/>
        <v>20.282999999999998</v>
      </c>
      <c r="AU282">
        <f t="shared" si="12"/>
        <v>0</v>
      </c>
      <c r="AV282">
        <f t="shared" si="13"/>
        <v>783.28600000000006</v>
      </c>
      <c r="AW282">
        <v>86</v>
      </c>
      <c r="AX282">
        <v>985</v>
      </c>
      <c r="BC282" t="s">
        <v>60</v>
      </c>
    </row>
    <row r="283" spans="3:55" x14ac:dyDescent="0.3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14"/>
        <v>24.775200000000002</v>
      </c>
      <c r="AU283">
        <f t="shared" si="12"/>
        <v>0</v>
      </c>
      <c r="AV283">
        <f t="shared" si="13"/>
        <v>774.50800000000004</v>
      </c>
      <c r="AW283">
        <v>116</v>
      </c>
      <c r="AX283">
        <v>784</v>
      </c>
      <c r="BC283" t="s">
        <v>60</v>
      </c>
    </row>
    <row r="284" spans="3:55" x14ac:dyDescent="0.3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14"/>
        <v>9.06</v>
      </c>
      <c r="AU284">
        <f t="shared" si="12"/>
        <v>0</v>
      </c>
      <c r="AV284">
        <f t="shared" si="13"/>
        <v>866.6</v>
      </c>
      <c r="AW284">
        <v>79</v>
      </c>
      <c r="AX284">
        <v>600</v>
      </c>
      <c r="BC284" t="s">
        <v>60</v>
      </c>
    </row>
    <row r="285" spans="3:55" x14ac:dyDescent="0.3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14"/>
        <v>-5</v>
      </c>
      <c r="AU285">
        <f t="shared" si="12"/>
        <v>5.833333333333333</v>
      </c>
      <c r="AV285">
        <f t="shared" si="13"/>
        <v>903</v>
      </c>
      <c r="AY285">
        <v>769</v>
      </c>
      <c r="AZ285">
        <v>10.6</v>
      </c>
      <c r="BC285" t="s">
        <v>114</v>
      </c>
    </row>
    <row r="286" spans="3:55" x14ac:dyDescent="0.3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14"/>
        <v>-5</v>
      </c>
      <c r="AU286">
        <f t="shared" si="12"/>
        <v>5.833333333333333</v>
      </c>
      <c r="AV286">
        <f t="shared" si="13"/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3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14"/>
        <v>9.8000000000000007</v>
      </c>
      <c r="AU287">
        <f t="shared" si="12"/>
        <v>1.3333333333333333</v>
      </c>
      <c r="AV287">
        <f t="shared" si="13"/>
        <v>898.8</v>
      </c>
      <c r="AY287">
        <v>680</v>
      </c>
      <c r="AZ287">
        <v>13.62</v>
      </c>
      <c r="BC287" t="s">
        <v>99</v>
      </c>
    </row>
    <row r="288" spans="3:55" x14ac:dyDescent="0.3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14"/>
        <v>9.8000000000000007</v>
      </c>
      <c r="AU288">
        <f t="shared" si="12"/>
        <v>1.3333333333333333</v>
      </c>
      <c r="AV288">
        <f t="shared" si="13"/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3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14"/>
        <v>9.8000000000000007</v>
      </c>
      <c r="AU289">
        <f t="shared" si="12"/>
        <v>1.3333333333333333</v>
      </c>
      <c r="AV289">
        <f t="shared" si="13"/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3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14"/>
        <v>9.8000000000000007</v>
      </c>
      <c r="AU290">
        <f t="shared" si="12"/>
        <v>2.6333333333333333</v>
      </c>
      <c r="AV290">
        <f t="shared" si="13"/>
        <v>915.18</v>
      </c>
      <c r="AY290">
        <v>600</v>
      </c>
      <c r="AZ290">
        <v>13.59</v>
      </c>
      <c r="BC290" t="s">
        <v>102</v>
      </c>
    </row>
    <row r="291" spans="3:55" x14ac:dyDescent="0.3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14"/>
        <v>9.8000000000000007</v>
      </c>
      <c r="AU291">
        <f t="shared" si="12"/>
        <v>2.6333333333333333</v>
      </c>
      <c r="AV291">
        <f t="shared" si="13"/>
        <v>915.18</v>
      </c>
      <c r="AY291">
        <v>670</v>
      </c>
      <c r="AZ291">
        <v>15.05</v>
      </c>
      <c r="BC291" t="s">
        <v>103</v>
      </c>
    </row>
    <row r="292" spans="3:55" x14ac:dyDescent="0.3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14"/>
        <v>9.8000000000000007</v>
      </c>
      <c r="AU292">
        <f t="shared" si="12"/>
        <v>2.6333333333333333</v>
      </c>
      <c r="AV292">
        <f t="shared" si="13"/>
        <v>915.18</v>
      </c>
      <c r="AY292">
        <v>710</v>
      </c>
      <c r="AZ292">
        <v>12.26</v>
      </c>
      <c r="BC292" t="s">
        <v>104</v>
      </c>
    </row>
    <row r="293" spans="3:55" x14ac:dyDescent="0.3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14"/>
        <v>8.9600000000000009</v>
      </c>
      <c r="AU293">
        <f t="shared" si="12"/>
        <v>0.66666666666666663</v>
      </c>
      <c r="AV293">
        <f t="shared" si="13"/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3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14"/>
        <v>8.9600000000000009</v>
      </c>
      <c r="AU294">
        <f t="shared" si="12"/>
        <v>0.66666666666666663</v>
      </c>
      <c r="AV294">
        <f t="shared" si="13"/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3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14"/>
        <v>8.9600000000000009</v>
      </c>
      <c r="AU295">
        <f t="shared" si="12"/>
        <v>0.66666666666666663</v>
      </c>
      <c r="AV295">
        <f t="shared" si="13"/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3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14"/>
        <v>7.3360000000000003</v>
      </c>
      <c r="AU296">
        <f t="shared" si="12"/>
        <v>3.6666666666666665</v>
      </c>
      <c r="AV296">
        <f t="shared" si="13"/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3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14"/>
        <v>7.3360000000000003</v>
      </c>
      <c r="AU297">
        <f t="shared" si="12"/>
        <v>3.6666666666666665</v>
      </c>
      <c r="AV297">
        <f t="shared" si="13"/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3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14"/>
        <v>7.3360000000000003</v>
      </c>
      <c r="AU298">
        <f t="shared" si="12"/>
        <v>3.6666666666666665</v>
      </c>
      <c r="AV298">
        <f t="shared" si="13"/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3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14"/>
        <v>7.3360000000000003</v>
      </c>
      <c r="AU299">
        <f t="shared" si="12"/>
        <v>3.6666666666666665</v>
      </c>
      <c r="AV299">
        <f t="shared" si="13"/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3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14"/>
        <v>7.3360000000000003</v>
      </c>
      <c r="AU300">
        <f t="shared" si="12"/>
        <v>3.6666666666666665</v>
      </c>
      <c r="AV300">
        <f t="shared" si="13"/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3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14"/>
        <v>7.3360000000000003</v>
      </c>
      <c r="AU301">
        <f t="shared" si="12"/>
        <v>3.6666666666666665</v>
      </c>
      <c r="AV301">
        <f t="shared" si="13"/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3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14"/>
        <v>7.3360000000000003</v>
      </c>
      <c r="AU302">
        <f t="shared" si="12"/>
        <v>3.6666666666666665</v>
      </c>
      <c r="AV302">
        <f t="shared" si="13"/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3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14"/>
        <v>5.5411999999999999</v>
      </c>
      <c r="AU303">
        <f t="shared" si="12"/>
        <v>0.32333333333333331</v>
      </c>
      <c r="AV303">
        <f t="shared" si="13"/>
        <v>886.07399999999996</v>
      </c>
      <c r="AW303">
        <v>60</v>
      </c>
      <c r="AX303">
        <v>665</v>
      </c>
      <c r="BC303" t="s">
        <v>60</v>
      </c>
    </row>
    <row r="304" spans="3:55" x14ac:dyDescent="0.3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14"/>
        <v>6.2608000000000006</v>
      </c>
      <c r="AU304">
        <f t="shared" si="12"/>
        <v>0.66666666666666663</v>
      </c>
      <c r="AV304">
        <f t="shared" si="13"/>
        <v>890.4</v>
      </c>
      <c r="AW304">
        <v>55</v>
      </c>
      <c r="AX304">
        <v>376</v>
      </c>
      <c r="BC304" t="s">
        <v>60</v>
      </c>
    </row>
    <row r="305" spans="3:55" x14ac:dyDescent="0.3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14"/>
        <v>6.4456000000000007</v>
      </c>
      <c r="AU305">
        <f t="shared" si="12"/>
        <v>1.3566666666666667</v>
      </c>
      <c r="AV305">
        <f t="shared" si="13"/>
        <v>899.09400000000005</v>
      </c>
      <c r="AW305">
        <v>61</v>
      </c>
      <c r="AX305">
        <v>444</v>
      </c>
      <c r="BC305" t="s">
        <v>60</v>
      </c>
    </row>
    <row r="306" spans="3:55" x14ac:dyDescent="0.3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14"/>
        <v>6.1908000000000003</v>
      </c>
      <c r="AU306">
        <f t="shared" si="12"/>
        <v>0.41333333333333333</v>
      </c>
      <c r="AV306">
        <f t="shared" si="13"/>
        <v>887.20799999999997</v>
      </c>
      <c r="AW306">
        <v>65.8</v>
      </c>
      <c r="AX306">
        <v>237</v>
      </c>
      <c r="BC306" t="s">
        <v>60</v>
      </c>
    </row>
    <row r="307" spans="3:55" x14ac:dyDescent="0.3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14"/>
        <v>6.3084000000000007</v>
      </c>
      <c r="AU307">
        <f t="shared" si="12"/>
        <v>0.84</v>
      </c>
      <c r="AV307">
        <f t="shared" si="13"/>
        <v>892.58399999999995</v>
      </c>
      <c r="AW307">
        <v>68.2</v>
      </c>
      <c r="AX307">
        <v>216</v>
      </c>
      <c r="BC307" t="s">
        <v>60</v>
      </c>
    </row>
    <row r="308" spans="3:55" x14ac:dyDescent="0.3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14"/>
        <v>6.4260000000000002</v>
      </c>
      <c r="AU308">
        <f t="shared" si="12"/>
        <v>1.2833333333333334</v>
      </c>
      <c r="AV308">
        <f t="shared" si="13"/>
        <v>898.17</v>
      </c>
      <c r="AW308">
        <v>86.4</v>
      </c>
      <c r="AX308">
        <v>262</v>
      </c>
      <c r="BC308" t="s">
        <v>60</v>
      </c>
    </row>
    <row r="309" spans="3:55" x14ac:dyDescent="0.3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14"/>
        <v>6.16</v>
      </c>
      <c r="AU309">
        <f t="shared" si="12"/>
        <v>0.33333333333333331</v>
      </c>
      <c r="AV309">
        <f t="shared" si="13"/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3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14"/>
        <v>4.6648000000000005</v>
      </c>
      <c r="AU310">
        <f t="shared" si="12"/>
        <v>1.8533333333333333</v>
      </c>
      <c r="AV310">
        <f t="shared" si="13"/>
        <v>905.35199999999998</v>
      </c>
      <c r="AW310">
        <v>56</v>
      </c>
      <c r="BB310" t="s">
        <v>252</v>
      </c>
    </row>
    <row r="311" spans="3:55" x14ac:dyDescent="0.3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14"/>
        <v>7.3360000000000003</v>
      </c>
      <c r="AU311">
        <f t="shared" si="12"/>
        <v>3.6666666666666665</v>
      </c>
      <c r="AV311">
        <f t="shared" si="13"/>
        <v>928.2</v>
      </c>
      <c r="AW311">
        <v>56</v>
      </c>
      <c r="BB311" t="s">
        <v>253</v>
      </c>
    </row>
    <row r="312" spans="3:55" x14ac:dyDescent="0.3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14"/>
        <v>5.1352000000000002</v>
      </c>
      <c r="AU312">
        <f t="shared" si="12"/>
        <v>0.32</v>
      </c>
      <c r="AV312">
        <f t="shared" si="13"/>
        <v>886.03200000000004</v>
      </c>
      <c r="AW312">
        <v>77.400000000000006</v>
      </c>
      <c r="BB312" t="s">
        <v>254</v>
      </c>
    </row>
    <row r="313" spans="3:55" x14ac:dyDescent="0.3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14"/>
        <v>5.2108000000000008</v>
      </c>
      <c r="AU313">
        <f t="shared" si="12"/>
        <v>0.64666666666666661</v>
      </c>
      <c r="AV313">
        <f t="shared" si="13"/>
        <v>890.14800000000002</v>
      </c>
      <c r="AW313">
        <v>72.2</v>
      </c>
      <c r="BB313" t="s">
        <v>255</v>
      </c>
    </row>
    <row r="314" spans="3:55" x14ac:dyDescent="0.3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14"/>
        <v>5.2864000000000004</v>
      </c>
      <c r="AU314">
        <f t="shared" si="12"/>
        <v>0.98333333333333339</v>
      </c>
      <c r="AV314">
        <f t="shared" si="13"/>
        <v>894.39</v>
      </c>
      <c r="AW314">
        <v>67</v>
      </c>
      <c r="BB314" t="s">
        <v>256</v>
      </c>
    </row>
    <row r="315" spans="3:55" x14ac:dyDescent="0.3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14"/>
        <v>5.3648000000000007</v>
      </c>
      <c r="AU315">
        <f t="shared" si="12"/>
        <v>1.3333333333333333</v>
      </c>
      <c r="AV315">
        <f t="shared" si="13"/>
        <v>898.8</v>
      </c>
      <c r="AW315">
        <v>74</v>
      </c>
      <c r="BB315" t="s">
        <v>257</v>
      </c>
    </row>
    <row r="316" spans="3:55" x14ac:dyDescent="0.3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14"/>
        <v>5.4460000000000006</v>
      </c>
      <c r="AU316">
        <f t="shared" si="12"/>
        <v>1.6900000000000002</v>
      </c>
      <c r="AV316">
        <f t="shared" si="13"/>
        <v>903.29399999999998</v>
      </c>
      <c r="AW316">
        <v>92</v>
      </c>
      <c r="BB316" t="s">
        <v>258</v>
      </c>
    </row>
    <row r="317" spans="3:55" x14ac:dyDescent="0.3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14"/>
        <v>6.2608000000000006</v>
      </c>
      <c r="AU317">
        <f t="shared" si="12"/>
        <v>0.66666666666666663</v>
      </c>
      <c r="AV317">
        <f t="shared" si="13"/>
        <v>890.4</v>
      </c>
      <c r="AW317">
        <v>54.86</v>
      </c>
      <c r="BB317" t="s">
        <v>259</v>
      </c>
    </row>
    <row r="318" spans="3:55" x14ac:dyDescent="0.3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14"/>
        <v>13.921600000000002</v>
      </c>
      <c r="AU318">
        <f t="shared" si="12"/>
        <v>1.5133333333333334</v>
      </c>
      <c r="AV318">
        <f t="shared" si="13"/>
        <v>901.06799999999998</v>
      </c>
      <c r="AW318">
        <v>63.55</v>
      </c>
      <c r="BB318" t="s">
        <v>260</v>
      </c>
    </row>
    <row r="319" spans="3:55" x14ac:dyDescent="0.3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14"/>
        <v>4.4352</v>
      </c>
      <c r="AU319">
        <f t="shared" si="12"/>
        <v>1.8166666666666667</v>
      </c>
      <c r="AV319">
        <f t="shared" si="13"/>
        <v>904.89</v>
      </c>
      <c r="AW319">
        <v>55</v>
      </c>
      <c r="BB319" t="s">
        <v>261</v>
      </c>
    </row>
    <row r="320" spans="3:55" x14ac:dyDescent="0.3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14"/>
        <v>4.4044000000000008</v>
      </c>
      <c r="AU320">
        <f t="shared" si="12"/>
        <v>1.64</v>
      </c>
      <c r="AV320">
        <f t="shared" si="13"/>
        <v>902.66399999999999</v>
      </c>
      <c r="AW320">
        <v>72</v>
      </c>
    </row>
    <row r="321" spans="3:55" x14ac:dyDescent="0.3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14"/>
        <v>4.3400000000000007</v>
      </c>
      <c r="AU321">
        <f t="shared" si="12"/>
        <v>1.2933333333333332</v>
      </c>
      <c r="AV321">
        <f t="shared" si="13"/>
        <v>898.29600000000005</v>
      </c>
      <c r="AW321">
        <v>52</v>
      </c>
    </row>
    <row r="322" spans="3:55" x14ac:dyDescent="0.3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14"/>
        <v>4.3708</v>
      </c>
      <c r="AU322">
        <f t="shared" ref="AU322:AU385" si="15">D322+J322/6+M322/3+(T322+S322)/10</f>
        <v>1.4666666666666668</v>
      </c>
      <c r="AV322">
        <f t="shared" ref="AV322:AV385" si="16">882+2.1*D322-9.5*L322+4.2*M322-6.9*J322-11.8*E322-12.1*F322-15.4*H322+23.3*Q322+123*T322</f>
        <v>900.48</v>
      </c>
      <c r="AW322">
        <v>53</v>
      </c>
    </row>
    <row r="323" spans="3:55" x14ac:dyDescent="0.3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17">L323+0.67*E323+0.44*P323+0.28*K323+0.22*O323+2.9*H323+1.6*F323+1.7*G323-D323</f>
        <v>6.4484000000000012</v>
      </c>
      <c r="AU323">
        <f t="shared" si="15"/>
        <v>1.3533333333333333</v>
      </c>
      <c r="AV323">
        <f t="shared" si="16"/>
        <v>899.05200000000002</v>
      </c>
      <c r="AW323">
        <v>61</v>
      </c>
    </row>
    <row r="324" spans="3:55" x14ac:dyDescent="0.3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17"/>
        <v>6.168400000000001</v>
      </c>
      <c r="AU324">
        <f t="shared" si="15"/>
        <v>0.33</v>
      </c>
      <c r="AV324">
        <f t="shared" si="16"/>
        <v>886.15800000000002</v>
      </c>
      <c r="AW324">
        <v>51</v>
      </c>
    </row>
    <row r="325" spans="3:55" x14ac:dyDescent="0.3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17"/>
        <v>-3.32</v>
      </c>
      <c r="AU325">
        <f t="shared" si="15"/>
        <v>6</v>
      </c>
      <c r="AV325">
        <f t="shared" si="16"/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3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17"/>
        <v>-3.1530000000000005</v>
      </c>
      <c r="AU326">
        <f t="shared" si="15"/>
        <v>5.9</v>
      </c>
      <c r="AV326">
        <f t="shared" si="16"/>
        <v>846.01</v>
      </c>
      <c r="BC326" t="s">
        <v>116</v>
      </c>
    </row>
    <row r="327" spans="3:55" x14ac:dyDescent="0.3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17"/>
        <v>-3.1530000000000005</v>
      </c>
      <c r="AU327">
        <f t="shared" si="15"/>
        <v>5.9</v>
      </c>
      <c r="AV327">
        <f t="shared" si="16"/>
        <v>846.01</v>
      </c>
      <c r="BC327" t="s">
        <v>116</v>
      </c>
    </row>
    <row r="328" spans="3:55" x14ac:dyDescent="0.3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17"/>
        <v>-3.1530000000000005</v>
      </c>
      <c r="AU328">
        <f t="shared" si="15"/>
        <v>5.9</v>
      </c>
      <c r="AV328">
        <f t="shared" si="16"/>
        <v>846.01</v>
      </c>
      <c r="BC328" t="s">
        <v>116</v>
      </c>
    </row>
    <row r="329" spans="3:55" x14ac:dyDescent="0.3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17"/>
        <v>9.3189000000000028</v>
      </c>
      <c r="AU329">
        <f t="shared" si="15"/>
        <v>5.2</v>
      </c>
      <c r="AV329">
        <f t="shared" si="16"/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3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17"/>
        <v>9.3189000000000028</v>
      </c>
      <c r="AU330">
        <f t="shared" si="15"/>
        <v>5.2</v>
      </c>
      <c r="AV330">
        <f t="shared" si="16"/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3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17"/>
        <v>-7.7879999999999994</v>
      </c>
      <c r="AU331">
        <f t="shared" si="15"/>
        <v>10.199999999999999</v>
      </c>
      <c r="AV331">
        <f t="shared" si="16"/>
        <v>860.93999999999994</v>
      </c>
      <c r="AW331">
        <v>110</v>
      </c>
      <c r="AX331">
        <v>760</v>
      </c>
      <c r="BC331" t="s">
        <v>60</v>
      </c>
    </row>
    <row r="332" spans="3:55" x14ac:dyDescent="0.3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17"/>
        <v>8</v>
      </c>
      <c r="AU332">
        <f t="shared" si="15"/>
        <v>1</v>
      </c>
      <c r="AV332">
        <f t="shared" si="16"/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3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17"/>
        <v>8</v>
      </c>
      <c r="AU333">
        <f t="shared" si="15"/>
        <v>1.6666666666666667</v>
      </c>
      <c r="AV333">
        <f t="shared" si="16"/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3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17"/>
        <v>8</v>
      </c>
      <c r="AU334">
        <f t="shared" si="15"/>
        <v>2.3333333333333335</v>
      </c>
      <c r="AV334">
        <f t="shared" si="16"/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3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17"/>
        <v>8</v>
      </c>
      <c r="AU335">
        <f t="shared" si="15"/>
        <v>3</v>
      </c>
      <c r="AV335">
        <f t="shared" si="16"/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3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17"/>
        <v>8</v>
      </c>
      <c r="AU336">
        <f t="shared" si="15"/>
        <v>3.6666666666666665</v>
      </c>
      <c r="AV336">
        <f t="shared" si="16"/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3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17"/>
        <v>8</v>
      </c>
      <c r="AU337">
        <f t="shared" si="15"/>
        <v>4.333333333333333</v>
      </c>
      <c r="AV337">
        <f t="shared" si="16"/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3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17"/>
        <v>8</v>
      </c>
      <c r="AU338">
        <f t="shared" si="15"/>
        <v>5</v>
      </c>
      <c r="AV338">
        <f t="shared" si="16"/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3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17"/>
        <v>7.24</v>
      </c>
      <c r="AU339">
        <f t="shared" si="15"/>
        <v>0.97333333333333327</v>
      </c>
      <c r="AV339">
        <f t="shared" si="16"/>
        <v>825.48400000000004</v>
      </c>
      <c r="AW339">
        <v>66</v>
      </c>
      <c r="AX339">
        <v>650</v>
      </c>
      <c r="BC339" t="s">
        <v>60</v>
      </c>
    </row>
    <row r="340" spans="3:55" x14ac:dyDescent="0.3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17"/>
        <v>4.87</v>
      </c>
      <c r="AU340">
        <f t="shared" si="15"/>
        <v>0.25666666666666665</v>
      </c>
      <c r="AV340">
        <f t="shared" si="16"/>
        <v>838.96900000000005</v>
      </c>
      <c r="AW340">
        <v>89</v>
      </c>
      <c r="AX340">
        <v>511</v>
      </c>
      <c r="BC340" t="s">
        <v>60</v>
      </c>
    </row>
    <row r="341" spans="3:55" x14ac:dyDescent="0.3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17"/>
        <v>4.7300000000000004</v>
      </c>
      <c r="AU341">
        <f t="shared" si="15"/>
        <v>0.95333333333333325</v>
      </c>
      <c r="AV341">
        <f t="shared" si="16"/>
        <v>849.077</v>
      </c>
      <c r="AW341">
        <v>78</v>
      </c>
      <c r="AX341">
        <v>441</v>
      </c>
      <c r="BC341" t="s">
        <v>60</v>
      </c>
    </row>
    <row r="342" spans="3:55" x14ac:dyDescent="0.3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17"/>
        <v>6.25</v>
      </c>
      <c r="AU342">
        <f t="shared" si="15"/>
        <v>2.0833333333333335</v>
      </c>
      <c r="AV342">
        <f t="shared" si="16"/>
        <v>848.875</v>
      </c>
      <c r="AW342">
        <v>70</v>
      </c>
    </row>
    <row r="343" spans="3:55" x14ac:dyDescent="0.3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17"/>
        <v>10.8</v>
      </c>
      <c r="AU343">
        <f t="shared" si="15"/>
        <v>4.4666666666666668</v>
      </c>
      <c r="AV343">
        <f t="shared" si="16"/>
        <v>835.68</v>
      </c>
      <c r="AW343">
        <v>70</v>
      </c>
    </row>
    <row r="344" spans="3:55" x14ac:dyDescent="0.3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17"/>
        <v>2.25</v>
      </c>
      <c r="AU344">
        <f t="shared" si="15"/>
        <v>5</v>
      </c>
      <c r="AV344">
        <f t="shared" si="16"/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3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17"/>
        <v>-3.6856</v>
      </c>
      <c r="AU345">
        <f t="shared" si="15"/>
        <v>3.79</v>
      </c>
      <c r="AV345">
        <f t="shared" si="16"/>
        <v>889.40459999999996</v>
      </c>
      <c r="BC345" t="s">
        <v>119</v>
      </c>
    </row>
    <row r="346" spans="3:55" x14ac:dyDescent="0.3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17"/>
        <v>-3.6856</v>
      </c>
      <c r="AU346">
        <f t="shared" si="15"/>
        <v>3.79</v>
      </c>
      <c r="AV346">
        <f t="shared" si="16"/>
        <v>889.40459999999996</v>
      </c>
      <c r="BC346" t="s">
        <v>119</v>
      </c>
    </row>
    <row r="347" spans="3:55" x14ac:dyDescent="0.3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17"/>
        <v>-3.6856</v>
      </c>
      <c r="AU347">
        <f t="shared" si="15"/>
        <v>3.79</v>
      </c>
      <c r="AV347">
        <f t="shared" si="16"/>
        <v>889.40459999999996</v>
      </c>
      <c r="BC347" t="s">
        <v>119</v>
      </c>
    </row>
    <row r="348" spans="3:55" x14ac:dyDescent="0.3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17"/>
        <v>2.4160000000000004</v>
      </c>
      <c r="AU348">
        <f t="shared" si="15"/>
        <v>2.92</v>
      </c>
      <c r="AV348">
        <f t="shared" si="16"/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3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17"/>
        <v>2.4160000000000004</v>
      </c>
      <c r="AU349">
        <f t="shared" si="15"/>
        <v>2.92</v>
      </c>
      <c r="AV349">
        <f t="shared" si="16"/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3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17"/>
        <v>2.4160000000000004</v>
      </c>
      <c r="AU350">
        <f t="shared" si="15"/>
        <v>2.92</v>
      </c>
      <c r="AV350">
        <f t="shared" si="16"/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3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17"/>
        <v>2.4160000000000004</v>
      </c>
      <c r="AU351">
        <f t="shared" si="15"/>
        <v>2.92</v>
      </c>
      <c r="AV351">
        <f t="shared" si="16"/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3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17"/>
        <v>2.4160000000000004</v>
      </c>
      <c r="AU352">
        <f t="shared" si="15"/>
        <v>2.92</v>
      </c>
      <c r="AV352">
        <f t="shared" si="16"/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3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17"/>
        <v>2.4160000000000004</v>
      </c>
      <c r="AU353">
        <f t="shared" si="15"/>
        <v>2.92</v>
      </c>
      <c r="AV353">
        <f t="shared" si="16"/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3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17"/>
        <v>2.4160000000000004</v>
      </c>
      <c r="AU354">
        <f t="shared" si="15"/>
        <v>2.92</v>
      </c>
      <c r="AV354">
        <f t="shared" si="16"/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3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17"/>
        <v>2.4160000000000004</v>
      </c>
      <c r="AU355">
        <f t="shared" si="15"/>
        <v>2.92</v>
      </c>
      <c r="AV355">
        <f t="shared" si="16"/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3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17"/>
        <v>2.4160000000000004</v>
      </c>
      <c r="AU356">
        <f t="shared" si="15"/>
        <v>2.92</v>
      </c>
      <c r="AV356">
        <f t="shared" si="16"/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3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17"/>
        <v>2.4160000000000004</v>
      </c>
      <c r="AU357">
        <f t="shared" si="15"/>
        <v>2.92</v>
      </c>
      <c r="AV357">
        <f t="shared" si="16"/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3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17"/>
        <v>2.4160000000000004</v>
      </c>
      <c r="AU358">
        <f t="shared" si="15"/>
        <v>2.92</v>
      </c>
      <c r="AV358">
        <f t="shared" si="16"/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3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17"/>
        <v>2.4160000000000004</v>
      </c>
      <c r="AU359">
        <f t="shared" si="15"/>
        <v>2.92</v>
      </c>
      <c r="AV359">
        <f t="shared" si="16"/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3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17"/>
        <v>2.4160000000000004</v>
      </c>
      <c r="AU360">
        <f t="shared" si="15"/>
        <v>2.92</v>
      </c>
      <c r="AV360">
        <f t="shared" si="16"/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3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17"/>
        <v>2.4160000000000004</v>
      </c>
      <c r="AU361">
        <f t="shared" si="15"/>
        <v>2.92</v>
      </c>
      <c r="AV361">
        <f t="shared" si="16"/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3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17"/>
        <v>2.4160000000000004</v>
      </c>
      <c r="AU362">
        <f t="shared" si="15"/>
        <v>2.92</v>
      </c>
      <c r="AV362">
        <f t="shared" si="16"/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3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17"/>
        <v>2.4160000000000004</v>
      </c>
      <c r="AU363">
        <f t="shared" si="15"/>
        <v>2.92</v>
      </c>
      <c r="AV363">
        <f t="shared" si="16"/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3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17"/>
        <v>2.4160000000000004</v>
      </c>
      <c r="AU364">
        <f t="shared" si="15"/>
        <v>2.92</v>
      </c>
      <c r="AV364">
        <f t="shared" si="16"/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3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17"/>
        <v>2.4160000000000004</v>
      </c>
      <c r="AU365">
        <f t="shared" si="15"/>
        <v>2.92</v>
      </c>
      <c r="AV365">
        <f t="shared" si="16"/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3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17"/>
        <v>2.4160000000000004</v>
      </c>
      <c r="AU366">
        <f t="shared" si="15"/>
        <v>2.92</v>
      </c>
      <c r="AV366">
        <f t="shared" si="16"/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3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17"/>
        <v>2.4160000000000004</v>
      </c>
      <c r="AU367">
        <f t="shared" si="15"/>
        <v>2.92</v>
      </c>
      <c r="AV367">
        <f t="shared" si="16"/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3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17"/>
        <v>2.4160000000000004</v>
      </c>
      <c r="AU368">
        <f t="shared" si="15"/>
        <v>2.92</v>
      </c>
      <c r="AV368">
        <f t="shared" si="16"/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3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17"/>
        <v>-4.04</v>
      </c>
      <c r="AU369">
        <f t="shared" si="15"/>
        <v>6</v>
      </c>
      <c r="AV369">
        <f t="shared" si="16"/>
        <v>894.6</v>
      </c>
      <c r="AY369">
        <v>933</v>
      </c>
      <c r="AZ369">
        <v>7.1</v>
      </c>
      <c r="BC369" t="s">
        <v>118</v>
      </c>
    </row>
    <row r="370" spans="3:55" x14ac:dyDescent="0.3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17"/>
        <v>-9.5131999999999994</v>
      </c>
      <c r="AU370">
        <f t="shared" si="15"/>
        <v>10.51</v>
      </c>
      <c r="AV370">
        <f t="shared" si="16"/>
        <v>904.07100000000003</v>
      </c>
      <c r="AW370">
        <v>110</v>
      </c>
      <c r="AX370">
        <v>800</v>
      </c>
      <c r="BC370" t="s">
        <v>60</v>
      </c>
    </row>
    <row r="371" spans="3:55" x14ac:dyDescent="0.3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17"/>
        <v>5.36</v>
      </c>
      <c r="AU371">
        <f t="shared" si="15"/>
        <v>1.3333333333333333</v>
      </c>
      <c r="AV371">
        <f t="shared" si="16"/>
        <v>804.4</v>
      </c>
      <c r="AY371">
        <v>1040</v>
      </c>
      <c r="AZ371">
        <v>6</v>
      </c>
      <c r="BC371" t="s">
        <v>120</v>
      </c>
    </row>
    <row r="372" spans="3:55" x14ac:dyDescent="0.3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17"/>
        <v>5.36</v>
      </c>
      <c r="AU372">
        <f t="shared" si="15"/>
        <v>1.3333333333333333</v>
      </c>
      <c r="AV372">
        <f t="shared" si="16"/>
        <v>804.4</v>
      </c>
      <c r="AY372">
        <v>1157.51</v>
      </c>
      <c r="AZ372">
        <v>4.79</v>
      </c>
      <c r="BC372" t="s">
        <v>120</v>
      </c>
    </row>
    <row r="373" spans="3:55" x14ac:dyDescent="0.3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17"/>
        <v>13.4</v>
      </c>
      <c r="AU373">
        <f t="shared" si="15"/>
        <v>1.5666666666666667</v>
      </c>
      <c r="AV373">
        <f t="shared" si="16"/>
        <v>665.74</v>
      </c>
      <c r="AY373">
        <v>867.08</v>
      </c>
      <c r="AZ373">
        <v>8.2899999999999991</v>
      </c>
      <c r="BC373" t="s">
        <v>120</v>
      </c>
    </row>
    <row r="374" spans="3:55" x14ac:dyDescent="0.3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17"/>
        <v>13.4</v>
      </c>
      <c r="AU374">
        <f t="shared" si="15"/>
        <v>1.5666666666666667</v>
      </c>
      <c r="AV374">
        <f t="shared" si="16"/>
        <v>665.74</v>
      </c>
      <c r="AY374">
        <v>1264.1199999999999</v>
      </c>
      <c r="AZ374">
        <v>0.5</v>
      </c>
      <c r="BC374" t="s">
        <v>120</v>
      </c>
    </row>
    <row r="375" spans="3:55" x14ac:dyDescent="0.3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17"/>
        <v>9.1999999999999993</v>
      </c>
      <c r="AU375">
        <f t="shared" si="15"/>
        <v>4.4000000000000004</v>
      </c>
      <c r="AV375">
        <f t="shared" si="16"/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3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17"/>
        <v>9.1999999999999993</v>
      </c>
      <c r="AU376">
        <f t="shared" si="15"/>
        <v>4.4000000000000004</v>
      </c>
      <c r="AV376">
        <f t="shared" si="16"/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3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17"/>
        <v>9.1999999999999993</v>
      </c>
      <c r="AU377">
        <f t="shared" si="15"/>
        <v>4.4000000000000004</v>
      </c>
      <c r="AV377">
        <f t="shared" si="16"/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3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17"/>
        <v>13.962000000000002</v>
      </c>
      <c r="AU378">
        <f t="shared" si="15"/>
        <v>0</v>
      </c>
      <c r="AV378">
        <f t="shared" si="16"/>
        <v>797.71799999999996</v>
      </c>
      <c r="AW378">
        <v>83</v>
      </c>
      <c r="AX378">
        <v>936</v>
      </c>
      <c r="BC378" t="s">
        <v>60</v>
      </c>
    </row>
    <row r="379" spans="3:55" x14ac:dyDescent="0.3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17"/>
        <v>6.5979999999999999</v>
      </c>
      <c r="AU379">
        <f t="shared" si="15"/>
        <v>0</v>
      </c>
      <c r="AV379">
        <f t="shared" si="16"/>
        <v>819.56200000000001</v>
      </c>
      <c r="AW379">
        <v>78</v>
      </c>
      <c r="AX379">
        <v>481</v>
      </c>
      <c r="BC379" t="s">
        <v>60</v>
      </c>
    </row>
    <row r="380" spans="3:55" x14ac:dyDescent="0.3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17"/>
        <v>6.4280000000000008</v>
      </c>
      <c r="AU380">
        <f t="shared" si="15"/>
        <v>0</v>
      </c>
      <c r="AV380">
        <f t="shared" si="16"/>
        <v>821.17700000000002</v>
      </c>
      <c r="AW380">
        <v>84</v>
      </c>
      <c r="AX380">
        <v>480</v>
      </c>
      <c r="BC380" t="s">
        <v>60</v>
      </c>
    </row>
    <row r="381" spans="3:55" x14ac:dyDescent="0.3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17"/>
        <v>10.428000000000001</v>
      </c>
      <c r="AU381">
        <f t="shared" si="15"/>
        <v>5.0599999999999996</v>
      </c>
      <c r="AV381">
        <f t="shared" si="16"/>
        <v>775.49799999999993</v>
      </c>
      <c r="AY381">
        <v>1043.33</v>
      </c>
      <c r="BC381" t="s">
        <v>108</v>
      </c>
    </row>
    <row r="382" spans="3:55" x14ac:dyDescent="0.3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17"/>
        <v>10.428000000000001</v>
      </c>
      <c r="AU382">
        <f t="shared" si="15"/>
        <v>5.0599999999999996</v>
      </c>
      <c r="AV382">
        <f t="shared" si="16"/>
        <v>775.49799999999993</v>
      </c>
      <c r="AY382">
        <v>1143.3</v>
      </c>
      <c r="BC382" t="s">
        <v>108</v>
      </c>
    </row>
    <row r="383" spans="3:55" x14ac:dyDescent="0.3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17"/>
        <v>9.9695999999999998</v>
      </c>
      <c r="AU383">
        <f t="shared" si="15"/>
        <v>0</v>
      </c>
      <c r="AV383">
        <f t="shared" si="16"/>
        <v>831.48799999999994</v>
      </c>
      <c r="AW383">
        <v>110</v>
      </c>
      <c r="AX383">
        <v>1250</v>
      </c>
      <c r="BC383" t="s">
        <v>60</v>
      </c>
    </row>
    <row r="384" spans="3:55" x14ac:dyDescent="0.3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17"/>
        <v>10.552</v>
      </c>
      <c r="AU384">
        <f t="shared" si="15"/>
        <v>0</v>
      </c>
      <c r="AV384">
        <f t="shared" si="16"/>
        <v>829.178</v>
      </c>
      <c r="AW384">
        <v>121</v>
      </c>
      <c r="AX384">
        <v>1360</v>
      </c>
      <c r="BC384" t="s">
        <v>60</v>
      </c>
    </row>
    <row r="385" spans="3:55" x14ac:dyDescent="0.3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17"/>
        <v>21.1858</v>
      </c>
      <c r="AU385">
        <f t="shared" si="15"/>
        <v>0</v>
      </c>
      <c r="AV385">
        <f t="shared" si="16"/>
        <v>771.12</v>
      </c>
      <c r="AW385">
        <v>120</v>
      </c>
      <c r="AX385">
        <v>1103</v>
      </c>
      <c r="BC385" t="s">
        <v>60</v>
      </c>
    </row>
    <row r="386" spans="3:55" x14ac:dyDescent="0.3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17"/>
        <v>21.903600000000001</v>
      </c>
      <c r="AU386">
        <f t="shared" ref="AU386:AU449" si="18">D386+J386/6+M386/3+(T386+S386)/10</f>
        <v>0</v>
      </c>
      <c r="AV386">
        <f t="shared" ref="AV386:AV449" si="19"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3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20">L387+0.67*E387+0.44*P387+0.28*K387+0.22*O387+2.9*H387+1.6*F387+1.7*G387-D387</f>
        <v>23.1158</v>
      </c>
      <c r="AU387">
        <f t="shared" si="18"/>
        <v>0</v>
      </c>
      <c r="AV387">
        <f t="shared" si="19"/>
        <v>759.87800000000004</v>
      </c>
      <c r="AW387">
        <v>110</v>
      </c>
      <c r="AX387">
        <v>1143</v>
      </c>
      <c r="BC387" t="s">
        <v>60</v>
      </c>
    </row>
    <row r="388" spans="3:55" x14ac:dyDescent="0.3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20"/>
        <v>23.8538</v>
      </c>
      <c r="AU388">
        <f t="shared" si="18"/>
        <v>0</v>
      </c>
      <c r="AV388">
        <f t="shared" si="19"/>
        <v>756.952</v>
      </c>
      <c r="AW388">
        <v>103</v>
      </c>
      <c r="AX388">
        <v>1079</v>
      </c>
      <c r="BC388" t="s">
        <v>60</v>
      </c>
    </row>
    <row r="389" spans="3:55" x14ac:dyDescent="0.3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20"/>
        <v>24.871800000000004</v>
      </c>
      <c r="AU389">
        <f t="shared" si="18"/>
        <v>0</v>
      </c>
      <c r="AV389">
        <f t="shared" si="19"/>
        <v>752.94799999999998</v>
      </c>
      <c r="AW389">
        <v>99</v>
      </c>
      <c r="AX389">
        <v>1016</v>
      </c>
      <c r="BC389" t="s">
        <v>60</v>
      </c>
    </row>
    <row r="390" spans="3:55" x14ac:dyDescent="0.3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20"/>
        <v>27.898000000000003</v>
      </c>
      <c r="AU390">
        <f t="shared" si="18"/>
        <v>0</v>
      </c>
      <c r="AV390">
        <f t="shared" si="19"/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3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20"/>
        <v>6.4668000000000001</v>
      </c>
      <c r="AU391">
        <f t="shared" si="18"/>
        <v>0</v>
      </c>
      <c r="AV391">
        <f t="shared" si="19"/>
        <v>882</v>
      </c>
      <c r="AW391">
        <v>66</v>
      </c>
      <c r="AX391">
        <v>213</v>
      </c>
      <c r="BC391" t="s">
        <v>60</v>
      </c>
    </row>
    <row r="392" spans="3:55" x14ac:dyDescent="0.3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20"/>
        <v>7.2827999999999999</v>
      </c>
      <c r="AU392">
        <f t="shared" si="18"/>
        <v>0</v>
      </c>
      <c r="AV392">
        <f t="shared" si="19"/>
        <v>882</v>
      </c>
      <c r="AW392">
        <v>55</v>
      </c>
      <c r="AX392">
        <v>200</v>
      </c>
      <c r="BC392" t="s">
        <v>60</v>
      </c>
    </row>
    <row r="393" spans="3:55" x14ac:dyDescent="0.3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20"/>
        <v>4.3610000000000007</v>
      </c>
      <c r="AU393">
        <f t="shared" si="18"/>
        <v>0</v>
      </c>
      <c r="AV393">
        <f t="shared" si="19"/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3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20"/>
        <v>4.6293999999999995</v>
      </c>
      <c r="AU394">
        <f t="shared" si="18"/>
        <v>0</v>
      </c>
      <c r="AV394">
        <f t="shared" si="19"/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3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20"/>
        <v>4.9094000000000007</v>
      </c>
      <c r="AU395">
        <f t="shared" si="18"/>
        <v>0</v>
      </c>
      <c r="AV395">
        <f t="shared" si="19"/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3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20"/>
        <v>5.3482000000000003</v>
      </c>
      <c r="AU396">
        <f t="shared" si="18"/>
        <v>0</v>
      </c>
      <c r="AV396">
        <f t="shared" si="19"/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3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20"/>
        <v>5.6483999999999996</v>
      </c>
      <c r="AU397">
        <f t="shared" si="18"/>
        <v>0</v>
      </c>
      <c r="AV397">
        <f t="shared" si="19"/>
        <v>882</v>
      </c>
      <c r="AW397">
        <v>80</v>
      </c>
      <c r="AX397">
        <v>377</v>
      </c>
      <c r="BC397" t="s">
        <v>60</v>
      </c>
    </row>
    <row r="398" spans="3:55" x14ac:dyDescent="0.3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20"/>
        <v>5.9608000000000008</v>
      </c>
      <c r="AU398">
        <f t="shared" si="18"/>
        <v>0</v>
      </c>
      <c r="AV398">
        <f t="shared" si="19"/>
        <v>882</v>
      </c>
      <c r="AW398">
        <v>81</v>
      </c>
      <c r="AX398">
        <v>395</v>
      </c>
      <c r="BC398" t="s">
        <v>60</v>
      </c>
    </row>
    <row r="399" spans="3:55" x14ac:dyDescent="0.3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20"/>
        <v>6.3970000000000011</v>
      </c>
      <c r="AU399">
        <f t="shared" si="18"/>
        <v>0</v>
      </c>
      <c r="AV399">
        <f t="shared" si="19"/>
        <v>882</v>
      </c>
      <c r="AW399">
        <v>85</v>
      </c>
      <c r="AX399">
        <v>303</v>
      </c>
      <c r="BC399" t="s">
        <v>60</v>
      </c>
    </row>
    <row r="400" spans="3:55" x14ac:dyDescent="0.3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20"/>
        <v>6.729000000000001</v>
      </c>
      <c r="AU400">
        <f t="shared" si="18"/>
        <v>0</v>
      </c>
      <c r="AV400">
        <f t="shared" si="19"/>
        <v>882</v>
      </c>
      <c r="AW400">
        <v>84</v>
      </c>
      <c r="AX400">
        <v>340</v>
      </c>
      <c r="BC400" t="s">
        <v>60</v>
      </c>
    </row>
    <row r="401" spans="3:55" x14ac:dyDescent="0.3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20"/>
        <v>7.0760000000000014</v>
      </c>
      <c r="AU401">
        <f t="shared" si="18"/>
        <v>0</v>
      </c>
      <c r="AV401">
        <f t="shared" si="19"/>
        <v>882</v>
      </c>
      <c r="AW401">
        <v>90</v>
      </c>
      <c r="AX401">
        <v>314</v>
      </c>
      <c r="BC401" t="s">
        <v>60</v>
      </c>
    </row>
    <row r="402" spans="3:55" x14ac:dyDescent="0.3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20"/>
        <v>6.38</v>
      </c>
      <c r="AU402">
        <f t="shared" si="18"/>
        <v>0</v>
      </c>
      <c r="AV402">
        <f t="shared" si="19"/>
        <v>882</v>
      </c>
      <c r="AW402">
        <v>72</v>
      </c>
      <c r="AX402">
        <v>401</v>
      </c>
      <c r="BC402" t="s">
        <v>60</v>
      </c>
    </row>
    <row r="403" spans="3:55" x14ac:dyDescent="0.3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20"/>
        <v>7.2827999999999999</v>
      </c>
      <c r="AU403">
        <f t="shared" si="18"/>
        <v>0</v>
      </c>
      <c r="AV403">
        <f t="shared" si="19"/>
        <v>882</v>
      </c>
      <c r="AW403">
        <v>55</v>
      </c>
    </row>
    <row r="404" spans="3:55" x14ac:dyDescent="0.3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20"/>
        <v>6.4668000000000001</v>
      </c>
      <c r="AU404">
        <f t="shared" si="18"/>
        <v>0</v>
      </c>
      <c r="AV404">
        <f t="shared" si="19"/>
        <v>882</v>
      </c>
      <c r="AW404">
        <v>63</v>
      </c>
    </row>
    <row r="405" spans="3:55" x14ac:dyDescent="0.3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20"/>
        <v>-10.91</v>
      </c>
      <c r="AU405">
        <f t="shared" si="18"/>
        <v>16.02</v>
      </c>
      <c r="AV405">
        <f t="shared" si="19"/>
        <v>693.35700000000008</v>
      </c>
      <c r="AW405">
        <v>100</v>
      </c>
      <c r="AX405">
        <v>1710</v>
      </c>
      <c r="BC405" t="s">
        <v>60</v>
      </c>
    </row>
    <row r="406" spans="3:55" x14ac:dyDescent="0.3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20"/>
        <v>6.9512</v>
      </c>
      <c r="AU406">
        <f t="shared" si="18"/>
        <v>0</v>
      </c>
      <c r="AV406">
        <f t="shared" si="19"/>
        <v>819.01499999999999</v>
      </c>
      <c r="AW406">
        <v>74</v>
      </c>
    </row>
    <row r="407" spans="3:55" x14ac:dyDescent="0.3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20"/>
        <v>10.98</v>
      </c>
      <c r="AU407">
        <f t="shared" si="18"/>
        <v>0.76666666666666661</v>
      </c>
      <c r="AV407">
        <f t="shared" si="19"/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3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20"/>
        <v>10.98</v>
      </c>
      <c r="AU408">
        <f t="shared" si="18"/>
        <v>0.76666666666666661</v>
      </c>
      <c r="AV408">
        <f t="shared" si="19"/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3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20"/>
        <v>10.98</v>
      </c>
      <c r="AU409">
        <f t="shared" si="18"/>
        <v>0.76666666666666661</v>
      </c>
      <c r="AV409">
        <f t="shared" si="19"/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3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20"/>
        <v>10.98</v>
      </c>
      <c r="AU410">
        <f t="shared" si="18"/>
        <v>0.76666666666666661</v>
      </c>
      <c r="AV410">
        <f t="shared" si="19"/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3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20"/>
        <v>10.9</v>
      </c>
      <c r="AU411">
        <f t="shared" si="18"/>
        <v>1.1666666666666667</v>
      </c>
      <c r="AV411">
        <f t="shared" si="19"/>
        <v>833.7</v>
      </c>
      <c r="AY411">
        <v>480</v>
      </c>
      <c r="AZ411">
        <v>22.13</v>
      </c>
      <c r="BC411" t="s">
        <v>122</v>
      </c>
    </row>
    <row r="412" spans="3:55" x14ac:dyDescent="0.3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20"/>
        <v>10.9</v>
      </c>
      <c r="AU412">
        <f t="shared" si="18"/>
        <v>1.1666666666666667</v>
      </c>
      <c r="AV412">
        <f t="shared" si="19"/>
        <v>833.7</v>
      </c>
      <c r="AY412">
        <v>492</v>
      </c>
      <c r="AZ412">
        <v>6.17</v>
      </c>
      <c r="BC412" t="s">
        <v>122</v>
      </c>
    </row>
    <row r="413" spans="3:55" x14ac:dyDescent="0.3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20"/>
        <v>10.9</v>
      </c>
      <c r="AU413">
        <f t="shared" si="18"/>
        <v>1.1666666666666667</v>
      </c>
      <c r="AV413">
        <f t="shared" si="19"/>
        <v>833.7</v>
      </c>
      <c r="AY413">
        <v>854</v>
      </c>
      <c r="AZ413">
        <v>6.66</v>
      </c>
      <c r="BC413" t="s">
        <v>122</v>
      </c>
    </row>
    <row r="414" spans="3:55" x14ac:dyDescent="0.3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20"/>
        <v>10.9</v>
      </c>
      <c r="AU414">
        <f t="shared" si="18"/>
        <v>1.1666666666666667</v>
      </c>
      <c r="AV414">
        <f t="shared" si="19"/>
        <v>833.7</v>
      </c>
      <c r="AY414">
        <v>613</v>
      </c>
      <c r="AZ414">
        <v>11.31</v>
      </c>
      <c r="BC414" t="s">
        <v>122</v>
      </c>
    </row>
    <row r="415" spans="3:55" x14ac:dyDescent="0.3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20"/>
        <v>10.9</v>
      </c>
      <c r="AU415">
        <f t="shared" si="18"/>
        <v>1.1666666666666667</v>
      </c>
      <c r="AV415">
        <f t="shared" si="19"/>
        <v>833.7</v>
      </c>
      <c r="AY415">
        <v>529</v>
      </c>
      <c r="AZ415">
        <v>17.440000000000001</v>
      </c>
      <c r="BC415" t="s">
        <v>122</v>
      </c>
    </row>
    <row r="416" spans="3:55" x14ac:dyDescent="0.3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20"/>
        <v>10.24</v>
      </c>
      <c r="AU416">
        <f t="shared" si="18"/>
        <v>0.5</v>
      </c>
      <c r="AV416">
        <f t="shared" si="19"/>
        <v>861.3</v>
      </c>
      <c r="AY416">
        <v>864</v>
      </c>
      <c r="AZ416">
        <v>1.55</v>
      </c>
      <c r="BC416" t="s">
        <v>123</v>
      </c>
    </row>
    <row r="417" spans="3:55" x14ac:dyDescent="0.3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20"/>
        <v>10.24</v>
      </c>
      <c r="AU417">
        <f t="shared" si="18"/>
        <v>0.5</v>
      </c>
      <c r="AV417">
        <f t="shared" si="19"/>
        <v>861.3</v>
      </c>
      <c r="AY417">
        <v>780</v>
      </c>
      <c r="AZ417">
        <v>17.399999999999999</v>
      </c>
      <c r="BC417" t="s">
        <v>123</v>
      </c>
    </row>
    <row r="418" spans="3:55" x14ac:dyDescent="0.3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20"/>
        <v>10.24</v>
      </c>
      <c r="AU418">
        <f t="shared" si="18"/>
        <v>0.5</v>
      </c>
      <c r="AV418">
        <f t="shared" si="19"/>
        <v>861.3</v>
      </c>
      <c r="AY418">
        <v>456</v>
      </c>
      <c r="AZ418">
        <v>25.44</v>
      </c>
      <c r="BC418" t="s">
        <v>123</v>
      </c>
    </row>
    <row r="419" spans="3:55" x14ac:dyDescent="0.3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20"/>
        <v>10.24</v>
      </c>
      <c r="AU419">
        <f t="shared" si="18"/>
        <v>0.5</v>
      </c>
      <c r="AV419">
        <f t="shared" si="19"/>
        <v>861.3</v>
      </c>
      <c r="AY419">
        <v>589</v>
      </c>
      <c r="AZ419">
        <v>18.579999999999998</v>
      </c>
      <c r="BC419" t="s">
        <v>123</v>
      </c>
    </row>
    <row r="420" spans="3:55" x14ac:dyDescent="0.3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20"/>
        <v>5.9136000000000006</v>
      </c>
      <c r="AU420">
        <f t="shared" si="18"/>
        <v>3.3483333333333332</v>
      </c>
      <c r="AV420">
        <f t="shared" si="19"/>
        <v>743.37900000000002</v>
      </c>
      <c r="AW420">
        <v>73</v>
      </c>
      <c r="AX420">
        <v>1107</v>
      </c>
      <c r="BC420" t="s">
        <v>60</v>
      </c>
    </row>
    <row r="421" spans="3:55" x14ac:dyDescent="0.3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20"/>
        <v>5.2294</v>
      </c>
      <c r="AU421">
        <f t="shared" si="18"/>
        <v>3.83</v>
      </c>
      <c r="AV421">
        <f t="shared" si="19"/>
        <v>723.43799999999999</v>
      </c>
      <c r="AW421">
        <v>75</v>
      </c>
      <c r="AX421">
        <v>932</v>
      </c>
      <c r="BC421" t="s">
        <v>60</v>
      </c>
    </row>
    <row r="422" spans="3:55" x14ac:dyDescent="0.3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20"/>
        <v>4.7127999999999997</v>
      </c>
      <c r="AU422">
        <f t="shared" si="18"/>
        <v>4.3400000000000007</v>
      </c>
      <c r="AV422">
        <f t="shared" si="19"/>
        <v>702.32399999999996</v>
      </c>
      <c r="AW422">
        <v>77</v>
      </c>
      <c r="AX422">
        <v>953</v>
      </c>
      <c r="BC422" t="s">
        <v>60</v>
      </c>
    </row>
    <row r="423" spans="3:55" x14ac:dyDescent="0.3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20"/>
        <v>6.66</v>
      </c>
      <c r="AU423">
        <f t="shared" si="18"/>
        <v>0.54166666666666663</v>
      </c>
      <c r="AV423">
        <f t="shared" si="19"/>
        <v>859.57500000000005</v>
      </c>
      <c r="AW423">
        <v>65</v>
      </c>
      <c r="AX423">
        <v>600</v>
      </c>
      <c r="BC423" t="s">
        <v>60</v>
      </c>
    </row>
    <row r="424" spans="3:55" x14ac:dyDescent="0.3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20"/>
        <v>6.66</v>
      </c>
      <c r="AU424">
        <f t="shared" si="18"/>
        <v>0.54166666666666663</v>
      </c>
      <c r="AV424">
        <f t="shared" si="19"/>
        <v>859.57500000000005</v>
      </c>
      <c r="AW424">
        <v>55</v>
      </c>
      <c r="AX424">
        <v>257</v>
      </c>
      <c r="BC424" t="s">
        <v>60</v>
      </c>
    </row>
    <row r="425" spans="3:55" x14ac:dyDescent="0.3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20"/>
        <v>6.4630000000000001</v>
      </c>
      <c r="AU425">
        <f t="shared" si="18"/>
        <v>0.33833333333333332</v>
      </c>
      <c r="AV425">
        <f t="shared" si="19"/>
        <v>867.99300000000005</v>
      </c>
      <c r="AW425">
        <v>64.5</v>
      </c>
      <c r="AX425">
        <v>700</v>
      </c>
      <c r="BC425" t="s">
        <v>60</v>
      </c>
    </row>
    <row r="426" spans="3:55" x14ac:dyDescent="0.3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20"/>
        <v>6.4522000000000004</v>
      </c>
      <c r="AU426">
        <f t="shared" si="18"/>
        <v>0.57666666666666666</v>
      </c>
      <c r="AV426">
        <f t="shared" si="19"/>
        <v>858.12599999999998</v>
      </c>
      <c r="AW426">
        <v>57.1</v>
      </c>
      <c r="AX426">
        <v>400</v>
      </c>
      <c r="BC426" t="s">
        <v>60</v>
      </c>
    </row>
    <row r="427" spans="3:55" x14ac:dyDescent="0.3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20"/>
        <v>6.1724000000000006</v>
      </c>
      <c r="AU427">
        <f t="shared" si="18"/>
        <v>0.53833333333333344</v>
      </c>
      <c r="AV427">
        <f t="shared" si="19"/>
        <v>859.71299999999997</v>
      </c>
      <c r="AW427">
        <v>53.7</v>
      </c>
      <c r="AX427">
        <v>435</v>
      </c>
      <c r="BC427" t="s">
        <v>60</v>
      </c>
    </row>
    <row r="428" spans="3:55" x14ac:dyDescent="0.3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20"/>
        <v>6.5940000000000003</v>
      </c>
      <c r="AU428">
        <f t="shared" si="18"/>
        <v>0.33333333333333331</v>
      </c>
      <c r="AV428">
        <f t="shared" si="19"/>
        <v>868.2</v>
      </c>
      <c r="AW428">
        <v>55</v>
      </c>
      <c r="AX428">
        <v>280</v>
      </c>
      <c r="BC428" t="s">
        <v>60</v>
      </c>
    </row>
    <row r="429" spans="3:55" x14ac:dyDescent="0.3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20"/>
        <v>7.0294000000000008</v>
      </c>
      <c r="AU429">
        <f t="shared" si="18"/>
        <v>0.57333333333333336</v>
      </c>
      <c r="AV429">
        <f t="shared" si="19"/>
        <v>858.26400000000001</v>
      </c>
      <c r="AW429">
        <v>61</v>
      </c>
      <c r="AX429">
        <v>521</v>
      </c>
      <c r="BC429" t="s">
        <v>60</v>
      </c>
    </row>
    <row r="430" spans="3:55" x14ac:dyDescent="0.3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20"/>
        <v>6.6550000000000002</v>
      </c>
      <c r="AU430">
        <f t="shared" si="18"/>
        <v>0.53</v>
      </c>
      <c r="AV430">
        <f t="shared" si="19"/>
        <v>860.05799999999999</v>
      </c>
      <c r="AW430">
        <v>65</v>
      </c>
      <c r="BB430" t="s">
        <v>346</v>
      </c>
    </row>
    <row r="431" spans="3:55" x14ac:dyDescent="0.3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20"/>
        <v>7.1160000000000005</v>
      </c>
      <c r="AU431">
        <f t="shared" si="18"/>
        <v>0.81666666666666676</v>
      </c>
      <c r="AV431">
        <f t="shared" si="19"/>
        <v>848.19</v>
      </c>
      <c r="AW431">
        <v>55</v>
      </c>
      <c r="BB431" t="s">
        <v>346</v>
      </c>
    </row>
    <row r="432" spans="3:55" x14ac:dyDescent="0.3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20"/>
        <v>6.5940000000000003</v>
      </c>
      <c r="AU432">
        <f t="shared" si="18"/>
        <v>0.33333333333333331</v>
      </c>
      <c r="AV432">
        <f t="shared" si="19"/>
        <v>868.2</v>
      </c>
      <c r="AW432">
        <v>56</v>
      </c>
      <c r="BB432" t="s">
        <v>346</v>
      </c>
    </row>
    <row r="433" spans="3:54" x14ac:dyDescent="0.3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20"/>
        <v>2.3148000000000004</v>
      </c>
      <c r="AU433">
        <f t="shared" si="18"/>
        <v>1.3216666666666665</v>
      </c>
      <c r="AV433">
        <f t="shared" si="19"/>
        <v>827.28300000000002</v>
      </c>
      <c r="AW433">
        <v>90</v>
      </c>
      <c r="BB433" t="s">
        <v>346</v>
      </c>
    </row>
    <row r="434" spans="3:54" x14ac:dyDescent="0.3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20"/>
        <v>2.4925999999999999</v>
      </c>
      <c r="AU434">
        <f t="shared" si="18"/>
        <v>1.345</v>
      </c>
      <c r="AV434">
        <f t="shared" si="19"/>
        <v>826.31700000000001</v>
      </c>
      <c r="AW434">
        <v>92.54</v>
      </c>
      <c r="BB434" t="s">
        <v>347</v>
      </c>
    </row>
    <row r="435" spans="3:54" x14ac:dyDescent="0.3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20"/>
        <v>2.677</v>
      </c>
      <c r="AU435">
        <f t="shared" si="18"/>
        <v>1.3683333333333334</v>
      </c>
      <c r="AV435">
        <f t="shared" si="19"/>
        <v>825.351</v>
      </c>
      <c r="AW435">
        <v>93.66</v>
      </c>
      <c r="BB435" t="s">
        <v>347</v>
      </c>
    </row>
    <row r="436" spans="3:54" x14ac:dyDescent="0.3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20"/>
        <v>2.8657999999999997</v>
      </c>
      <c r="AU436">
        <f t="shared" si="18"/>
        <v>1.3933333333333333</v>
      </c>
      <c r="AV436">
        <f t="shared" si="19"/>
        <v>824.31600000000003</v>
      </c>
      <c r="AW436">
        <v>83.52</v>
      </c>
      <c r="BB436" t="s">
        <v>347</v>
      </c>
    </row>
    <row r="437" spans="3:54" x14ac:dyDescent="0.3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20"/>
        <v>7.1144000000000016</v>
      </c>
      <c r="AU437">
        <f t="shared" si="18"/>
        <v>0.82</v>
      </c>
      <c r="AV437">
        <f t="shared" si="19"/>
        <v>848.05200000000002</v>
      </c>
      <c r="AW437">
        <v>55</v>
      </c>
      <c r="BB437" t="s">
        <v>347</v>
      </c>
    </row>
    <row r="438" spans="3:54" x14ac:dyDescent="0.3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20"/>
        <v>15.132800000000001</v>
      </c>
      <c r="AU438">
        <f t="shared" si="18"/>
        <v>1.4516666666666669</v>
      </c>
      <c r="AV438">
        <f t="shared" si="19"/>
        <v>821.90099999999995</v>
      </c>
      <c r="AW438">
        <v>64</v>
      </c>
      <c r="BB438" t="s">
        <v>347</v>
      </c>
    </row>
    <row r="439" spans="3:54" x14ac:dyDescent="0.3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20"/>
        <v>5.9136000000000006</v>
      </c>
      <c r="AU439">
        <f t="shared" si="18"/>
        <v>3.3483333333333332</v>
      </c>
      <c r="AV439">
        <f t="shared" si="19"/>
        <v>743.37900000000002</v>
      </c>
      <c r="AW439">
        <v>73.12</v>
      </c>
      <c r="BB439" t="s">
        <v>243</v>
      </c>
    </row>
    <row r="440" spans="3:54" x14ac:dyDescent="0.3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20"/>
        <v>5.2294</v>
      </c>
      <c r="AU440">
        <f t="shared" si="18"/>
        <v>3.83</v>
      </c>
      <c r="AV440">
        <f t="shared" si="19"/>
        <v>723.43799999999999</v>
      </c>
      <c r="AW440">
        <v>74.98</v>
      </c>
      <c r="BB440" t="s">
        <v>276</v>
      </c>
    </row>
    <row r="441" spans="3:54" x14ac:dyDescent="0.3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20"/>
        <v>4.7127999999999997</v>
      </c>
      <c r="AU441">
        <f t="shared" si="18"/>
        <v>4.34</v>
      </c>
      <c r="AV441">
        <f t="shared" si="19"/>
        <v>702.32399999999996</v>
      </c>
      <c r="AW441">
        <v>76.62</v>
      </c>
      <c r="BB441" t="s">
        <v>276</v>
      </c>
    </row>
    <row r="442" spans="3:54" x14ac:dyDescent="0.3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20"/>
        <v>7.7800000000000011</v>
      </c>
      <c r="AU442">
        <f t="shared" si="18"/>
        <v>0.6</v>
      </c>
      <c r="AV442">
        <f t="shared" si="19"/>
        <v>857.16</v>
      </c>
      <c r="AW442">
        <v>65.8</v>
      </c>
      <c r="BB442" t="s">
        <v>276</v>
      </c>
    </row>
    <row r="443" spans="3:54" x14ac:dyDescent="0.3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20"/>
        <v>7.3360000000000003</v>
      </c>
      <c r="AU443">
        <f t="shared" si="18"/>
        <v>0.53333333333333333</v>
      </c>
      <c r="AV443">
        <f t="shared" si="19"/>
        <v>859.92</v>
      </c>
      <c r="AW443">
        <v>64.2</v>
      </c>
      <c r="BB443" t="s">
        <v>276</v>
      </c>
    </row>
    <row r="444" spans="3:54" x14ac:dyDescent="0.3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20"/>
        <v>6.9740000000000002</v>
      </c>
      <c r="AU444">
        <f t="shared" si="18"/>
        <v>0.56666666666666665</v>
      </c>
      <c r="AV444">
        <f t="shared" si="19"/>
        <v>858.54</v>
      </c>
      <c r="AW444">
        <v>63</v>
      </c>
    </row>
    <row r="445" spans="3:54" x14ac:dyDescent="0.3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20"/>
        <v>6.4540000000000006</v>
      </c>
      <c r="AU445">
        <f t="shared" si="18"/>
        <v>0.33333333333333331</v>
      </c>
      <c r="AV445">
        <f t="shared" si="19"/>
        <v>868.2</v>
      </c>
      <c r="AW445">
        <v>59.5</v>
      </c>
    </row>
    <row r="446" spans="3:54" x14ac:dyDescent="0.3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20"/>
        <v>7.0244</v>
      </c>
      <c r="AU446">
        <f t="shared" si="18"/>
        <v>0.80500000000000005</v>
      </c>
      <c r="AV446">
        <f t="shared" si="19"/>
        <v>848.673</v>
      </c>
      <c r="AW446">
        <v>62.2</v>
      </c>
    </row>
    <row r="447" spans="3:54" x14ac:dyDescent="0.3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20"/>
        <v>6.6160000000000005</v>
      </c>
      <c r="AU447">
        <f t="shared" si="18"/>
        <v>0.32666666666666666</v>
      </c>
      <c r="AV447">
        <f t="shared" si="19"/>
        <v>868.476</v>
      </c>
      <c r="AW447">
        <v>60.2</v>
      </c>
    </row>
    <row r="448" spans="3:54" x14ac:dyDescent="0.3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20"/>
        <v>6.4826000000000006</v>
      </c>
      <c r="AU448">
        <f t="shared" si="18"/>
        <v>0.57833333333333337</v>
      </c>
      <c r="AV448">
        <f t="shared" si="19"/>
        <v>858.05700000000002</v>
      </c>
      <c r="AW448">
        <v>56</v>
      </c>
    </row>
    <row r="449" spans="3:55" x14ac:dyDescent="0.3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20"/>
        <v>7.6822000000000008</v>
      </c>
      <c r="AU449">
        <f t="shared" si="18"/>
        <v>0.59666666666666668</v>
      </c>
      <c r="AV449">
        <f t="shared" si="19"/>
        <v>857.298</v>
      </c>
      <c r="AW449">
        <v>62</v>
      </c>
    </row>
    <row r="450" spans="3:55" x14ac:dyDescent="0.3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20"/>
        <v>7.1220000000000008</v>
      </c>
      <c r="AU450">
        <f t="shared" ref="AU450:AU513" si="21">D450+J450/6+M450/3+(T450+S450)/10</f>
        <v>0.83333333333333337</v>
      </c>
      <c r="AV450">
        <f t="shared" ref="AV450:AV513" si="22">882+2.1*D450-9.5*L450+4.2*M450-6.9*J450-11.8*E450-12.1*F450-15.4*H450+23.3*Q450+123*T450</f>
        <v>847.5</v>
      </c>
      <c r="AW450">
        <v>56</v>
      </c>
    </row>
    <row r="451" spans="3:55" x14ac:dyDescent="0.3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23">L451+0.67*E451+0.44*P451+0.28*K451+0.22*O451+2.9*H451+1.6*F451+1.7*G451-D451</f>
        <v>6.73</v>
      </c>
      <c r="AU451">
        <f t="shared" si="21"/>
        <v>0.85</v>
      </c>
      <c r="AV451">
        <f t="shared" si="22"/>
        <v>846.81</v>
      </c>
      <c r="AW451">
        <v>50</v>
      </c>
    </row>
    <row r="452" spans="3:55" x14ac:dyDescent="0.3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23"/>
        <v>5.3240000000000007</v>
      </c>
      <c r="AU452">
        <f t="shared" si="21"/>
        <v>2.9333333333333336</v>
      </c>
      <c r="AV452">
        <f t="shared" si="22"/>
        <v>760.56</v>
      </c>
      <c r="AW452">
        <v>48.3</v>
      </c>
    </row>
    <row r="453" spans="3:55" x14ac:dyDescent="0.3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23"/>
        <v>0.67999999999999972</v>
      </c>
      <c r="AU453">
        <f t="shared" si="21"/>
        <v>6</v>
      </c>
      <c r="AV453">
        <f t="shared" si="22"/>
        <v>809.4</v>
      </c>
      <c r="AY453">
        <v>1032</v>
      </c>
      <c r="AZ453">
        <v>18.440000000000001</v>
      </c>
      <c r="BC453" t="s">
        <v>124</v>
      </c>
    </row>
    <row r="454" spans="3:55" x14ac:dyDescent="0.3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23"/>
        <v>0.67999999999999972</v>
      </c>
      <c r="AU454">
        <f t="shared" si="21"/>
        <v>6</v>
      </c>
      <c r="AV454">
        <f t="shared" si="22"/>
        <v>809.4</v>
      </c>
      <c r="AY454">
        <v>1084</v>
      </c>
      <c r="AZ454">
        <v>15.76</v>
      </c>
      <c r="BC454" t="s">
        <v>124</v>
      </c>
    </row>
    <row r="455" spans="3:55" x14ac:dyDescent="0.3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23"/>
        <v>0.67999999999999972</v>
      </c>
      <c r="AU455">
        <f t="shared" si="21"/>
        <v>6</v>
      </c>
      <c r="AV455">
        <f t="shared" si="22"/>
        <v>809.4</v>
      </c>
      <c r="AY455">
        <v>1124</v>
      </c>
      <c r="AZ455">
        <v>14.54</v>
      </c>
      <c r="BC455" t="s">
        <v>124</v>
      </c>
    </row>
    <row r="456" spans="3:55" x14ac:dyDescent="0.3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23"/>
        <v>0.67999999999999972</v>
      </c>
      <c r="AU456">
        <f t="shared" si="21"/>
        <v>6</v>
      </c>
      <c r="AV456">
        <f t="shared" si="22"/>
        <v>809.4</v>
      </c>
      <c r="AY456">
        <v>1225</v>
      </c>
      <c r="AZ456">
        <v>5.12</v>
      </c>
      <c r="BC456" t="s">
        <v>124</v>
      </c>
    </row>
    <row r="457" spans="3:55" x14ac:dyDescent="0.3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23"/>
        <v>0.67999999999999972</v>
      </c>
      <c r="AU457">
        <f t="shared" si="21"/>
        <v>6</v>
      </c>
      <c r="AV457">
        <f t="shared" si="22"/>
        <v>809.4</v>
      </c>
      <c r="AY457">
        <v>1285</v>
      </c>
      <c r="AZ457">
        <v>3.12</v>
      </c>
      <c r="BC457" t="s">
        <v>124</v>
      </c>
    </row>
    <row r="458" spans="3:55" x14ac:dyDescent="0.3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23"/>
        <v>-6.3866999999999994</v>
      </c>
      <c r="AU458">
        <f t="shared" si="21"/>
        <v>8.1</v>
      </c>
      <c r="AV458">
        <f t="shared" si="22"/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3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23"/>
        <v>-6.3866999999999994</v>
      </c>
      <c r="AU459">
        <f t="shared" si="21"/>
        <v>8.1</v>
      </c>
      <c r="AV459">
        <f t="shared" si="22"/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3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23"/>
        <v>-6.3866999999999994</v>
      </c>
      <c r="AU460">
        <f t="shared" si="21"/>
        <v>8.1</v>
      </c>
      <c r="AV460">
        <f t="shared" si="22"/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3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23"/>
        <v>-6.3866999999999994</v>
      </c>
      <c r="AU461">
        <f t="shared" si="21"/>
        <v>8.1</v>
      </c>
      <c r="AV461">
        <f t="shared" si="22"/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3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23"/>
        <v>-6.3866999999999994</v>
      </c>
      <c r="AU462">
        <f t="shared" si="21"/>
        <v>8.1</v>
      </c>
      <c r="AV462">
        <f t="shared" si="22"/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3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23"/>
        <v>-6.3866999999999994</v>
      </c>
      <c r="AU463">
        <f t="shared" si="21"/>
        <v>8.1</v>
      </c>
      <c r="AV463">
        <f t="shared" si="22"/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3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23"/>
        <v>-6.3866999999999994</v>
      </c>
      <c r="AU464">
        <f t="shared" si="21"/>
        <v>8.1</v>
      </c>
      <c r="AV464">
        <f t="shared" si="22"/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3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23"/>
        <v>-6.3866999999999994</v>
      </c>
      <c r="AU465">
        <f t="shared" si="21"/>
        <v>8.1</v>
      </c>
      <c r="AV465">
        <f t="shared" si="22"/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3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23"/>
        <v>-6.3866999999999994</v>
      </c>
      <c r="AU466">
        <f t="shared" si="21"/>
        <v>8.1</v>
      </c>
      <c r="AV466">
        <f t="shared" si="22"/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3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23"/>
        <v>-6.3866999999999994</v>
      </c>
      <c r="AU467">
        <f t="shared" si="21"/>
        <v>8.1</v>
      </c>
      <c r="AV467">
        <f t="shared" si="22"/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3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23"/>
        <v>-6.3866999999999994</v>
      </c>
      <c r="AU468">
        <f t="shared" si="21"/>
        <v>8.1</v>
      </c>
      <c r="AV468">
        <f t="shared" si="22"/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3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23"/>
        <v>-6.3866999999999994</v>
      </c>
      <c r="AU469">
        <f t="shared" si="21"/>
        <v>8.1</v>
      </c>
      <c r="AV469">
        <f t="shared" si="22"/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3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23"/>
        <v>-6.3866999999999994</v>
      </c>
      <c r="AU470">
        <f t="shared" si="21"/>
        <v>8.1</v>
      </c>
      <c r="AV470">
        <f t="shared" si="22"/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3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23"/>
        <v>-6.3866999999999994</v>
      </c>
      <c r="AU471">
        <f t="shared" si="21"/>
        <v>8.1</v>
      </c>
      <c r="AV471">
        <f t="shared" si="22"/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3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23"/>
        <v>-6.3866999999999994</v>
      </c>
      <c r="AU472">
        <f t="shared" si="21"/>
        <v>8.1</v>
      </c>
      <c r="AV472">
        <f t="shared" si="22"/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3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23"/>
        <v>-6.3866999999999994</v>
      </c>
      <c r="AU473">
        <f t="shared" si="21"/>
        <v>8.1</v>
      </c>
      <c r="AV473">
        <f t="shared" si="22"/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3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23"/>
        <v>-6.3866999999999994</v>
      </c>
      <c r="AU474">
        <f t="shared" si="21"/>
        <v>8.1</v>
      </c>
      <c r="AV474">
        <f t="shared" si="22"/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3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23"/>
        <v>-6.3866999999999994</v>
      </c>
      <c r="AU475">
        <f t="shared" si="21"/>
        <v>8.1</v>
      </c>
      <c r="AV475">
        <f t="shared" si="22"/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3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23"/>
        <v>4.4480000000000004</v>
      </c>
      <c r="AU476">
        <f t="shared" si="21"/>
        <v>3.3</v>
      </c>
      <c r="AV476">
        <f t="shared" si="22"/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3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23"/>
        <v>4.4480000000000004</v>
      </c>
      <c r="AU477">
        <f t="shared" si="21"/>
        <v>3.3</v>
      </c>
      <c r="AV477">
        <f t="shared" si="22"/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3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23"/>
        <v>4.4480000000000004</v>
      </c>
      <c r="AU478">
        <f t="shared" si="21"/>
        <v>3.3</v>
      </c>
      <c r="AV478">
        <f t="shared" si="22"/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3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23"/>
        <v>4.4480000000000004</v>
      </c>
      <c r="AU479">
        <f t="shared" si="21"/>
        <v>3.3</v>
      </c>
      <c r="AV479">
        <f t="shared" si="22"/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3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23"/>
        <v>4.4480000000000004</v>
      </c>
      <c r="AU480">
        <f t="shared" si="21"/>
        <v>3.3</v>
      </c>
      <c r="AV480">
        <f t="shared" si="22"/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3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23"/>
        <v>4.4480000000000004</v>
      </c>
      <c r="AU481">
        <f t="shared" si="21"/>
        <v>3.3</v>
      </c>
      <c r="AV481">
        <f t="shared" si="22"/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3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23"/>
        <v>4.4480000000000004</v>
      </c>
      <c r="AU482">
        <f t="shared" si="21"/>
        <v>3.3</v>
      </c>
      <c r="AV482">
        <f t="shared" si="22"/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3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23"/>
        <v>4.4480000000000004</v>
      </c>
      <c r="AU483">
        <f t="shared" si="21"/>
        <v>3.3</v>
      </c>
      <c r="AV483">
        <f t="shared" si="22"/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3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23"/>
        <v>4.4480000000000004</v>
      </c>
      <c r="AU484">
        <f t="shared" si="21"/>
        <v>3.3</v>
      </c>
      <c r="AV484">
        <f t="shared" si="22"/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3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23"/>
        <v>4.4480000000000004</v>
      </c>
      <c r="AU485">
        <f t="shared" si="21"/>
        <v>3.3</v>
      </c>
      <c r="AV485">
        <f t="shared" si="22"/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3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23"/>
        <v>4.4480000000000004</v>
      </c>
      <c r="AU486">
        <f t="shared" si="21"/>
        <v>3.3</v>
      </c>
      <c r="AV486">
        <f t="shared" si="22"/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3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23"/>
        <v>4.4480000000000004</v>
      </c>
      <c r="AU487">
        <f t="shared" si="21"/>
        <v>3.3</v>
      </c>
      <c r="AV487">
        <f t="shared" si="22"/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3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23"/>
        <v>4.4480000000000004</v>
      </c>
      <c r="AU488">
        <f t="shared" si="21"/>
        <v>3.3</v>
      </c>
      <c r="AV488">
        <f t="shared" si="22"/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3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23"/>
        <v>4.4480000000000004</v>
      </c>
      <c r="AU489">
        <f t="shared" si="21"/>
        <v>3.3</v>
      </c>
      <c r="AV489">
        <f t="shared" si="22"/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3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23"/>
        <v>4.4480000000000004</v>
      </c>
      <c r="AU490">
        <f t="shared" si="21"/>
        <v>3.3</v>
      </c>
      <c r="AV490">
        <f t="shared" si="22"/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3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23"/>
        <v>4.4480000000000004</v>
      </c>
      <c r="AU491">
        <f t="shared" si="21"/>
        <v>3.3</v>
      </c>
      <c r="AV491">
        <f t="shared" si="22"/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3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23"/>
        <v>4.4480000000000004</v>
      </c>
      <c r="AU492">
        <f t="shared" si="21"/>
        <v>3.3</v>
      </c>
      <c r="AV492">
        <f t="shared" si="22"/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3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23"/>
        <v>4.4480000000000004</v>
      </c>
      <c r="AU493">
        <f t="shared" si="21"/>
        <v>3.3</v>
      </c>
      <c r="AV493">
        <f t="shared" si="22"/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3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23"/>
        <v>4.4480000000000004</v>
      </c>
      <c r="AU494">
        <f t="shared" si="21"/>
        <v>3.3</v>
      </c>
      <c r="AV494">
        <f t="shared" si="22"/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3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23"/>
        <v>4.4480000000000004</v>
      </c>
      <c r="AU495">
        <f t="shared" si="21"/>
        <v>3.3</v>
      </c>
      <c r="AV495">
        <f t="shared" si="22"/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3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23"/>
        <v>4.4480000000000004</v>
      </c>
      <c r="AU496">
        <f t="shared" si="21"/>
        <v>3.3</v>
      </c>
      <c r="AV496">
        <f t="shared" si="22"/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3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23"/>
        <v>4.4480000000000004</v>
      </c>
      <c r="AU497">
        <f t="shared" si="21"/>
        <v>3.3</v>
      </c>
      <c r="AV497">
        <f t="shared" si="22"/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3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23"/>
        <v>9.5</v>
      </c>
      <c r="AU498">
        <f t="shared" si="21"/>
        <v>3</v>
      </c>
      <c r="AV498">
        <f t="shared" si="22"/>
        <v>739.5</v>
      </c>
      <c r="AY498">
        <v>1265</v>
      </c>
      <c r="AZ498">
        <v>12.18</v>
      </c>
      <c r="BC498" t="s">
        <v>125</v>
      </c>
    </row>
    <row r="499" spans="3:55" x14ac:dyDescent="0.3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23"/>
        <v>9.5</v>
      </c>
      <c r="AU499">
        <f t="shared" si="21"/>
        <v>3</v>
      </c>
      <c r="AV499">
        <f t="shared" si="22"/>
        <v>739.5</v>
      </c>
      <c r="AY499">
        <v>1186</v>
      </c>
      <c r="AZ499">
        <v>13.18</v>
      </c>
      <c r="BC499" t="s">
        <v>125</v>
      </c>
    </row>
    <row r="500" spans="3:55" x14ac:dyDescent="0.3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23"/>
        <v>9.5</v>
      </c>
      <c r="AU500">
        <f t="shared" si="21"/>
        <v>3</v>
      </c>
      <c r="AV500">
        <f t="shared" si="22"/>
        <v>739.5</v>
      </c>
      <c r="AY500">
        <v>1172</v>
      </c>
      <c r="AZ500">
        <v>14.19</v>
      </c>
      <c r="BC500" t="s">
        <v>125</v>
      </c>
    </row>
    <row r="501" spans="3:55" x14ac:dyDescent="0.3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23"/>
        <v>9.5</v>
      </c>
      <c r="AU501">
        <f t="shared" si="21"/>
        <v>3</v>
      </c>
      <c r="AV501">
        <f t="shared" si="22"/>
        <v>739.5</v>
      </c>
      <c r="AY501">
        <v>1204</v>
      </c>
      <c r="AZ501">
        <v>13.18</v>
      </c>
      <c r="BC501" t="s">
        <v>125</v>
      </c>
    </row>
    <row r="502" spans="3:55" x14ac:dyDescent="0.3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23"/>
        <v>0.5</v>
      </c>
      <c r="AU502">
        <f t="shared" si="21"/>
        <v>5.25</v>
      </c>
      <c r="AV502">
        <f t="shared" si="22"/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3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23"/>
        <v>0.5</v>
      </c>
      <c r="AU503">
        <f t="shared" si="21"/>
        <v>5.25</v>
      </c>
      <c r="AV503">
        <f t="shared" si="22"/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3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23"/>
        <v>-3.1981999999999995</v>
      </c>
      <c r="AU504">
        <f t="shared" si="21"/>
        <v>6.05</v>
      </c>
      <c r="AV504">
        <f t="shared" si="22"/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3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23"/>
        <v>-3.1981999999999995</v>
      </c>
      <c r="AU505">
        <f t="shared" si="21"/>
        <v>6.05</v>
      </c>
      <c r="AV505">
        <f t="shared" si="22"/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3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23"/>
        <v>18.86</v>
      </c>
      <c r="AU506">
        <f t="shared" si="21"/>
        <v>1</v>
      </c>
      <c r="AV506">
        <f t="shared" si="22"/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3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23"/>
        <v>18.86</v>
      </c>
      <c r="AU507">
        <f t="shared" si="21"/>
        <v>1</v>
      </c>
      <c r="AV507">
        <f t="shared" si="22"/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3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23"/>
        <v>-2.3315000000000001</v>
      </c>
      <c r="AU508">
        <f t="shared" si="21"/>
        <v>5.58</v>
      </c>
      <c r="AV508">
        <f t="shared" si="22"/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3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23"/>
        <v>-2.3315000000000001</v>
      </c>
      <c r="AU509">
        <f t="shared" si="21"/>
        <v>5.58</v>
      </c>
      <c r="AV509">
        <f t="shared" si="22"/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3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23"/>
        <v>-2.3315000000000001</v>
      </c>
      <c r="AU510">
        <f t="shared" si="21"/>
        <v>5.58</v>
      </c>
      <c r="AV510">
        <f t="shared" si="22"/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3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23"/>
        <v>14.700000000000001</v>
      </c>
      <c r="AU511">
        <f t="shared" si="21"/>
        <v>0</v>
      </c>
      <c r="AV511">
        <f t="shared" si="22"/>
        <v>763.80000000000007</v>
      </c>
      <c r="AY511">
        <v>1246</v>
      </c>
      <c r="AZ511">
        <v>14.54</v>
      </c>
      <c r="BC511" t="s">
        <v>93</v>
      </c>
    </row>
    <row r="512" spans="3:55" x14ac:dyDescent="0.3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23"/>
        <v>14.700000000000001</v>
      </c>
      <c r="AU512">
        <f t="shared" si="21"/>
        <v>0</v>
      </c>
      <c r="AV512">
        <f t="shared" si="22"/>
        <v>763.80000000000007</v>
      </c>
      <c r="AY512">
        <v>929.6</v>
      </c>
      <c r="AZ512">
        <v>24.79</v>
      </c>
      <c r="BC512" t="s">
        <v>93</v>
      </c>
    </row>
    <row r="513" spans="3:55" x14ac:dyDescent="0.3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23"/>
        <v>9.1000000000000014</v>
      </c>
      <c r="AU513">
        <f t="shared" si="21"/>
        <v>2.0333333333333332</v>
      </c>
      <c r="AV513">
        <f t="shared" si="22"/>
        <v>846.42000000000007</v>
      </c>
      <c r="AY513">
        <v>562</v>
      </c>
      <c r="AZ513">
        <v>20.100000000000001</v>
      </c>
      <c r="BC513" t="s">
        <v>131</v>
      </c>
    </row>
    <row r="514" spans="3:55" x14ac:dyDescent="0.3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23"/>
        <v>9.1000000000000014</v>
      </c>
      <c r="AU514">
        <f t="shared" ref="AU514:AU577" si="24">D514+J514/6+M514/3+(T514+S514)/10</f>
        <v>2.0333333333333332</v>
      </c>
      <c r="AV514">
        <f t="shared" ref="AV514:AV577" si="25"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3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26">L515+0.67*E515+0.44*P515+0.28*K515+0.22*O515+2.9*H515+1.6*F515+1.7*G515-D515</f>
        <v>9.1000000000000014</v>
      </c>
      <c r="AU515">
        <f t="shared" si="24"/>
        <v>2.0333333333333332</v>
      </c>
      <c r="AV515">
        <f t="shared" si="25"/>
        <v>846.42000000000007</v>
      </c>
      <c r="AY515">
        <v>883</v>
      </c>
      <c r="AZ515">
        <v>14.9</v>
      </c>
      <c r="BC515" t="s">
        <v>131</v>
      </c>
    </row>
    <row r="516" spans="3:55" x14ac:dyDescent="0.3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26"/>
        <v>4.4800000000000004</v>
      </c>
      <c r="AU516">
        <f t="shared" si="24"/>
        <v>3.333333333333333</v>
      </c>
      <c r="AV516">
        <f t="shared" si="25"/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3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26"/>
        <v>5.6000000000000005</v>
      </c>
      <c r="AU517">
        <f t="shared" si="24"/>
        <v>3.333333333333333</v>
      </c>
      <c r="AV517">
        <f t="shared" si="25"/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3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26"/>
        <v>6.7200000000000006</v>
      </c>
      <c r="AU518">
        <f t="shared" si="24"/>
        <v>3.333333333333333</v>
      </c>
      <c r="AV518">
        <f t="shared" si="25"/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3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26"/>
        <v>7.8400000000000007</v>
      </c>
      <c r="AU519">
        <f t="shared" si="24"/>
        <v>3.333333333333333</v>
      </c>
      <c r="AV519">
        <f t="shared" si="25"/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3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26"/>
        <v>10.080000000000002</v>
      </c>
      <c r="AU520">
        <f t="shared" si="24"/>
        <v>3.333333333333333</v>
      </c>
      <c r="AV520">
        <f t="shared" si="25"/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3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26"/>
        <v>9.8000000000000007</v>
      </c>
      <c r="AU521">
        <f t="shared" si="24"/>
        <v>2.0333333333333332</v>
      </c>
      <c r="AV521">
        <f t="shared" si="25"/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3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26"/>
        <v>9.8000000000000007</v>
      </c>
      <c r="AU522">
        <f t="shared" si="24"/>
        <v>2.0333333333333332</v>
      </c>
      <c r="AV522">
        <f t="shared" si="25"/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3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26"/>
        <v>9.8000000000000007</v>
      </c>
      <c r="AU523">
        <f t="shared" si="24"/>
        <v>2.0333333333333332</v>
      </c>
      <c r="AV523">
        <f t="shared" si="25"/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3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26"/>
        <v>6.7760000000000007</v>
      </c>
      <c r="AU524">
        <f t="shared" si="24"/>
        <v>3.32</v>
      </c>
      <c r="AV524">
        <f t="shared" si="25"/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3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26"/>
        <v>6.7760000000000007</v>
      </c>
      <c r="AU525">
        <f t="shared" si="24"/>
        <v>3.32</v>
      </c>
      <c r="AV525">
        <f t="shared" si="25"/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3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26"/>
        <v>6.7760000000000007</v>
      </c>
      <c r="AU526">
        <f t="shared" si="24"/>
        <v>3.32</v>
      </c>
      <c r="AV526">
        <f t="shared" si="25"/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3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26"/>
        <v>6.7760000000000007</v>
      </c>
      <c r="AU527">
        <f t="shared" si="24"/>
        <v>3.32</v>
      </c>
      <c r="AV527">
        <f t="shared" si="25"/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3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26"/>
        <v>6.7760000000000007</v>
      </c>
      <c r="AU528">
        <f t="shared" si="24"/>
        <v>3.32</v>
      </c>
      <c r="AV528">
        <f t="shared" si="25"/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3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26"/>
        <v>6.7760000000000007</v>
      </c>
      <c r="AU529">
        <f t="shared" si="24"/>
        <v>3.32</v>
      </c>
      <c r="AV529">
        <f t="shared" si="25"/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3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26"/>
        <v>6.7760000000000007</v>
      </c>
      <c r="AU530">
        <f t="shared" si="24"/>
        <v>3.32</v>
      </c>
      <c r="AV530">
        <f t="shared" si="25"/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3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26"/>
        <v>6.7760000000000007</v>
      </c>
      <c r="AU531">
        <f t="shared" si="24"/>
        <v>3.32</v>
      </c>
      <c r="AV531">
        <f t="shared" si="25"/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3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26"/>
        <v>6.7760000000000007</v>
      </c>
      <c r="AU532">
        <f t="shared" si="24"/>
        <v>3.32</v>
      </c>
      <c r="AV532">
        <f t="shared" si="25"/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3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26"/>
        <v>6.7760000000000007</v>
      </c>
      <c r="AU533">
        <f t="shared" si="24"/>
        <v>3.32</v>
      </c>
      <c r="AV533">
        <f t="shared" si="25"/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3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26"/>
        <v>6.7760000000000007</v>
      </c>
      <c r="AU534">
        <f t="shared" si="24"/>
        <v>3.32</v>
      </c>
      <c r="AV534">
        <f t="shared" si="25"/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3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26"/>
        <v>6.7760000000000007</v>
      </c>
      <c r="AU535">
        <f t="shared" si="24"/>
        <v>3.32</v>
      </c>
      <c r="AV535">
        <f t="shared" si="25"/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3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26"/>
        <v>6.7760000000000007</v>
      </c>
      <c r="AU536">
        <f t="shared" si="24"/>
        <v>3.32</v>
      </c>
      <c r="AV536">
        <f t="shared" si="25"/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3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26"/>
        <v>6.7760000000000007</v>
      </c>
      <c r="AU537">
        <f t="shared" si="24"/>
        <v>3.32</v>
      </c>
      <c r="AV537">
        <f t="shared" si="25"/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3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26"/>
        <v>6.7760000000000007</v>
      </c>
      <c r="AU538">
        <f t="shared" si="24"/>
        <v>3.32</v>
      </c>
      <c r="AV538">
        <f t="shared" si="25"/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3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26"/>
        <v>6.7760000000000007</v>
      </c>
      <c r="AU539">
        <f t="shared" si="24"/>
        <v>3.32</v>
      </c>
      <c r="AV539">
        <f t="shared" si="25"/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3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26"/>
        <v>5.9052000000000007</v>
      </c>
      <c r="AU540">
        <f t="shared" si="24"/>
        <v>1.2050000000000001</v>
      </c>
      <c r="AV540">
        <f t="shared" si="25"/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3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26"/>
        <v>5.9052000000000007</v>
      </c>
      <c r="AU541">
        <f t="shared" si="24"/>
        <v>1.2050000000000001</v>
      </c>
      <c r="AV541">
        <f t="shared" si="25"/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3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26"/>
        <v>4.2532000000000005</v>
      </c>
      <c r="AU542">
        <f t="shared" si="24"/>
        <v>1.7099999999999997</v>
      </c>
      <c r="AV542">
        <f t="shared" si="25"/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3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26"/>
        <v>4.2</v>
      </c>
      <c r="AU543">
        <f t="shared" si="24"/>
        <v>1.6516666666666668</v>
      </c>
      <c r="AV543">
        <f t="shared" si="25"/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3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26"/>
        <v>4.2616000000000005</v>
      </c>
      <c r="AU544">
        <f t="shared" si="24"/>
        <v>1.7550000000000003</v>
      </c>
      <c r="AV544">
        <f t="shared" si="25"/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3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26"/>
        <v>4.2784000000000004</v>
      </c>
      <c r="AU545">
        <f t="shared" si="24"/>
        <v>1.7449999999999999</v>
      </c>
      <c r="AV545">
        <f t="shared" si="25"/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3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26"/>
        <v>4.2112000000000007</v>
      </c>
      <c r="AU546">
        <f t="shared" si="24"/>
        <v>1.7166666666666666</v>
      </c>
      <c r="AV546">
        <f t="shared" si="25"/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3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26"/>
        <v>3.9312</v>
      </c>
      <c r="AU547">
        <f t="shared" si="24"/>
        <v>0.45499999999999996</v>
      </c>
      <c r="AV547">
        <f t="shared" si="25"/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3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26"/>
        <v>5.1240000000000006</v>
      </c>
      <c r="AU548">
        <f t="shared" si="24"/>
        <v>5.4</v>
      </c>
      <c r="AV548">
        <f t="shared" si="25"/>
        <v>869.04</v>
      </c>
      <c r="AW548">
        <v>56</v>
      </c>
    </row>
    <row r="549" spans="3:55" x14ac:dyDescent="0.3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26"/>
        <v>4.9280000000000008</v>
      </c>
      <c r="AU549">
        <f t="shared" si="24"/>
        <v>6.6</v>
      </c>
      <c r="AV549">
        <f t="shared" si="25"/>
        <v>810.3599999999999</v>
      </c>
      <c r="AW549">
        <v>63</v>
      </c>
    </row>
    <row r="550" spans="3:55" x14ac:dyDescent="0.3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26"/>
        <v>7.056</v>
      </c>
      <c r="AU550">
        <f t="shared" si="24"/>
        <v>4.8833333333333329</v>
      </c>
      <c r="AV550">
        <f t="shared" si="25"/>
        <v>870.63</v>
      </c>
      <c r="AW550">
        <v>59</v>
      </c>
    </row>
    <row r="551" spans="3:55" x14ac:dyDescent="0.3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26"/>
        <v>6.7760000000000007</v>
      </c>
      <c r="AU551">
        <f t="shared" si="24"/>
        <v>6.0333333333333332</v>
      </c>
      <c r="AV551">
        <f t="shared" si="25"/>
        <v>815.82</v>
      </c>
      <c r="AW551">
        <v>64</v>
      </c>
    </row>
    <row r="552" spans="3:55" x14ac:dyDescent="0.3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26"/>
        <v>0.70560000000000012</v>
      </c>
      <c r="AU552">
        <f t="shared" si="24"/>
        <v>3.8766666666666669</v>
      </c>
      <c r="AV552">
        <f t="shared" si="25"/>
        <v>792.42599999999993</v>
      </c>
      <c r="AW552">
        <v>53</v>
      </c>
    </row>
    <row r="553" spans="3:55" x14ac:dyDescent="0.3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26"/>
        <v>5.9052000000000007</v>
      </c>
      <c r="AU553">
        <f t="shared" si="24"/>
        <v>1.2050000000000001</v>
      </c>
      <c r="AV553">
        <f t="shared" si="25"/>
        <v>856.77300000000002</v>
      </c>
      <c r="AW553">
        <v>54.2</v>
      </c>
    </row>
    <row r="554" spans="3:55" x14ac:dyDescent="0.3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26"/>
        <v>3.2984</v>
      </c>
      <c r="AU554">
        <f t="shared" si="24"/>
        <v>2.9366666666666665</v>
      </c>
      <c r="AV554">
        <f t="shared" si="25"/>
        <v>866.08199999999999</v>
      </c>
      <c r="AW554">
        <v>56</v>
      </c>
    </row>
    <row r="555" spans="3:55" x14ac:dyDescent="0.3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26"/>
        <v>4.6648000000000005</v>
      </c>
      <c r="AU555">
        <f t="shared" si="24"/>
        <v>2.78</v>
      </c>
      <c r="AV555">
        <f t="shared" si="25"/>
        <v>866.98799999999994</v>
      </c>
      <c r="AW555">
        <v>59</v>
      </c>
    </row>
    <row r="556" spans="3:55" x14ac:dyDescent="0.3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26"/>
        <v>4.6648000000000005</v>
      </c>
      <c r="AU556">
        <f t="shared" si="24"/>
        <v>3.7050000000000001</v>
      </c>
      <c r="AV556">
        <f t="shared" si="25"/>
        <v>828.69299999999998</v>
      </c>
      <c r="AW556">
        <v>64</v>
      </c>
    </row>
    <row r="557" spans="3:55" x14ac:dyDescent="0.3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26"/>
        <v>4.6648000000000005</v>
      </c>
      <c r="AU557">
        <f t="shared" si="24"/>
        <v>2.78</v>
      </c>
      <c r="AV557">
        <f t="shared" si="25"/>
        <v>866.98799999999994</v>
      </c>
      <c r="AW557">
        <v>59</v>
      </c>
    </row>
    <row r="558" spans="3:55" x14ac:dyDescent="0.3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26"/>
        <v>4.6648000000000005</v>
      </c>
      <c r="AU558">
        <f t="shared" si="24"/>
        <v>3.7050000000000001</v>
      </c>
      <c r="AV558">
        <f t="shared" si="25"/>
        <v>828.69299999999998</v>
      </c>
      <c r="AW558">
        <v>64</v>
      </c>
    </row>
    <row r="559" spans="3:55" x14ac:dyDescent="0.3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26"/>
        <v>4.6648000000000005</v>
      </c>
      <c r="AU559">
        <f t="shared" si="24"/>
        <v>2.78</v>
      </c>
      <c r="AV559">
        <f t="shared" si="25"/>
        <v>866.98799999999994</v>
      </c>
      <c r="AW559">
        <v>59</v>
      </c>
    </row>
    <row r="560" spans="3:55" x14ac:dyDescent="0.3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26"/>
        <v>4.6648000000000005</v>
      </c>
      <c r="AU560">
        <f t="shared" si="24"/>
        <v>3.7050000000000001</v>
      </c>
      <c r="AV560">
        <f t="shared" si="25"/>
        <v>828.69299999999998</v>
      </c>
      <c r="AW560">
        <v>64</v>
      </c>
    </row>
    <row r="561" spans="3:55" x14ac:dyDescent="0.3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26"/>
        <v>4.3483999999999998</v>
      </c>
      <c r="AU561">
        <f t="shared" si="24"/>
        <v>2.3833333333333333</v>
      </c>
      <c r="AV561">
        <f t="shared" si="25"/>
        <v>888.27</v>
      </c>
      <c r="AW561">
        <v>88</v>
      </c>
    </row>
    <row r="562" spans="3:55" x14ac:dyDescent="0.3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26"/>
        <v>4.3231999999999999</v>
      </c>
      <c r="AU562">
        <f t="shared" si="24"/>
        <v>2.1333333333333333</v>
      </c>
      <c r="AV562">
        <f t="shared" si="25"/>
        <v>861.72</v>
      </c>
      <c r="AW562">
        <v>79</v>
      </c>
    </row>
    <row r="563" spans="3:55" x14ac:dyDescent="0.3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26"/>
        <v>4.628400000000001</v>
      </c>
      <c r="AU563">
        <f t="shared" si="24"/>
        <v>1.6783333333333335</v>
      </c>
      <c r="AV563">
        <f t="shared" si="25"/>
        <v>879.83699999999999</v>
      </c>
      <c r="AW563">
        <v>61</v>
      </c>
    </row>
    <row r="564" spans="3:55" x14ac:dyDescent="0.3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26"/>
        <v>4.7712000000000003</v>
      </c>
      <c r="AU564">
        <f t="shared" si="24"/>
        <v>2.41</v>
      </c>
      <c r="AV564">
        <f t="shared" si="25"/>
        <v>888.42599999999993</v>
      </c>
      <c r="AW564">
        <v>54</v>
      </c>
    </row>
    <row r="565" spans="3:55" x14ac:dyDescent="0.3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26"/>
        <v>3.5392000000000006</v>
      </c>
      <c r="AU565">
        <f t="shared" si="24"/>
        <v>2.3250000000000002</v>
      </c>
      <c r="AV565">
        <f t="shared" si="25"/>
        <v>888.16500000000008</v>
      </c>
      <c r="AW565">
        <v>77</v>
      </c>
    </row>
    <row r="566" spans="3:55" x14ac:dyDescent="0.3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26"/>
        <v>3.8248000000000002</v>
      </c>
      <c r="AU566">
        <f t="shared" si="24"/>
        <v>1.6383333333333332</v>
      </c>
      <c r="AV566">
        <f t="shared" si="25"/>
        <v>879.87300000000005</v>
      </c>
      <c r="AW566">
        <v>61</v>
      </c>
    </row>
    <row r="567" spans="3:55" x14ac:dyDescent="0.3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26"/>
        <v>4.4968000000000004</v>
      </c>
      <c r="AU567">
        <f t="shared" si="24"/>
        <v>0.98333333333333339</v>
      </c>
      <c r="AV567">
        <f t="shared" si="25"/>
        <v>871.70999999999992</v>
      </c>
      <c r="AW567">
        <v>69</v>
      </c>
    </row>
    <row r="568" spans="3:55" x14ac:dyDescent="0.3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26"/>
        <v>3.4384000000000001</v>
      </c>
      <c r="AU568">
        <f t="shared" si="24"/>
        <v>1.6166666666666667</v>
      </c>
      <c r="AV568">
        <f t="shared" si="25"/>
        <v>879.87</v>
      </c>
      <c r="AW568">
        <v>73</v>
      </c>
    </row>
    <row r="569" spans="3:55" x14ac:dyDescent="0.3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26"/>
        <v>13.680000000000001</v>
      </c>
      <c r="AU569">
        <f t="shared" si="24"/>
        <v>1</v>
      </c>
      <c r="AV569">
        <f t="shared" si="25"/>
        <v>793.1</v>
      </c>
      <c r="AY569">
        <v>672</v>
      </c>
      <c r="AZ569">
        <v>26.7</v>
      </c>
      <c r="BC569" t="s">
        <v>140</v>
      </c>
    </row>
    <row r="570" spans="3:55" x14ac:dyDescent="0.3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26"/>
        <v>13.680000000000001</v>
      </c>
      <c r="AU570">
        <f t="shared" si="24"/>
        <v>1</v>
      </c>
      <c r="AV570">
        <f t="shared" si="25"/>
        <v>793.1</v>
      </c>
      <c r="AY570">
        <v>747</v>
      </c>
      <c r="AZ570">
        <v>20.6</v>
      </c>
      <c r="BC570" t="s">
        <v>140</v>
      </c>
    </row>
    <row r="571" spans="3:55" x14ac:dyDescent="0.3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26"/>
        <v>13.680000000000001</v>
      </c>
      <c r="AU571">
        <f t="shared" si="24"/>
        <v>0.66666666666666663</v>
      </c>
      <c r="AV571">
        <f t="shared" si="25"/>
        <v>806.9</v>
      </c>
      <c r="AY571">
        <v>672</v>
      </c>
      <c r="AZ571">
        <v>26.7</v>
      </c>
      <c r="BC571" t="s">
        <v>141</v>
      </c>
    </row>
    <row r="572" spans="3:55" x14ac:dyDescent="0.3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26"/>
        <v>13.680000000000001</v>
      </c>
      <c r="AU572">
        <f t="shared" si="24"/>
        <v>0.66666666666666663</v>
      </c>
      <c r="AV572">
        <f t="shared" si="25"/>
        <v>806.9</v>
      </c>
      <c r="AY572">
        <v>747</v>
      </c>
      <c r="AZ572">
        <v>20.6</v>
      </c>
      <c r="BC572" t="s">
        <v>142</v>
      </c>
    </row>
    <row r="573" spans="3:55" x14ac:dyDescent="0.3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26"/>
        <v>9.9672000000000018</v>
      </c>
      <c r="AU573">
        <f t="shared" si="24"/>
        <v>1.3516666666666668</v>
      </c>
      <c r="AV573">
        <f t="shared" si="25"/>
        <v>777.2109999999999</v>
      </c>
      <c r="AW573">
        <v>66.599999999999994</v>
      </c>
      <c r="AX573">
        <v>754.7</v>
      </c>
      <c r="BC573" t="s">
        <v>60</v>
      </c>
    </row>
    <row r="574" spans="3:55" x14ac:dyDescent="0.3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26"/>
        <v>6.4328000000000012</v>
      </c>
      <c r="AU574">
        <f t="shared" si="24"/>
        <v>4.8466666666666667</v>
      </c>
      <c r="AV574">
        <f t="shared" si="25"/>
        <v>667.47799999999995</v>
      </c>
      <c r="AW574">
        <v>64.2</v>
      </c>
      <c r="AX574">
        <v>714</v>
      </c>
      <c r="BC574" t="s">
        <v>60</v>
      </c>
    </row>
    <row r="575" spans="3:55" x14ac:dyDescent="0.3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26"/>
        <v>9.6403999999999996</v>
      </c>
      <c r="AU575">
        <f t="shared" si="24"/>
        <v>0.66</v>
      </c>
      <c r="AV575">
        <f t="shared" si="25"/>
        <v>778.8660000000001</v>
      </c>
      <c r="AW575">
        <v>72</v>
      </c>
      <c r="AX575">
        <v>899</v>
      </c>
      <c r="BC575" t="s">
        <v>60</v>
      </c>
    </row>
    <row r="576" spans="3:55" x14ac:dyDescent="0.3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26"/>
        <v>9.3631999999999991</v>
      </c>
      <c r="AU576">
        <f t="shared" si="24"/>
        <v>0.49500000000000005</v>
      </c>
      <c r="AV576">
        <f t="shared" si="25"/>
        <v>785.697</v>
      </c>
      <c r="AW576">
        <v>69</v>
      </c>
      <c r="AX576">
        <v>947</v>
      </c>
      <c r="BC576" t="s">
        <v>60</v>
      </c>
    </row>
    <row r="577" spans="3:55" x14ac:dyDescent="0.3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26"/>
        <v>8.8087999999999997</v>
      </c>
      <c r="AU577">
        <f t="shared" si="24"/>
        <v>0.83666666666666678</v>
      </c>
      <c r="AV577">
        <f t="shared" si="25"/>
        <v>771.55200000000002</v>
      </c>
      <c r="AW577">
        <v>52</v>
      </c>
      <c r="AX577">
        <v>483</v>
      </c>
      <c r="BC577" t="s">
        <v>60</v>
      </c>
    </row>
    <row r="578" spans="3:55" x14ac:dyDescent="0.3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26"/>
        <v>8.0640000000000001</v>
      </c>
      <c r="AU578">
        <f t="shared" ref="AU578:AU641" si="27">D578+J578/6+M578/3+(T578+S578)/10</f>
        <v>1.05</v>
      </c>
      <c r="AV578">
        <f t="shared" ref="AV578:AV641" si="28">882+2.1*D578-9.5*L578+4.2*M578-6.9*J578-11.8*E578-12.1*F578-15.4*H578+23.3*Q578+123*T578</f>
        <v>778.68</v>
      </c>
      <c r="AW578">
        <v>75</v>
      </c>
    </row>
    <row r="579" spans="3:55" x14ac:dyDescent="0.3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29">L579+0.67*E579+0.44*P579+0.28*K579+0.22*O579+2.9*H579+1.6*F579+1.7*G579-D579</f>
        <v>8.0640000000000001</v>
      </c>
      <c r="AU579">
        <f t="shared" si="27"/>
        <v>2.0833333333333335</v>
      </c>
      <c r="AV579">
        <f t="shared" si="28"/>
        <v>735.9</v>
      </c>
      <c r="AW579">
        <v>68</v>
      </c>
    </row>
    <row r="580" spans="3:55" x14ac:dyDescent="0.3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29"/>
        <v>8.0640000000000001</v>
      </c>
      <c r="AU580">
        <f t="shared" si="27"/>
        <v>3.1166666666666667</v>
      </c>
      <c r="AV580">
        <f t="shared" si="28"/>
        <v>693.12</v>
      </c>
      <c r="AW580">
        <v>79</v>
      </c>
    </row>
    <row r="581" spans="3:55" x14ac:dyDescent="0.3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29"/>
        <v>13.484</v>
      </c>
      <c r="AU581">
        <f t="shared" si="27"/>
        <v>1.6833333333333333</v>
      </c>
      <c r="AV581">
        <f t="shared" si="28"/>
        <v>711.6099999999999</v>
      </c>
      <c r="AW581">
        <v>75</v>
      </c>
    </row>
    <row r="582" spans="3:55" x14ac:dyDescent="0.3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29"/>
        <v>12.844000000000001</v>
      </c>
      <c r="AU582">
        <f t="shared" si="27"/>
        <v>3.2166666666666668</v>
      </c>
      <c r="AV582">
        <f t="shared" si="28"/>
        <v>652.87999999999988</v>
      </c>
      <c r="AW582">
        <v>68</v>
      </c>
    </row>
    <row r="583" spans="3:55" x14ac:dyDescent="0.3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29"/>
        <v>12.231999999999999</v>
      </c>
      <c r="AU583">
        <f t="shared" si="27"/>
        <v>2.9499999999999997</v>
      </c>
      <c r="AV583">
        <f t="shared" si="28"/>
        <v>668.67</v>
      </c>
      <c r="AW583">
        <v>79</v>
      </c>
    </row>
    <row r="584" spans="3:55" x14ac:dyDescent="0.3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29"/>
        <v>14.836</v>
      </c>
      <c r="AU584">
        <f t="shared" si="27"/>
        <v>1.5333333333333332</v>
      </c>
      <c r="AV584">
        <f t="shared" si="28"/>
        <v>727.31999999999994</v>
      </c>
      <c r="AW584">
        <v>72</v>
      </c>
    </row>
    <row r="585" spans="3:55" x14ac:dyDescent="0.3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29"/>
        <v>14.212</v>
      </c>
      <c r="AU585">
        <f t="shared" si="27"/>
        <v>2.9333333333333336</v>
      </c>
      <c r="AV585">
        <f t="shared" si="28"/>
        <v>673.16</v>
      </c>
      <c r="AW585">
        <v>70</v>
      </c>
    </row>
    <row r="586" spans="3:55" x14ac:dyDescent="0.3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29"/>
        <v>15.968000000000002</v>
      </c>
      <c r="AU586">
        <f t="shared" si="27"/>
        <v>1.4000000000000001</v>
      </c>
      <c r="AV586">
        <f t="shared" si="28"/>
        <v>740.43999999999994</v>
      </c>
      <c r="AW586">
        <v>70</v>
      </c>
    </row>
    <row r="587" spans="3:55" x14ac:dyDescent="0.3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29"/>
        <v>15.388000000000002</v>
      </c>
      <c r="AU587">
        <f t="shared" si="27"/>
        <v>2.6833333333333336</v>
      </c>
      <c r="AV587">
        <f t="shared" si="28"/>
        <v>690.16</v>
      </c>
      <c r="AW587">
        <v>69</v>
      </c>
    </row>
    <row r="588" spans="3:55" x14ac:dyDescent="0.3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29"/>
        <v>12.2</v>
      </c>
      <c r="AU588">
        <f t="shared" si="27"/>
        <v>6.416666666666667</v>
      </c>
      <c r="AV588">
        <f t="shared" si="28"/>
        <v>540.34999999999991</v>
      </c>
      <c r="AW588">
        <v>96</v>
      </c>
    </row>
    <row r="589" spans="3:55" x14ac:dyDescent="0.3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29"/>
        <v>14.2</v>
      </c>
      <c r="AU589">
        <f t="shared" si="27"/>
        <v>6.25</v>
      </c>
      <c r="AV589">
        <f t="shared" si="28"/>
        <v>528.25</v>
      </c>
      <c r="AW589">
        <v>97</v>
      </c>
    </row>
    <row r="590" spans="3:55" x14ac:dyDescent="0.3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29"/>
        <v>17.2</v>
      </c>
      <c r="AU590">
        <f t="shared" si="27"/>
        <v>6</v>
      </c>
      <c r="AV590">
        <f t="shared" si="28"/>
        <v>510.1</v>
      </c>
      <c r="AW590">
        <v>104</v>
      </c>
    </row>
    <row r="591" spans="3:55" x14ac:dyDescent="0.3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29"/>
        <v>19.2</v>
      </c>
      <c r="AU591">
        <f t="shared" si="27"/>
        <v>5.833333333333333</v>
      </c>
      <c r="AV591">
        <f t="shared" si="28"/>
        <v>498</v>
      </c>
      <c r="AW591">
        <v>105</v>
      </c>
    </row>
    <row r="592" spans="3:55" x14ac:dyDescent="0.3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29"/>
        <v>6.44</v>
      </c>
      <c r="AU592">
        <f t="shared" si="27"/>
        <v>1.655</v>
      </c>
      <c r="AV592">
        <f t="shared" si="28"/>
        <v>795.52800000000002</v>
      </c>
      <c r="AW592">
        <v>75</v>
      </c>
    </row>
    <row r="593" spans="3:55" x14ac:dyDescent="0.3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29"/>
        <v>5.9080000000000004</v>
      </c>
      <c r="AU593">
        <f t="shared" si="27"/>
        <v>0.5</v>
      </c>
      <c r="AV593">
        <f t="shared" si="28"/>
        <v>828.71499999999992</v>
      </c>
      <c r="AW593">
        <v>84</v>
      </c>
      <c r="BB593" t="s">
        <v>285</v>
      </c>
    </row>
    <row r="594" spans="3:55" x14ac:dyDescent="0.3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29"/>
        <v>6.0724000000000009</v>
      </c>
      <c r="AU594">
        <f t="shared" si="27"/>
        <v>0.52166666666666661</v>
      </c>
      <c r="AV594">
        <f t="shared" si="28"/>
        <v>843.49300000000005</v>
      </c>
      <c r="AW594">
        <v>67</v>
      </c>
      <c r="BB594" t="s">
        <v>285</v>
      </c>
    </row>
    <row r="595" spans="3:55" x14ac:dyDescent="0.3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29"/>
        <v>9</v>
      </c>
      <c r="AU595">
        <f t="shared" si="27"/>
        <v>1.3333333333333333</v>
      </c>
      <c r="AV595">
        <f t="shared" si="28"/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3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29"/>
        <v>9</v>
      </c>
      <c r="AU596">
        <f t="shared" si="27"/>
        <v>1.3333333333333333</v>
      </c>
      <c r="AV596">
        <f t="shared" si="28"/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3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29"/>
        <v>5.8415999999999997</v>
      </c>
      <c r="AU597">
        <f t="shared" si="27"/>
        <v>0.65</v>
      </c>
      <c r="AV597">
        <f t="shared" si="28"/>
        <v>884.49</v>
      </c>
      <c r="AW597">
        <v>46</v>
      </c>
      <c r="AX597">
        <v>130</v>
      </c>
      <c r="BC597" t="s">
        <v>60</v>
      </c>
    </row>
    <row r="598" spans="3:55" x14ac:dyDescent="0.3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29"/>
        <v>5.8415999999999997</v>
      </c>
      <c r="AU598">
        <f t="shared" si="27"/>
        <v>0.65</v>
      </c>
      <c r="AV598">
        <f t="shared" si="28"/>
        <v>884.49</v>
      </c>
      <c r="AW598">
        <v>45</v>
      </c>
      <c r="AX598">
        <v>220</v>
      </c>
      <c r="BC598" t="s">
        <v>60</v>
      </c>
    </row>
    <row r="599" spans="3:55" x14ac:dyDescent="0.3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29"/>
        <v>5.4472000000000005</v>
      </c>
      <c r="AU599">
        <f t="shared" si="27"/>
        <v>0.6366666666666666</v>
      </c>
      <c r="AV599">
        <f t="shared" si="28"/>
        <v>878.81200000000001</v>
      </c>
      <c r="AW599">
        <v>53.1</v>
      </c>
      <c r="AX599">
        <v>361</v>
      </c>
      <c r="BC599" t="s">
        <v>60</v>
      </c>
    </row>
    <row r="600" spans="3:55" x14ac:dyDescent="0.3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29"/>
        <v>10.332000000000001</v>
      </c>
      <c r="AU600">
        <f t="shared" si="27"/>
        <v>2.0333333333333332</v>
      </c>
      <c r="AV600">
        <f t="shared" si="28"/>
        <v>861.07</v>
      </c>
      <c r="AW600">
        <v>51</v>
      </c>
    </row>
    <row r="601" spans="3:55" x14ac:dyDescent="0.3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29"/>
        <v>6.2384000000000004</v>
      </c>
      <c r="AU601">
        <f t="shared" si="27"/>
        <v>0.97666666666666668</v>
      </c>
      <c r="AV601">
        <f t="shared" si="28"/>
        <v>866.37600000000009</v>
      </c>
      <c r="AW601">
        <v>51</v>
      </c>
    </row>
    <row r="602" spans="3:55" x14ac:dyDescent="0.3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29"/>
        <v>6.2328000000000001</v>
      </c>
      <c r="AU602">
        <f t="shared" si="27"/>
        <v>0.98333333333333339</v>
      </c>
      <c r="AV602">
        <f t="shared" si="28"/>
        <v>866.46</v>
      </c>
      <c r="AW602">
        <v>51</v>
      </c>
    </row>
    <row r="603" spans="3:55" x14ac:dyDescent="0.3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29"/>
        <v>6.1</v>
      </c>
      <c r="AU603">
        <f t="shared" si="27"/>
        <v>1</v>
      </c>
      <c r="AV603">
        <f t="shared" si="28"/>
        <v>856.6</v>
      </c>
      <c r="AW603">
        <v>46</v>
      </c>
    </row>
    <row r="604" spans="3:55" x14ac:dyDescent="0.3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29"/>
        <v>6.1</v>
      </c>
      <c r="AU604">
        <f t="shared" si="27"/>
        <v>1.3333333333333333</v>
      </c>
      <c r="AV604">
        <f t="shared" si="28"/>
        <v>860.8</v>
      </c>
      <c r="AW604">
        <v>87</v>
      </c>
    </row>
    <row r="605" spans="3:55" x14ac:dyDescent="0.3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29"/>
        <v>13.080000000000002</v>
      </c>
      <c r="AU605">
        <f t="shared" si="27"/>
        <v>0.66666666666666663</v>
      </c>
      <c r="AV605">
        <f t="shared" si="28"/>
        <v>859.6</v>
      </c>
      <c r="AY605">
        <v>679</v>
      </c>
      <c r="AZ605">
        <v>25.04</v>
      </c>
      <c r="BC605" t="s">
        <v>96</v>
      </c>
    </row>
    <row r="606" spans="3:55" x14ac:dyDescent="0.3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29"/>
        <v>13.080000000000002</v>
      </c>
      <c r="AU606">
        <f t="shared" si="27"/>
        <v>1.3333333333333333</v>
      </c>
      <c r="AV606">
        <f t="shared" si="28"/>
        <v>868</v>
      </c>
      <c r="AY606">
        <v>622</v>
      </c>
      <c r="AZ606">
        <v>19.16</v>
      </c>
      <c r="BC606" t="s">
        <v>96</v>
      </c>
    </row>
    <row r="607" spans="3:55" x14ac:dyDescent="0.3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29"/>
        <v>13.080000000000002</v>
      </c>
      <c r="AU607">
        <f t="shared" si="27"/>
        <v>2</v>
      </c>
      <c r="AV607">
        <f t="shared" si="28"/>
        <v>876.40000000000009</v>
      </c>
      <c r="AY607">
        <v>577</v>
      </c>
      <c r="AZ607">
        <v>28.81</v>
      </c>
      <c r="BC607" t="s">
        <v>96</v>
      </c>
    </row>
    <row r="608" spans="3:55" x14ac:dyDescent="0.3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29"/>
        <v>13.080000000000002</v>
      </c>
      <c r="AU608">
        <f t="shared" si="27"/>
        <v>2.6666666666666665</v>
      </c>
      <c r="AV608">
        <f t="shared" si="28"/>
        <v>884.80000000000007</v>
      </c>
      <c r="AY608">
        <v>582</v>
      </c>
      <c r="AZ608">
        <v>23.83</v>
      </c>
      <c r="BC608" t="s">
        <v>96</v>
      </c>
    </row>
    <row r="609" spans="3:55" x14ac:dyDescent="0.3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29"/>
        <v>13.080000000000002</v>
      </c>
      <c r="AU609">
        <f t="shared" si="27"/>
        <v>0.66666666666666663</v>
      </c>
      <c r="AV609">
        <f t="shared" si="28"/>
        <v>859.6</v>
      </c>
      <c r="AY609">
        <v>679</v>
      </c>
      <c r="AZ609">
        <v>25.15</v>
      </c>
      <c r="BC609" t="s">
        <v>144</v>
      </c>
    </row>
    <row r="610" spans="3:55" x14ac:dyDescent="0.3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29"/>
        <v>13.080000000000002</v>
      </c>
      <c r="AU610">
        <f t="shared" si="27"/>
        <v>1.3333333333333333</v>
      </c>
      <c r="AV610">
        <f t="shared" si="28"/>
        <v>868</v>
      </c>
      <c r="AY610">
        <v>622</v>
      </c>
      <c r="AZ610">
        <v>19.04</v>
      </c>
      <c r="BC610" t="s">
        <v>145</v>
      </c>
    </row>
    <row r="611" spans="3:55" x14ac:dyDescent="0.3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29"/>
        <v>13.080000000000002</v>
      </c>
      <c r="AU611">
        <f t="shared" si="27"/>
        <v>2</v>
      </c>
      <c r="AV611">
        <f t="shared" si="28"/>
        <v>876.40000000000009</v>
      </c>
      <c r="AY611">
        <v>577</v>
      </c>
      <c r="AZ611">
        <v>28.77</v>
      </c>
      <c r="BC611" t="s">
        <v>146</v>
      </c>
    </row>
    <row r="612" spans="3:55" x14ac:dyDescent="0.3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29"/>
        <v>13.080000000000002</v>
      </c>
      <c r="AU612">
        <f t="shared" si="27"/>
        <v>2.6666666666666665</v>
      </c>
      <c r="AV612">
        <f t="shared" si="28"/>
        <v>884.80000000000007</v>
      </c>
      <c r="AY612">
        <v>582</v>
      </c>
      <c r="AZ612">
        <v>23.78</v>
      </c>
      <c r="BC612" t="s">
        <v>147</v>
      </c>
    </row>
    <row r="613" spans="3:55" x14ac:dyDescent="0.3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29"/>
        <v>10.504</v>
      </c>
      <c r="AU613">
        <f t="shared" si="27"/>
        <v>0.89333333333333342</v>
      </c>
      <c r="AV613">
        <f t="shared" si="28"/>
        <v>853.83199999999999</v>
      </c>
      <c r="AW613">
        <v>71</v>
      </c>
      <c r="AX613">
        <v>765</v>
      </c>
      <c r="BC613" t="s">
        <v>60</v>
      </c>
    </row>
    <row r="614" spans="3:55" x14ac:dyDescent="0.3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29"/>
        <v>0</v>
      </c>
      <c r="AU614">
        <f t="shared" si="27"/>
        <v>5.833333333333333</v>
      </c>
      <c r="AV614">
        <f t="shared" si="28"/>
        <v>855.5</v>
      </c>
      <c r="AY614">
        <v>1016</v>
      </c>
      <c r="AZ614">
        <v>5.8</v>
      </c>
      <c r="BC614" t="s">
        <v>114</v>
      </c>
    </row>
    <row r="615" spans="3:55" x14ac:dyDescent="0.3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29"/>
        <v>5</v>
      </c>
      <c r="AU615">
        <f t="shared" si="27"/>
        <v>5.833333333333333</v>
      </c>
      <c r="AV615">
        <f t="shared" si="28"/>
        <v>808</v>
      </c>
      <c r="AY615">
        <v>1260</v>
      </c>
      <c r="AZ615">
        <v>8.4</v>
      </c>
      <c r="BC615" t="s">
        <v>114</v>
      </c>
    </row>
    <row r="616" spans="3:55" x14ac:dyDescent="0.3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29"/>
        <v>10</v>
      </c>
      <c r="AU616">
        <f t="shared" si="27"/>
        <v>5.833333333333333</v>
      </c>
      <c r="AV616">
        <f t="shared" si="28"/>
        <v>760.5</v>
      </c>
      <c r="AY616">
        <v>724</v>
      </c>
      <c r="AZ616">
        <v>9.3000000000000007</v>
      </c>
      <c r="BC616" t="s">
        <v>114</v>
      </c>
    </row>
    <row r="617" spans="3:55" x14ac:dyDescent="0.3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29"/>
        <v>0</v>
      </c>
      <c r="AU617">
        <f t="shared" si="27"/>
        <v>5.833333333333333</v>
      </c>
      <c r="AV617">
        <f t="shared" si="28"/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3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29"/>
        <v>5</v>
      </c>
      <c r="AU618">
        <f t="shared" si="27"/>
        <v>5.833333333333333</v>
      </c>
      <c r="AV618">
        <f t="shared" si="28"/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3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29"/>
        <v>10</v>
      </c>
      <c r="AU619">
        <f t="shared" si="27"/>
        <v>5.833333333333333</v>
      </c>
      <c r="AV619">
        <f t="shared" si="28"/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3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29"/>
        <v>-6.2959999999999994</v>
      </c>
      <c r="AU620">
        <f t="shared" si="27"/>
        <v>7.3666666666666663</v>
      </c>
      <c r="AV620">
        <f t="shared" si="28"/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3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29"/>
        <v>-5.1920000000000002</v>
      </c>
      <c r="AU621">
        <f t="shared" si="27"/>
        <v>7.2833333333333332</v>
      </c>
      <c r="AV621">
        <f t="shared" si="28"/>
        <v>847.94999999999993</v>
      </c>
      <c r="AY621">
        <v>840.86</v>
      </c>
      <c r="AZ621">
        <v>10.41</v>
      </c>
      <c r="BC621" t="s">
        <v>148</v>
      </c>
    </row>
    <row r="622" spans="3:55" x14ac:dyDescent="0.3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29"/>
        <v>-4.1549999999999994</v>
      </c>
      <c r="AU622">
        <f t="shared" si="27"/>
        <v>7.2</v>
      </c>
      <c r="AV622">
        <f t="shared" si="28"/>
        <v>825.37</v>
      </c>
      <c r="AY622">
        <v>963.77</v>
      </c>
      <c r="AZ622">
        <v>7.18</v>
      </c>
      <c r="BC622" t="s">
        <v>148</v>
      </c>
    </row>
    <row r="623" spans="3:55" x14ac:dyDescent="0.3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29"/>
        <v>-3.1180000000000003</v>
      </c>
      <c r="AU623">
        <f t="shared" si="27"/>
        <v>7.1333333333333337</v>
      </c>
      <c r="AV623">
        <f t="shared" si="28"/>
        <v>802.1</v>
      </c>
      <c r="AY623">
        <v>1070.49</v>
      </c>
      <c r="AZ623">
        <v>5.13</v>
      </c>
      <c r="BC623" t="s">
        <v>148</v>
      </c>
    </row>
    <row r="624" spans="3:55" x14ac:dyDescent="0.3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29"/>
        <v>-2.081</v>
      </c>
      <c r="AU624">
        <f t="shared" si="27"/>
        <v>7.0333333333333332</v>
      </c>
      <c r="AV624">
        <f t="shared" si="28"/>
        <v>780.21</v>
      </c>
      <c r="AY624">
        <v>1193.4000000000001</v>
      </c>
      <c r="AZ624">
        <v>1.79</v>
      </c>
      <c r="BC624" t="s">
        <v>148</v>
      </c>
    </row>
    <row r="625" spans="3:55" x14ac:dyDescent="0.3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29"/>
        <v>-1.0439999999999996</v>
      </c>
      <c r="AU625">
        <f t="shared" si="27"/>
        <v>6.9499999999999993</v>
      </c>
      <c r="AV625">
        <f t="shared" si="28"/>
        <v>757.63</v>
      </c>
      <c r="AY625">
        <v>1293</v>
      </c>
      <c r="AZ625">
        <v>2.0099999999999998</v>
      </c>
      <c r="BC625" t="s">
        <v>148</v>
      </c>
    </row>
    <row r="626" spans="3:55" x14ac:dyDescent="0.3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29"/>
        <v>-7.3999999999999844E-2</v>
      </c>
      <c r="AU626">
        <f t="shared" si="27"/>
        <v>6.85</v>
      </c>
      <c r="AV626">
        <f t="shared" si="28"/>
        <v>736.92000000000007</v>
      </c>
      <c r="AY626">
        <v>1253.07</v>
      </c>
      <c r="AZ626">
        <v>4.79</v>
      </c>
      <c r="BC626" t="s">
        <v>148</v>
      </c>
    </row>
    <row r="627" spans="3:55" x14ac:dyDescent="0.3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29"/>
        <v>-6.2959999999999994</v>
      </c>
      <c r="AU627">
        <f t="shared" si="27"/>
        <v>7.3666666666666663</v>
      </c>
      <c r="AV627">
        <f t="shared" si="28"/>
        <v>871.71</v>
      </c>
      <c r="AY627">
        <v>787.75</v>
      </c>
      <c r="AZ627">
        <v>14</v>
      </c>
      <c r="BC627" t="s">
        <v>149</v>
      </c>
    </row>
    <row r="628" spans="3:55" x14ac:dyDescent="0.3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29"/>
        <v>-5.1920000000000002</v>
      </c>
      <c r="AU628">
        <f t="shared" si="27"/>
        <v>7.2833333333333332</v>
      </c>
      <c r="AV628">
        <f t="shared" si="28"/>
        <v>847.94999999999993</v>
      </c>
      <c r="AY628">
        <v>840.86</v>
      </c>
      <c r="AZ628">
        <v>10.44</v>
      </c>
      <c r="BC628" t="s">
        <v>149</v>
      </c>
    </row>
    <row r="629" spans="3:55" x14ac:dyDescent="0.3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29"/>
        <v>-4.1549999999999994</v>
      </c>
      <c r="AU629">
        <f t="shared" si="27"/>
        <v>7.2</v>
      </c>
      <c r="AV629">
        <f t="shared" si="28"/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3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29"/>
        <v>-3.1180000000000003</v>
      </c>
      <c r="AU630">
        <f t="shared" si="27"/>
        <v>7.1333333333333337</v>
      </c>
      <c r="AV630">
        <f t="shared" si="28"/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3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29"/>
        <v>-2.081</v>
      </c>
      <c r="AU631">
        <f t="shared" si="27"/>
        <v>7.0333333333333332</v>
      </c>
      <c r="AV631">
        <f t="shared" si="28"/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3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29"/>
        <v>-1.0439999999999996</v>
      </c>
      <c r="AU632">
        <f t="shared" si="27"/>
        <v>6.9499999999999993</v>
      </c>
      <c r="AV632">
        <f t="shared" si="28"/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3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29"/>
        <v>-7.3999999999999844E-2</v>
      </c>
      <c r="AU633">
        <f t="shared" si="27"/>
        <v>6.85</v>
      </c>
      <c r="AV633">
        <f t="shared" si="28"/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3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29"/>
        <v>-7.8094999999999999</v>
      </c>
      <c r="AU634">
        <f t="shared" si="27"/>
        <v>12.853333333333333</v>
      </c>
      <c r="AV634">
        <f t="shared" si="28"/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3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29"/>
        <v>-10.1195</v>
      </c>
      <c r="AU635">
        <f t="shared" si="27"/>
        <v>15.935000000000002</v>
      </c>
      <c r="AV635">
        <f t="shared" si="28"/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3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29"/>
        <v>-8.5284999999999993</v>
      </c>
      <c r="AU636">
        <f t="shared" si="27"/>
        <v>15.756666666666668</v>
      </c>
      <c r="AV636">
        <f t="shared" si="28"/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3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29"/>
        <v>-6.9575999999999993</v>
      </c>
      <c r="AU637">
        <f t="shared" si="27"/>
        <v>15.578333333333333</v>
      </c>
      <c r="AV637">
        <f t="shared" si="28"/>
        <v>638.92600000000004</v>
      </c>
      <c r="AW637">
        <v>73</v>
      </c>
      <c r="AX637">
        <v>955</v>
      </c>
      <c r="BC637" t="s">
        <v>60</v>
      </c>
    </row>
    <row r="638" spans="3:55" x14ac:dyDescent="0.3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29"/>
        <v>-5.4101000000000008</v>
      </c>
      <c r="AU638">
        <f t="shared" si="27"/>
        <v>15.411666666666665</v>
      </c>
      <c r="AV638">
        <f t="shared" si="28"/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3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29"/>
        <v>-3.0868000000000002</v>
      </c>
      <c r="AU639">
        <f t="shared" si="27"/>
        <v>5.5616666666666674</v>
      </c>
      <c r="AV639">
        <f t="shared" si="28"/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3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29"/>
        <v>-3.0868000000000002</v>
      </c>
      <c r="AU640">
        <f t="shared" si="27"/>
        <v>5.5616666666666674</v>
      </c>
      <c r="AV640">
        <f t="shared" si="28"/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3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29"/>
        <v>-3.0868000000000002</v>
      </c>
      <c r="AU641">
        <f t="shared" si="27"/>
        <v>5.5616666666666674</v>
      </c>
      <c r="AV641">
        <f t="shared" si="28"/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3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29"/>
        <v>-3.0868000000000002</v>
      </c>
      <c r="AU642">
        <f t="shared" ref="AU642:AU705" si="30">D642+J642/6+M642/3+(T642+S642)/10</f>
        <v>5.5616666666666674</v>
      </c>
      <c r="AV642">
        <f t="shared" ref="AV642:AV705" si="31"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3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32">L643+0.67*E643+0.44*P643+0.28*K643+0.22*O643+2.9*H643+1.6*F643+1.7*G643-D643</f>
        <v>-3.0868000000000002</v>
      </c>
      <c r="AU643">
        <f t="shared" si="30"/>
        <v>5.5616666666666674</v>
      </c>
      <c r="AV643">
        <f t="shared" si="31"/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3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32"/>
        <v>4</v>
      </c>
      <c r="AU644">
        <f t="shared" si="30"/>
        <v>6</v>
      </c>
      <c r="AV644">
        <f t="shared" si="31"/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3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32"/>
        <v>4</v>
      </c>
      <c r="AU645">
        <f t="shared" si="30"/>
        <v>7</v>
      </c>
      <c r="AV645">
        <f t="shared" si="31"/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3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32"/>
        <v>4</v>
      </c>
      <c r="AU646">
        <f t="shared" si="30"/>
        <v>8</v>
      </c>
      <c r="AV646">
        <f t="shared" si="31"/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3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32"/>
        <v>-3.2</v>
      </c>
      <c r="AU647">
        <f t="shared" si="30"/>
        <v>6.8166666666666664</v>
      </c>
      <c r="AV647">
        <f t="shared" si="31"/>
        <v>851.18999999999994</v>
      </c>
      <c r="BB647" t="s">
        <v>294</v>
      </c>
      <c r="BC647" t="s">
        <v>154</v>
      </c>
    </row>
    <row r="648" spans="3:55" x14ac:dyDescent="0.3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32"/>
        <v>-3.2</v>
      </c>
      <c r="AU648">
        <f t="shared" si="30"/>
        <v>6.8166666666666664</v>
      </c>
      <c r="AV648">
        <f t="shared" si="31"/>
        <v>851.18999999999994</v>
      </c>
      <c r="BB648" t="s">
        <v>294</v>
      </c>
      <c r="BC648" t="s">
        <v>154</v>
      </c>
    </row>
    <row r="649" spans="3:55" x14ac:dyDescent="0.3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32"/>
        <v>-3.2</v>
      </c>
      <c r="AU649">
        <f t="shared" si="30"/>
        <v>6.8166666666666664</v>
      </c>
      <c r="AV649">
        <f t="shared" si="31"/>
        <v>851.18999999999994</v>
      </c>
      <c r="BB649" t="s">
        <v>295</v>
      </c>
      <c r="BC649" t="s">
        <v>154</v>
      </c>
    </row>
    <row r="650" spans="3:55" x14ac:dyDescent="0.3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32"/>
        <v>-3.2</v>
      </c>
      <c r="AU650">
        <f t="shared" si="30"/>
        <v>6.8166666666666664</v>
      </c>
      <c r="AV650">
        <f t="shared" si="31"/>
        <v>851.18999999999994</v>
      </c>
      <c r="BB650" t="s">
        <v>296</v>
      </c>
      <c r="BC650" t="s">
        <v>154</v>
      </c>
    </row>
    <row r="651" spans="3:55" x14ac:dyDescent="0.3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32"/>
        <v>-3.2</v>
      </c>
      <c r="AU651">
        <f t="shared" si="30"/>
        <v>6.8166666666666664</v>
      </c>
      <c r="AV651">
        <f t="shared" si="31"/>
        <v>851.18999999999994</v>
      </c>
      <c r="BB651" t="s">
        <v>297</v>
      </c>
      <c r="BC651" t="s">
        <v>154</v>
      </c>
    </row>
    <row r="652" spans="3:55" x14ac:dyDescent="0.3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32"/>
        <v>-3.2</v>
      </c>
      <c r="AU652">
        <f t="shared" si="30"/>
        <v>6.8166666666666664</v>
      </c>
      <c r="AV652">
        <f t="shared" si="31"/>
        <v>851.18999999999994</v>
      </c>
      <c r="BB652" t="s">
        <v>298</v>
      </c>
      <c r="BC652" t="s">
        <v>154</v>
      </c>
    </row>
    <row r="653" spans="3:55" x14ac:dyDescent="0.3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32"/>
        <v>-3</v>
      </c>
      <c r="AU653">
        <f t="shared" si="30"/>
        <v>6.75</v>
      </c>
      <c r="AV653">
        <f t="shared" si="31"/>
        <v>852.05</v>
      </c>
      <c r="AZ653">
        <v>17.673300000000001</v>
      </c>
      <c r="BB653" t="s">
        <v>299</v>
      </c>
      <c r="BC653" t="s">
        <v>108</v>
      </c>
    </row>
    <row r="654" spans="3:55" x14ac:dyDescent="0.3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32"/>
        <v>-3</v>
      </c>
      <c r="AU654">
        <f t="shared" si="30"/>
        <v>6.75</v>
      </c>
      <c r="AV654">
        <f t="shared" si="31"/>
        <v>852.05</v>
      </c>
      <c r="AZ654">
        <v>7.1818299999999997</v>
      </c>
      <c r="BB654" t="s">
        <v>300</v>
      </c>
      <c r="BC654" t="s">
        <v>108</v>
      </c>
    </row>
    <row r="655" spans="3:55" x14ac:dyDescent="0.3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32"/>
        <v>-3</v>
      </c>
      <c r="AU655">
        <f t="shared" si="30"/>
        <v>6.75</v>
      </c>
      <c r="AV655">
        <f t="shared" si="31"/>
        <v>852.05</v>
      </c>
      <c r="AZ655">
        <v>15.350300000000001</v>
      </c>
      <c r="BC655" t="s">
        <v>108</v>
      </c>
    </row>
    <row r="656" spans="3:55" x14ac:dyDescent="0.3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32"/>
        <v>-3</v>
      </c>
      <c r="AU656">
        <f t="shared" si="30"/>
        <v>6.75</v>
      </c>
      <c r="AV656">
        <f t="shared" si="31"/>
        <v>852.05</v>
      </c>
      <c r="AZ656">
        <v>15.9556</v>
      </c>
      <c r="BC656" t="s">
        <v>108</v>
      </c>
    </row>
    <row r="657" spans="3:55" x14ac:dyDescent="0.3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32"/>
        <v>-3</v>
      </c>
      <c r="AU657">
        <f t="shared" si="30"/>
        <v>6.75</v>
      </c>
      <c r="AV657">
        <f t="shared" si="31"/>
        <v>852.05</v>
      </c>
      <c r="AZ657">
        <v>6.68804</v>
      </c>
      <c r="BC657" t="s">
        <v>108</v>
      </c>
    </row>
    <row r="658" spans="3:55" x14ac:dyDescent="0.3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32"/>
        <v>-3</v>
      </c>
      <c r="AU658">
        <f t="shared" si="30"/>
        <v>6.75</v>
      </c>
      <c r="AV658">
        <f t="shared" si="31"/>
        <v>852.05</v>
      </c>
      <c r="AZ658">
        <v>15.8582</v>
      </c>
      <c r="BC658" t="s">
        <v>108</v>
      </c>
    </row>
    <row r="659" spans="3:55" x14ac:dyDescent="0.3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32"/>
        <v>-3</v>
      </c>
      <c r="AU659">
        <f t="shared" si="30"/>
        <v>6.75</v>
      </c>
      <c r="AV659">
        <f t="shared" si="31"/>
        <v>852.05</v>
      </c>
      <c r="AZ659">
        <v>16.339600000000001</v>
      </c>
      <c r="BC659" t="s">
        <v>108</v>
      </c>
    </row>
    <row r="660" spans="3:55" x14ac:dyDescent="0.3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32"/>
        <v>-3</v>
      </c>
      <c r="AU660">
        <f t="shared" si="30"/>
        <v>6.75</v>
      </c>
      <c r="AV660">
        <f t="shared" si="31"/>
        <v>852.05</v>
      </c>
      <c r="AZ660">
        <v>18.302</v>
      </c>
      <c r="BC660" t="s">
        <v>108</v>
      </c>
    </row>
    <row r="661" spans="3:55" x14ac:dyDescent="0.3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32"/>
        <v>-3</v>
      </c>
      <c r="AU661">
        <f t="shared" si="30"/>
        <v>6.75</v>
      </c>
      <c r="AV661">
        <f t="shared" si="31"/>
        <v>852.05</v>
      </c>
      <c r="AZ661">
        <v>16.680900000000001</v>
      </c>
      <c r="BC661" t="s">
        <v>108</v>
      </c>
    </row>
    <row r="662" spans="3:55" x14ac:dyDescent="0.3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32"/>
        <v>-3</v>
      </c>
      <c r="AU662">
        <f t="shared" si="30"/>
        <v>6.75</v>
      </c>
      <c r="AV662">
        <f t="shared" si="31"/>
        <v>852.05</v>
      </c>
      <c r="AZ662">
        <v>15.4863</v>
      </c>
      <c r="BC662" t="s">
        <v>108</v>
      </c>
    </row>
    <row r="663" spans="3:55" x14ac:dyDescent="0.3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32"/>
        <v>-3</v>
      </c>
      <c r="AU663">
        <f t="shared" si="30"/>
        <v>6.75</v>
      </c>
      <c r="AV663">
        <f t="shared" si="31"/>
        <v>852.05</v>
      </c>
      <c r="AZ663">
        <v>16.382300000000001</v>
      </c>
      <c r="BC663" t="s">
        <v>108</v>
      </c>
    </row>
    <row r="664" spans="3:55" x14ac:dyDescent="0.3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32"/>
        <v>-3</v>
      </c>
      <c r="AU664">
        <f t="shared" si="30"/>
        <v>6.75</v>
      </c>
      <c r="AV664">
        <f t="shared" si="31"/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3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32"/>
        <v>-3</v>
      </c>
      <c r="AU665">
        <f t="shared" si="30"/>
        <v>6.75</v>
      </c>
      <c r="AV665">
        <f t="shared" si="31"/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3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32"/>
        <v>-3</v>
      </c>
      <c r="AU666">
        <f t="shared" si="30"/>
        <v>6.75</v>
      </c>
      <c r="AV666">
        <f t="shared" si="31"/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3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32"/>
        <v>-3</v>
      </c>
      <c r="AU667">
        <f t="shared" si="30"/>
        <v>6.75</v>
      </c>
      <c r="AV667">
        <f t="shared" si="31"/>
        <v>852.05</v>
      </c>
      <c r="AZ667">
        <v>14.747299999999999</v>
      </c>
      <c r="BB667" t="s">
        <v>303</v>
      </c>
      <c r="BC667" t="s">
        <v>108</v>
      </c>
    </row>
    <row r="668" spans="3:55" x14ac:dyDescent="0.3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32"/>
        <v>-3</v>
      </c>
      <c r="AU668">
        <f t="shared" si="30"/>
        <v>6.75</v>
      </c>
      <c r="AV668">
        <f t="shared" si="31"/>
        <v>852.05</v>
      </c>
      <c r="AZ668">
        <v>16.362400000000001</v>
      </c>
      <c r="BC668" t="s">
        <v>108</v>
      </c>
    </row>
    <row r="669" spans="3:55" x14ac:dyDescent="0.3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32"/>
        <v>-3</v>
      </c>
      <c r="AU669">
        <f t="shared" si="30"/>
        <v>6.75</v>
      </c>
      <c r="AV669">
        <f t="shared" si="31"/>
        <v>852.05</v>
      </c>
      <c r="AZ669">
        <v>17.0229</v>
      </c>
      <c r="BC669" t="s">
        <v>108</v>
      </c>
    </row>
    <row r="670" spans="3:55" x14ac:dyDescent="0.3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32"/>
        <v>-3</v>
      </c>
      <c r="AU670">
        <f t="shared" si="30"/>
        <v>6.75</v>
      </c>
      <c r="AV670">
        <f t="shared" si="31"/>
        <v>852.05</v>
      </c>
      <c r="AZ670">
        <v>15.694800000000001</v>
      </c>
      <c r="BC670" t="s">
        <v>108</v>
      </c>
    </row>
    <row r="671" spans="3:55" x14ac:dyDescent="0.3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32"/>
        <v>-3</v>
      </c>
      <c r="AU671">
        <f t="shared" si="30"/>
        <v>6.75</v>
      </c>
      <c r="AV671">
        <f t="shared" si="31"/>
        <v>852.05</v>
      </c>
      <c r="AZ671">
        <v>16.764399999999998</v>
      </c>
      <c r="BC671" t="s">
        <v>108</v>
      </c>
    </row>
    <row r="672" spans="3:55" x14ac:dyDescent="0.3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32"/>
        <v>-3</v>
      </c>
      <c r="AU672">
        <f t="shared" si="30"/>
        <v>6.75</v>
      </c>
      <c r="AV672">
        <f t="shared" si="31"/>
        <v>852.05</v>
      </c>
      <c r="AZ672">
        <v>17.355399999999999</v>
      </c>
      <c r="BC672" t="s">
        <v>108</v>
      </c>
    </row>
    <row r="673" spans="3:55" x14ac:dyDescent="0.3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32"/>
        <v>-2.5173000000000001</v>
      </c>
      <c r="AU673">
        <f t="shared" si="30"/>
        <v>5.87</v>
      </c>
      <c r="AV673">
        <f t="shared" si="31"/>
        <v>838.04099999999994</v>
      </c>
      <c r="BC673" t="s">
        <v>155</v>
      </c>
    </row>
    <row r="674" spans="3:55" x14ac:dyDescent="0.3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32"/>
        <v>-2.5173000000000001</v>
      </c>
      <c r="AU674">
        <f t="shared" si="30"/>
        <v>5.87</v>
      </c>
      <c r="AV674">
        <f t="shared" si="31"/>
        <v>838.04099999999994</v>
      </c>
      <c r="BC674" t="s">
        <v>155</v>
      </c>
    </row>
    <row r="675" spans="3:55" x14ac:dyDescent="0.3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32"/>
        <v>-2.5173000000000001</v>
      </c>
      <c r="AU675">
        <f t="shared" si="30"/>
        <v>5.87</v>
      </c>
      <c r="AV675">
        <f t="shared" si="31"/>
        <v>838.04099999999994</v>
      </c>
      <c r="BC675" t="s">
        <v>155</v>
      </c>
    </row>
    <row r="676" spans="3:55" x14ac:dyDescent="0.3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32"/>
        <v>-2.5173000000000001</v>
      </c>
      <c r="AU676">
        <f t="shared" si="30"/>
        <v>5.87</v>
      </c>
      <c r="AV676">
        <f t="shared" si="31"/>
        <v>838.04099999999994</v>
      </c>
      <c r="BC676" t="s">
        <v>155</v>
      </c>
    </row>
    <row r="677" spans="3:55" x14ac:dyDescent="0.3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32"/>
        <v>6.12</v>
      </c>
      <c r="AU677">
        <f t="shared" si="30"/>
        <v>4.7</v>
      </c>
      <c r="AV677">
        <f t="shared" si="31"/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3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32"/>
        <v>6.12</v>
      </c>
      <c r="AU678">
        <f t="shared" si="30"/>
        <v>4.7</v>
      </c>
      <c r="AV678">
        <f t="shared" si="31"/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3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32"/>
        <v>6.12</v>
      </c>
      <c r="AU679">
        <f t="shared" si="30"/>
        <v>4.7</v>
      </c>
      <c r="AV679">
        <f t="shared" si="31"/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3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32"/>
        <v>28.281600000000001</v>
      </c>
      <c r="AU680">
        <f t="shared" si="30"/>
        <v>0</v>
      </c>
      <c r="AV680">
        <f t="shared" si="31"/>
        <v>748.18499999999995</v>
      </c>
      <c r="AW680">
        <v>99</v>
      </c>
      <c r="AX680">
        <v>1097</v>
      </c>
      <c r="BC680" t="s">
        <v>60</v>
      </c>
    </row>
    <row r="681" spans="3:55" x14ac:dyDescent="0.3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32"/>
        <v>31.758999999999997</v>
      </c>
      <c r="AU681">
        <f t="shared" si="30"/>
        <v>0</v>
      </c>
      <c r="AV681">
        <f t="shared" si="31"/>
        <v>722.01600000000008</v>
      </c>
      <c r="AW681">
        <v>81</v>
      </c>
      <c r="AX681">
        <v>947</v>
      </c>
      <c r="BC681" t="s">
        <v>60</v>
      </c>
    </row>
    <row r="682" spans="3:55" x14ac:dyDescent="0.3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32"/>
        <v>35.2684</v>
      </c>
      <c r="AU682">
        <f t="shared" si="30"/>
        <v>0</v>
      </c>
      <c r="AV682">
        <f t="shared" si="31"/>
        <v>695.60500000000002</v>
      </c>
      <c r="AW682">
        <v>77</v>
      </c>
      <c r="AX682">
        <v>922</v>
      </c>
      <c r="BC682" t="s">
        <v>60</v>
      </c>
    </row>
    <row r="683" spans="3:55" x14ac:dyDescent="0.3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32"/>
        <v>38.806800000000003</v>
      </c>
      <c r="AU683">
        <f t="shared" si="30"/>
        <v>0</v>
      </c>
      <c r="AV683">
        <f t="shared" si="31"/>
        <v>669.04</v>
      </c>
      <c r="AW683">
        <v>72</v>
      </c>
      <c r="AX683">
        <v>941</v>
      </c>
      <c r="BC683" t="s">
        <v>60</v>
      </c>
    </row>
    <row r="684" spans="3:55" x14ac:dyDescent="0.3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32"/>
        <v>12.756</v>
      </c>
      <c r="AU684">
        <f t="shared" si="30"/>
        <v>3</v>
      </c>
      <c r="AV684">
        <f t="shared" si="31"/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3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32"/>
        <v>12.756</v>
      </c>
      <c r="AU685">
        <f t="shared" si="30"/>
        <v>3</v>
      </c>
      <c r="AV685">
        <f t="shared" si="31"/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3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32"/>
        <v>12.756</v>
      </c>
      <c r="AU686">
        <f t="shared" si="30"/>
        <v>3</v>
      </c>
      <c r="AV686">
        <f t="shared" si="31"/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3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32"/>
        <v>12.756</v>
      </c>
      <c r="AU687">
        <f t="shared" si="30"/>
        <v>3</v>
      </c>
      <c r="AV687">
        <f t="shared" si="31"/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3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32"/>
        <v>12.756</v>
      </c>
      <c r="AU688">
        <f t="shared" si="30"/>
        <v>3</v>
      </c>
      <c r="AV688">
        <f t="shared" si="31"/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3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32"/>
        <v>12.756</v>
      </c>
      <c r="AU689">
        <f t="shared" si="30"/>
        <v>3</v>
      </c>
      <c r="AV689">
        <f t="shared" si="31"/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3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32"/>
        <v>12.756</v>
      </c>
      <c r="AU690">
        <f t="shared" si="30"/>
        <v>3</v>
      </c>
      <c r="AV690">
        <f t="shared" si="31"/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3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32"/>
        <v>12.756</v>
      </c>
      <c r="AU691">
        <f t="shared" si="30"/>
        <v>3</v>
      </c>
      <c r="AV691">
        <f t="shared" si="31"/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3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32"/>
        <v>12.756</v>
      </c>
      <c r="AU692">
        <f t="shared" si="30"/>
        <v>3</v>
      </c>
      <c r="AV692">
        <f t="shared" si="31"/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3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32"/>
        <v>12.756</v>
      </c>
      <c r="AU693">
        <f t="shared" si="30"/>
        <v>3</v>
      </c>
      <c r="AV693">
        <f t="shared" si="31"/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3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32"/>
        <v>12.756</v>
      </c>
      <c r="AU694">
        <f t="shared" si="30"/>
        <v>3</v>
      </c>
      <c r="AV694">
        <f t="shared" si="31"/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3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32"/>
        <v>12.756</v>
      </c>
      <c r="AU695">
        <f t="shared" si="30"/>
        <v>3</v>
      </c>
      <c r="AV695">
        <f t="shared" si="31"/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3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32"/>
        <v>6.3480000000000008</v>
      </c>
      <c r="AU696">
        <f t="shared" si="30"/>
        <v>5</v>
      </c>
      <c r="AV696">
        <f t="shared" si="31"/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3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32"/>
        <v>10.5884</v>
      </c>
      <c r="AU697">
        <f t="shared" si="30"/>
        <v>1.0283333333333333</v>
      </c>
      <c r="AV697">
        <f t="shared" si="31"/>
        <v>803.39100000000008</v>
      </c>
      <c r="AW697">
        <v>79</v>
      </c>
      <c r="AX697">
        <v>782</v>
      </c>
      <c r="BC697" t="s">
        <v>60</v>
      </c>
    </row>
    <row r="698" spans="3:55" x14ac:dyDescent="0.3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32"/>
        <v>9.0935999999999986</v>
      </c>
      <c r="AU698">
        <f t="shared" si="30"/>
        <v>1.0616666666666668</v>
      </c>
      <c r="AV698">
        <f t="shared" si="31"/>
        <v>814.02300000000002</v>
      </c>
      <c r="AW698">
        <v>78</v>
      </c>
      <c r="AX698">
        <v>735</v>
      </c>
      <c r="BC698" t="s">
        <v>60</v>
      </c>
    </row>
    <row r="699" spans="3:55" x14ac:dyDescent="0.3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32"/>
        <v>9.3192000000000021</v>
      </c>
      <c r="AU699">
        <f t="shared" si="30"/>
        <v>1.1066666666666667</v>
      </c>
      <c r="AV699">
        <f t="shared" si="31"/>
        <v>814.93200000000002</v>
      </c>
      <c r="AW699">
        <v>77</v>
      </c>
      <c r="AX699">
        <v>672</v>
      </c>
      <c r="BC699" t="s">
        <v>60</v>
      </c>
    </row>
    <row r="700" spans="3:55" x14ac:dyDescent="0.3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32"/>
        <v>11.8514</v>
      </c>
      <c r="AU700">
        <f t="shared" si="30"/>
        <v>0.68333333333333346</v>
      </c>
      <c r="AV700">
        <f t="shared" si="31"/>
        <v>799.96400000000006</v>
      </c>
      <c r="AW700">
        <v>90</v>
      </c>
      <c r="AX700">
        <v>1011</v>
      </c>
      <c r="BC700" t="s">
        <v>60</v>
      </c>
    </row>
    <row r="701" spans="3:55" x14ac:dyDescent="0.3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32"/>
        <v>11.0136</v>
      </c>
      <c r="AU701">
        <f t="shared" si="30"/>
        <v>1.0316666666666665</v>
      </c>
      <c r="AV701">
        <f t="shared" si="31"/>
        <v>797.70899999999995</v>
      </c>
      <c r="AW701">
        <v>69</v>
      </c>
      <c r="AX701">
        <v>1027</v>
      </c>
      <c r="BC701" t="s">
        <v>60</v>
      </c>
    </row>
    <row r="702" spans="3:55" x14ac:dyDescent="0.3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32"/>
        <v>6.8022000000000009</v>
      </c>
      <c r="AU702">
        <f t="shared" si="30"/>
        <v>1.4466666666666665</v>
      </c>
      <c r="AV702">
        <f t="shared" si="31"/>
        <v>813.32999999999993</v>
      </c>
      <c r="AW702">
        <v>58</v>
      </c>
      <c r="AX702">
        <v>780</v>
      </c>
      <c r="BC702" t="s">
        <v>60</v>
      </c>
    </row>
    <row r="703" spans="3:55" x14ac:dyDescent="0.3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32"/>
        <v>4.5772000000000004</v>
      </c>
      <c r="AU703">
        <f t="shared" si="30"/>
        <v>1.9333333333333336</v>
      </c>
      <c r="AV703">
        <f t="shared" si="31"/>
        <v>786.56000000000006</v>
      </c>
      <c r="AW703">
        <v>59</v>
      </c>
      <c r="AX703">
        <v>553</v>
      </c>
      <c r="BC703" t="s">
        <v>60</v>
      </c>
    </row>
    <row r="704" spans="3:55" x14ac:dyDescent="0.3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32"/>
        <v>9.8742000000000001</v>
      </c>
      <c r="AU704">
        <f t="shared" si="30"/>
        <v>0.66666666666666663</v>
      </c>
      <c r="AV704">
        <f t="shared" si="31"/>
        <v>831.76199999999994</v>
      </c>
      <c r="AW704">
        <v>62</v>
      </c>
      <c r="AX704">
        <v>1038</v>
      </c>
      <c r="BC704" t="s">
        <v>60</v>
      </c>
    </row>
    <row r="705" spans="3:55" x14ac:dyDescent="0.3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32"/>
        <v>4.9492000000000003</v>
      </c>
      <c r="AU705">
        <f t="shared" si="30"/>
        <v>2.8983333333333334</v>
      </c>
      <c r="AV705">
        <f t="shared" si="31"/>
        <v>760.46900000000005</v>
      </c>
      <c r="AW705">
        <v>70</v>
      </c>
      <c r="AX705">
        <v>480</v>
      </c>
      <c r="BC705" t="s">
        <v>60</v>
      </c>
    </row>
    <row r="706" spans="3:55" x14ac:dyDescent="0.3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32"/>
        <v>9.0010000000000012</v>
      </c>
      <c r="AU706">
        <f t="shared" ref="AU706:AU769" si="33">D706+J706/6+M706/3+(T706+S706)/10</f>
        <v>0.83333333333333337</v>
      </c>
      <c r="AV706">
        <f t="shared" ref="AV706:AV769" si="34"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3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35">L707+0.67*E707+0.44*P707+0.28*K707+0.22*O707+2.9*H707+1.6*F707+1.7*G707-D707</f>
        <v>6.2687999999999997</v>
      </c>
      <c r="AU707">
        <f t="shared" si="33"/>
        <v>0</v>
      </c>
      <c r="AV707">
        <f t="shared" si="34"/>
        <v>858.53499999999997</v>
      </c>
      <c r="AW707">
        <v>50</v>
      </c>
      <c r="AX707">
        <v>557</v>
      </c>
      <c r="BC707" t="s">
        <v>60</v>
      </c>
    </row>
    <row r="708" spans="3:55" x14ac:dyDescent="0.3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35"/>
        <v>9.3216000000000001</v>
      </c>
      <c r="AU708">
        <f t="shared" si="33"/>
        <v>0</v>
      </c>
      <c r="AV708">
        <f t="shared" si="34"/>
        <v>856.54</v>
      </c>
      <c r="AW708">
        <v>53</v>
      </c>
      <c r="AX708">
        <v>599</v>
      </c>
      <c r="BC708" t="s">
        <v>60</v>
      </c>
    </row>
    <row r="709" spans="3:55" x14ac:dyDescent="0.3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35"/>
        <v>9.3238000000000003</v>
      </c>
      <c r="AU709">
        <f t="shared" si="33"/>
        <v>0</v>
      </c>
      <c r="AV709">
        <f t="shared" si="34"/>
        <v>856.54</v>
      </c>
      <c r="AW709">
        <v>51</v>
      </c>
    </row>
    <row r="710" spans="3:55" x14ac:dyDescent="0.3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35"/>
        <v>6.569</v>
      </c>
      <c r="AU710">
        <f t="shared" si="33"/>
        <v>0.35666666666666663</v>
      </c>
      <c r="AV710">
        <f t="shared" si="34"/>
        <v>886.49400000000003</v>
      </c>
      <c r="AW710">
        <v>48</v>
      </c>
      <c r="AX710">
        <v>432</v>
      </c>
      <c r="BC710" t="s">
        <v>60</v>
      </c>
    </row>
    <row r="711" spans="3:55" x14ac:dyDescent="0.3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35"/>
        <v>6.7086000000000006</v>
      </c>
      <c r="AU711">
        <f t="shared" si="33"/>
        <v>0.84</v>
      </c>
      <c r="AV711">
        <f t="shared" si="34"/>
        <v>892.58399999999995</v>
      </c>
      <c r="AW711">
        <v>55</v>
      </c>
      <c r="AX711">
        <v>367</v>
      </c>
      <c r="BC711" t="s">
        <v>60</v>
      </c>
    </row>
    <row r="712" spans="3:55" x14ac:dyDescent="0.3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35"/>
        <v>6.7840000000000007</v>
      </c>
      <c r="AU712">
        <f t="shared" si="33"/>
        <v>1.1066666666666667</v>
      </c>
      <c r="AV712">
        <f t="shared" si="34"/>
        <v>895.94399999999996</v>
      </c>
      <c r="AW712">
        <v>69</v>
      </c>
      <c r="AX712">
        <v>501</v>
      </c>
      <c r="BC712" t="s">
        <v>60</v>
      </c>
    </row>
    <row r="713" spans="3:55" x14ac:dyDescent="0.3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35"/>
        <v>6.571200000000001</v>
      </c>
      <c r="AU713">
        <f t="shared" si="33"/>
        <v>0.35666666666666669</v>
      </c>
      <c r="AV713">
        <f t="shared" si="34"/>
        <v>886.49400000000003</v>
      </c>
      <c r="AW713">
        <v>69</v>
      </c>
    </row>
    <row r="714" spans="3:55" x14ac:dyDescent="0.3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35"/>
        <v>12.423</v>
      </c>
      <c r="AU714">
        <f t="shared" si="33"/>
        <v>3.4466666666666668</v>
      </c>
      <c r="AV714">
        <f t="shared" si="34"/>
        <v>665.41</v>
      </c>
      <c r="AW714">
        <v>140</v>
      </c>
      <c r="AX714">
        <v>1049</v>
      </c>
      <c r="BC714" t="s">
        <v>60</v>
      </c>
    </row>
    <row r="715" spans="3:55" x14ac:dyDescent="0.3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35"/>
        <v>18.442</v>
      </c>
      <c r="AU715">
        <f t="shared" si="33"/>
        <v>3.4583333333333335</v>
      </c>
      <c r="AV715">
        <f t="shared" si="34"/>
        <v>632.92800000000011</v>
      </c>
      <c r="AW715">
        <v>145</v>
      </c>
      <c r="AX715">
        <v>1130</v>
      </c>
      <c r="BC715" t="s">
        <v>60</v>
      </c>
    </row>
    <row r="716" spans="3:55" x14ac:dyDescent="0.3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35"/>
        <v>24.474</v>
      </c>
      <c r="AU716">
        <f t="shared" si="33"/>
        <v>3.47</v>
      </c>
      <c r="AV716">
        <f t="shared" si="34"/>
        <v>600.41300000000001</v>
      </c>
      <c r="AW716">
        <v>157</v>
      </c>
      <c r="AX716">
        <v>1239</v>
      </c>
      <c r="BC716" t="s">
        <v>60</v>
      </c>
    </row>
    <row r="717" spans="3:55" x14ac:dyDescent="0.3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35"/>
        <v>15.988000000000001</v>
      </c>
      <c r="AU717">
        <f t="shared" si="33"/>
        <v>3.4533333333333331</v>
      </c>
      <c r="AV717">
        <f t="shared" si="34"/>
        <v>638.23900000000003</v>
      </c>
      <c r="AW717">
        <v>130</v>
      </c>
      <c r="AX717">
        <v>1113</v>
      </c>
      <c r="BC717" t="s">
        <v>60</v>
      </c>
    </row>
    <row r="718" spans="3:55" x14ac:dyDescent="0.3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35"/>
        <v>22.006999999999998</v>
      </c>
      <c r="AU718">
        <f t="shared" si="33"/>
        <v>3.4649999999999999</v>
      </c>
      <c r="AV718">
        <f t="shared" si="34"/>
        <v>605.75700000000006</v>
      </c>
      <c r="AW718">
        <v>142</v>
      </c>
      <c r="AX718">
        <v>1210</v>
      </c>
      <c r="BC718" t="s">
        <v>60</v>
      </c>
    </row>
    <row r="719" spans="3:55" x14ac:dyDescent="0.3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35"/>
        <v>28.071000000000005</v>
      </c>
      <c r="AU719">
        <f t="shared" si="33"/>
        <v>3.4766666666666666</v>
      </c>
      <c r="AV719">
        <f t="shared" si="34"/>
        <v>573</v>
      </c>
      <c r="AW719">
        <v>149</v>
      </c>
      <c r="AX719">
        <v>1287</v>
      </c>
      <c r="BC719" t="s">
        <v>60</v>
      </c>
    </row>
    <row r="720" spans="3:55" x14ac:dyDescent="0.3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35"/>
        <v>12.071</v>
      </c>
      <c r="AU720">
        <f t="shared" si="33"/>
        <v>0.57833333333333337</v>
      </c>
      <c r="AV720">
        <f t="shared" si="34"/>
        <v>766.346</v>
      </c>
      <c r="AW720">
        <v>79.5</v>
      </c>
      <c r="AX720">
        <v>897</v>
      </c>
      <c r="BC720" t="s">
        <v>60</v>
      </c>
    </row>
    <row r="721" spans="3:55" x14ac:dyDescent="0.3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35"/>
        <v>4.0700000000000012</v>
      </c>
      <c r="AU721">
        <f t="shared" si="33"/>
        <v>5.1649999999999991</v>
      </c>
      <c r="AV721">
        <f t="shared" si="34"/>
        <v>772.87400000000002</v>
      </c>
      <c r="AW721">
        <v>58</v>
      </c>
      <c r="AX721">
        <v>625.4</v>
      </c>
      <c r="BC721" t="s">
        <v>60</v>
      </c>
    </row>
    <row r="722" spans="3:55" x14ac:dyDescent="0.3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35"/>
        <v>6.47</v>
      </c>
      <c r="AU722">
        <f t="shared" si="33"/>
        <v>1.2733333333333332</v>
      </c>
      <c r="AV722">
        <f t="shared" si="34"/>
        <v>804.71899999999994</v>
      </c>
      <c r="AW722">
        <v>83</v>
      </c>
    </row>
    <row r="723" spans="3:55" x14ac:dyDescent="0.3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35"/>
        <v>12.8</v>
      </c>
      <c r="AU723">
        <f t="shared" si="33"/>
        <v>2.166666666666667</v>
      </c>
      <c r="AV723">
        <f t="shared" si="34"/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3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35"/>
        <v>15.8</v>
      </c>
      <c r="AU724">
        <f t="shared" si="33"/>
        <v>2.166666666666667</v>
      </c>
      <c r="AV724">
        <f t="shared" si="34"/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3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35"/>
        <v>18.8</v>
      </c>
      <c r="AU725">
        <f t="shared" si="33"/>
        <v>2.5</v>
      </c>
      <c r="AV725">
        <f t="shared" si="34"/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3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35"/>
        <v>12.8</v>
      </c>
      <c r="AU726">
        <f t="shared" si="33"/>
        <v>2.333333333333333</v>
      </c>
      <c r="AV726">
        <f t="shared" si="34"/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3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35"/>
        <v>8.1559999999999988</v>
      </c>
      <c r="AU727">
        <f t="shared" si="33"/>
        <v>3.833333333333333</v>
      </c>
      <c r="AV727">
        <f t="shared" si="34"/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3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35"/>
        <v>9.98</v>
      </c>
      <c r="AU728">
        <f t="shared" si="33"/>
        <v>3.4833333333333334</v>
      </c>
      <c r="AV728">
        <f t="shared" si="34"/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3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35"/>
        <v>8.8760000000000012</v>
      </c>
      <c r="AU729">
        <f t="shared" si="33"/>
        <v>3.55</v>
      </c>
      <c r="AV729">
        <f t="shared" si="34"/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3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35"/>
        <v>7.7160000000000002</v>
      </c>
      <c r="AU730">
        <f t="shared" si="33"/>
        <v>3.6500000000000004</v>
      </c>
      <c r="AV730">
        <f t="shared" si="34"/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3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35"/>
        <v>7.8719999999999999</v>
      </c>
      <c r="AU731">
        <f t="shared" si="33"/>
        <v>2.916666666666667</v>
      </c>
      <c r="AV731">
        <f t="shared" si="34"/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3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35"/>
        <v>9.5560000000000009</v>
      </c>
      <c r="AU732">
        <f t="shared" si="33"/>
        <v>3</v>
      </c>
      <c r="AV732">
        <f t="shared" si="34"/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3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35"/>
        <v>15.8</v>
      </c>
      <c r="AU733">
        <f t="shared" si="33"/>
        <v>2.833333333333333</v>
      </c>
      <c r="AV733">
        <f t="shared" si="34"/>
        <v>779.69999999999993</v>
      </c>
      <c r="AY733">
        <v>797</v>
      </c>
      <c r="AZ733">
        <v>14.12</v>
      </c>
      <c r="BC733" t="s">
        <v>160</v>
      </c>
    </row>
    <row r="734" spans="3:55" x14ac:dyDescent="0.3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35"/>
        <v>15.8</v>
      </c>
      <c r="AU734">
        <f t="shared" si="33"/>
        <v>2.833333333333333</v>
      </c>
      <c r="AV734">
        <f t="shared" si="34"/>
        <v>779.69999999999993</v>
      </c>
      <c r="AY734">
        <v>857</v>
      </c>
      <c r="AZ734">
        <v>12.41</v>
      </c>
      <c r="BC734" t="s">
        <v>161</v>
      </c>
    </row>
    <row r="735" spans="3:55" x14ac:dyDescent="0.3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35"/>
        <v>15.8</v>
      </c>
      <c r="AU735">
        <f t="shared" si="33"/>
        <v>2.833333333333333</v>
      </c>
      <c r="AV735">
        <f t="shared" si="34"/>
        <v>779.69999999999993</v>
      </c>
      <c r="AY735">
        <v>935</v>
      </c>
      <c r="AZ735">
        <v>8.9</v>
      </c>
      <c r="BC735" t="s">
        <v>162</v>
      </c>
    </row>
    <row r="736" spans="3:55" x14ac:dyDescent="0.3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35"/>
        <v>15.8</v>
      </c>
      <c r="AU736">
        <f t="shared" si="33"/>
        <v>2.833333333333333</v>
      </c>
      <c r="AV736">
        <f t="shared" si="34"/>
        <v>779.69999999999993</v>
      </c>
      <c r="AY736">
        <v>1009</v>
      </c>
      <c r="AZ736">
        <v>7.98</v>
      </c>
      <c r="BC736" t="s">
        <v>163</v>
      </c>
    </row>
    <row r="737" spans="3:55" x14ac:dyDescent="0.3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35"/>
        <v>15.8</v>
      </c>
      <c r="AU737">
        <f t="shared" si="33"/>
        <v>2.833333333333333</v>
      </c>
      <c r="AV737">
        <f t="shared" si="34"/>
        <v>779.69999999999993</v>
      </c>
      <c r="AY737">
        <v>1110</v>
      </c>
      <c r="AZ737">
        <v>4.42</v>
      </c>
      <c r="BC737" t="s">
        <v>164</v>
      </c>
    </row>
    <row r="738" spans="3:55" x14ac:dyDescent="0.3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35"/>
        <v>9.98</v>
      </c>
      <c r="AU738">
        <f t="shared" si="33"/>
        <v>3.4833333333333334</v>
      </c>
      <c r="AV738">
        <f t="shared" si="34"/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3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35"/>
        <v>8.8760000000000012</v>
      </c>
      <c r="AU739">
        <f t="shared" si="33"/>
        <v>3.55</v>
      </c>
      <c r="AV739">
        <f t="shared" si="34"/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3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35"/>
        <v>7.7160000000000002</v>
      </c>
      <c r="AU740">
        <f t="shared" si="33"/>
        <v>3.6500000000000004</v>
      </c>
      <c r="AV740">
        <f t="shared" si="34"/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3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35"/>
        <v>7.8719999999999999</v>
      </c>
      <c r="AU741">
        <f t="shared" si="33"/>
        <v>2.916666666666667</v>
      </c>
      <c r="AV741">
        <f t="shared" si="34"/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3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35"/>
        <v>9.5560000000000009</v>
      </c>
      <c r="AU742">
        <f t="shared" si="33"/>
        <v>3</v>
      </c>
      <c r="AV742">
        <f t="shared" si="34"/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3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35"/>
        <v>8.1559999999999988</v>
      </c>
      <c r="AU743">
        <f t="shared" si="33"/>
        <v>3.833333333333333</v>
      </c>
      <c r="AV743">
        <f t="shared" si="34"/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3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35"/>
        <v>8.1559999999999988</v>
      </c>
      <c r="AU744">
        <f t="shared" si="33"/>
        <v>3.833333333333333</v>
      </c>
      <c r="AV744">
        <f t="shared" si="34"/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3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35"/>
        <v>8.1559999999999988</v>
      </c>
      <c r="AU745">
        <f t="shared" si="33"/>
        <v>3.833333333333333</v>
      </c>
      <c r="AV745">
        <f t="shared" si="34"/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3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35"/>
        <v>8.1559999999999988</v>
      </c>
      <c r="AU746">
        <f t="shared" si="33"/>
        <v>3.833333333333333</v>
      </c>
      <c r="AV746">
        <f t="shared" si="34"/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3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35"/>
        <v>8.1559999999999988</v>
      </c>
      <c r="AU747">
        <f t="shared" si="33"/>
        <v>3.833333333333333</v>
      </c>
      <c r="AV747">
        <f t="shared" si="34"/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3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35"/>
        <v>8.1559999999999988</v>
      </c>
      <c r="AU748">
        <f t="shared" si="33"/>
        <v>3.833333333333333</v>
      </c>
      <c r="AV748">
        <f t="shared" si="34"/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3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35"/>
        <v>6.2639999999999993</v>
      </c>
      <c r="AU749">
        <f t="shared" si="33"/>
        <v>1.9683333333333333</v>
      </c>
      <c r="AV749">
        <f t="shared" si="34"/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3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35"/>
        <v>5.4380000000000006</v>
      </c>
      <c r="AU750">
        <f t="shared" si="33"/>
        <v>1.96</v>
      </c>
      <c r="AV750">
        <f t="shared" si="34"/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3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35"/>
        <v>5.7780000000000005</v>
      </c>
      <c r="AU751">
        <f t="shared" si="33"/>
        <v>1.5650000000000002</v>
      </c>
      <c r="AV751">
        <f t="shared" si="34"/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3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35"/>
        <v>6.0964</v>
      </c>
      <c r="AU752">
        <f t="shared" si="33"/>
        <v>0.6333333333333333</v>
      </c>
      <c r="AV752">
        <f t="shared" si="34"/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3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35"/>
        <v>5.9604000000000008</v>
      </c>
      <c r="AU753">
        <f t="shared" si="33"/>
        <v>0.59333333333333327</v>
      </c>
      <c r="AV753">
        <f t="shared" si="34"/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3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35"/>
        <v>7.6123999999999992</v>
      </c>
      <c r="AU754">
        <f t="shared" si="33"/>
        <v>0.65500000000000003</v>
      </c>
      <c r="AV754">
        <f t="shared" si="34"/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3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35"/>
        <v>4.88</v>
      </c>
      <c r="AU755">
        <f t="shared" si="33"/>
        <v>2.081666666666667</v>
      </c>
      <c r="AV755">
        <f t="shared" si="34"/>
        <v>822.24400000000003</v>
      </c>
      <c r="AW755">
        <v>48</v>
      </c>
      <c r="BB755" t="s">
        <v>308</v>
      </c>
    </row>
    <row r="756" spans="3:55" x14ac:dyDescent="0.3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35"/>
        <v>4.88</v>
      </c>
      <c r="AU756">
        <f t="shared" si="33"/>
        <v>3.1233333333333335</v>
      </c>
      <c r="AV756">
        <f t="shared" si="34"/>
        <v>779.11900000000003</v>
      </c>
      <c r="AW756">
        <v>56</v>
      </c>
      <c r="BB756" t="s">
        <v>309</v>
      </c>
    </row>
    <row r="757" spans="3:55" x14ac:dyDescent="0.3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35"/>
        <v>6.2328000000000001</v>
      </c>
      <c r="AU757">
        <f t="shared" si="33"/>
        <v>1.9633333333333334</v>
      </c>
      <c r="AV757">
        <f t="shared" si="34"/>
        <v>825.88800000000003</v>
      </c>
      <c r="AW757">
        <v>72</v>
      </c>
      <c r="BB757" t="s">
        <v>310</v>
      </c>
    </row>
    <row r="758" spans="3:55" x14ac:dyDescent="0.3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35"/>
        <v>8.0560000000000009</v>
      </c>
      <c r="AU758">
        <f t="shared" si="33"/>
        <v>3.833333333333333</v>
      </c>
      <c r="AV758">
        <f t="shared" si="34"/>
        <v>790.9</v>
      </c>
      <c r="AW758">
        <v>48</v>
      </c>
      <c r="BB758" t="s">
        <v>311</v>
      </c>
    </row>
    <row r="759" spans="3:55" x14ac:dyDescent="0.3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35"/>
        <v>7.7160000000000002</v>
      </c>
      <c r="AU759">
        <f t="shared" si="33"/>
        <v>5.25</v>
      </c>
      <c r="AV759">
        <f t="shared" si="34"/>
        <v>728.75</v>
      </c>
      <c r="AW759">
        <v>56</v>
      </c>
      <c r="BB759" t="s">
        <v>312</v>
      </c>
    </row>
    <row r="760" spans="3:55" x14ac:dyDescent="0.3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35"/>
        <v>9.8800000000000008</v>
      </c>
      <c r="AU760">
        <f t="shared" si="33"/>
        <v>3.45</v>
      </c>
      <c r="AV760">
        <f t="shared" si="34"/>
        <v>798.92000000000007</v>
      </c>
      <c r="AW760">
        <v>72</v>
      </c>
      <c r="BB760" t="s">
        <v>313</v>
      </c>
    </row>
    <row r="761" spans="3:55" x14ac:dyDescent="0.3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35"/>
        <v>9.4840000000000018</v>
      </c>
      <c r="AU761">
        <f t="shared" si="33"/>
        <v>4.7666666666666666</v>
      </c>
      <c r="AV761">
        <f t="shared" si="34"/>
        <v>742.71</v>
      </c>
      <c r="AW761">
        <v>82</v>
      </c>
      <c r="BB761" t="s">
        <v>314</v>
      </c>
    </row>
    <row r="762" spans="3:55" x14ac:dyDescent="0.3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35"/>
        <v>11.512</v>
      </c>
      <c r="AU762">
        <f t="shared" si="33"/>
        <v>3.1666666666666665</v>
      </c>
      <c r="AV762">
        <f t="shared" si="34"/>
        <v>806.3</v>
      </c>
      <c r="AW762">
        <v>66</v>
      </c>
    </row>
    <row r="763" spans="3:55" x14ac:dyDescent="0.3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35"/>
        <v>11.132</v>
      </c>
      <c r="AU763">
        <f t="shared" si="33"/>
        <v>4.3833333333333329</v>
      </c>
      <c r="AV763">
        <f t="shared" si="34"/>
        <v>753.28</v>
      </c>
      <c r="AW763">
        <v>72</v>
      </c>
    </row>
    <row r="764" spans="3:55" x14ac:dyDescent="0.3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35"/>
        <v>4.5</v>
      </c>
      <c r="AU764">
        <f t="shared" si="33"/>
        <v>2.2833333333333332</v>
      </c>
      <c r="AV764">
        <f t="shared" si="34"/>
        <v>813.81999999999994</v>
      </c>
      <c r="AW764">
        <v>58</v>
      </c>
    </row>
    <row r="765" spans="3:55" x14ac:dyDescent="0.3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35"/>
        <v>3.968</v>
      </c>
      <c r="AU765">
        <f t="shared" si="33"/>
        <v>2.6</v>
      </c>
      <c r="AV765">
        <f t="shared" si="34"/>
        <v>800.70999999999992</v>
      </c>
      <c r="AW765">
        <v>56</v>
      </c>
    </row>
    <row r="766" spans="3:55" x14ac:dyDescent="0.3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35"/>
        <v>4.9156000000000004</v>
      </c>
      <c r="AU766">
        <f t="shared" si="33"/>
        <v>2.0883333333333329</v>
      </c>
      <c r="AV766">
        <f t="shared" si="34"/>
        <v>821.86299999999994</v>
      </c>
      <c r="AW766">
        <v>48</v>
      </c>
    </row>
    <row r="767" spans="3:55" x14ac:dyDescent="0.3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35"/>
        <v>6.2640000000000011</v>
      </c>
      <c r="AU767">
        <f t="shared" si="33"/>
        <v>1.9683333333333333</v>
      </c>
      <c r="AV767">
        <f t="shared" si="34"/>
        <v>825.49099999999999</v>
      </c>
      <c r="AW767">
        <v>72</v>
      </c>
    </row>
    <row r="768" spans="3:55" x14ac:dyDescent="0.3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35"/>
        <v>5.4380000000000006</v>
      </c>
      <c r="AU768">
        <f t="shared" si="33"/>
        <v>1.96</v>
      </c>
      <c r="AV768">
        <f t="shared" si="34"/>
        <v>825.476</v>
      </c>
      <c r="AW768">
        <v>56</v>
      </c>
    </row>
    <row r="769" spans="3:55" x14ac:dyDescent="0.3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35"/>
        <v>4.6020000000000003</v>
      </c>
      <c r="AU769">
        <f t="shared" si="33"/>
        <v>1.9666666666666668</v>
      </c>
      <c r="AV769">
        <f t="shared" si="34"/>
        <v>825.65499999999997</v>
      </c>
      <c r="AW769">
        <v>54</v>
      </c>
    </row>
    <row r="770" spans="3:55" x14ac:dyDescent="0.3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35"/>
        <v>4.5920000000000005</v>
      </c>
      <c r="AU770">
        <f t="shared" ref="AU770:AU833" si="36">D770+J770/6+M770/3+(T770+S770)/10</f>
        <v>1.4750000000000001</v>
      </c>
      <c r="AV770">
        <f t="shared" ref="AV770:AV833" si="37">882+2.1*D770-9.5*L770+4.2*M770-6.9*J770-11.8*E770-12.1*F770-15.4*H770+23.3*Q770+123*T770</f>
        <v>845.92499999999995</v>
      </c>
      <c r="AW770">
        <v>59</v>
      </c>
    </row>
    <row r="771" spans="3:55" x14ac:dyDescent="0.3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38">L771+0.67*E771+0.44*P771+0.28*K771+0.22*O771+2.9*H771+1.6*F771+1.7*G771-D771</f>
        <v>5.7808000000000002</v>
      </c>
      <c r="AU771">
        <f t="shared" si="36"/>
        <v>1.5649999999999999</v>
      </c>
      <c r="AV771">
        <f t="shared" si="37"/>
        <v>843.529</v>
      </c>
      <c r="AW771">
        <v>55</v>
      </c>
    </row>
    <row r="772" spans="3:55" x14ac:dyDescent="0.3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38"/>
        <v>7.4476000000000013</v>
      </c>
      <c r="AU772">
        <f t="shared" si="36"/>
        <v>1.85</v>
      </c>
      <c r="AV772">
        <f t="shared" si="37"/>
        <v>828.86</v>
      </c>
      <c r="AW772">
        <v>66</v>
      </c>
    </row>
    <row r="773" spans="3:55" x14ac:dyDescent="0.3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38"/>
        <v>7.4820000000000011</v>
      </c>
      <c r="AU773">
        <f t="shared" si="36"/>
        <v>0.6399999999999999</v>
      </c>
      <c r="AV773">
        <f t="shared" si="37"/>
        <v>841.51899999999989</v>
      </c>
      <c r="AW773">
        <v>63</v>
      </c>
    </row>
    <row r="774" spans="3:55" x14ac:dyDescent="0.3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38"/>
        <v>5.8803999999999998</v>
      </c>
      <c r="AU774">
        <f t="shared" si="36"/>
        <v>0.63166666666666671</v>
      </c>
      <c r="AV774">
        <f t="shared" si="37"/>
        <v>856.31399999999996</v>
      </c>
      <c r="AW774">
        <v>69</v>
      </c>
    </row>
    <row r="775" spans="3:55" x14ac:dyDescent="0.3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38"/>
        <v>6.1076000000000006</v>
      </c>
      <c r="AU775">
        <f t="shared" si="36"/>
        <v>0.74833333333333329</v>
      </c>
      <c r="AV775">
        <f t="shared" si="37"/>
        <v>868.75400000000002</v>
      </c>
      <c r="AW775">
        <v>58</v>
      </c>
    </row>
    <row r="776" spans="3:55" x14ac:dyDescent="0.3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38"/>
        <v>6.0964000000000009</v>
      </c>
      <c r="AU776">
        <f t="shared" si="36"/>
        <v>0.6333333333333333</v>
      </c>
      <c r="AV776">
        <f t="shared" si="37"/>
        <v>856.05500000000006</v>
      </c>
      <c r="AW776">
        <v>69</v>
      </c>
    </row>
    <row r="777" spans="3:55" x14ac:dyDescent="0.3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38"/>
        <v>5.4144000000000005</v>
      </c>
      <c r="AU777">
        <f t="shared" si="36"/>
        <v>0.97499999999999987</v>
      </c>
      <c r="AV777">
        <f t="shared" si="37"/>
        <v>839.28500000000008</v>
      </c>
      <c r="AW777">
        <v>65</v>
      </c>
    </row>
    <row r="778" spans="3:55" x14ac:dyDescent="0.3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38"/>
        <v>13.950000000000003</v>
      </c>
      <c r="AU778">
        <f t="shared" si="36"/>
        <v>4</v>
      </c>
      <c r="AV778">
        <f t="shared" si="37"/>
        <v>711.3</v>
      </c>
      <c r="AY778">
        <v>973</v>
      </c>
      <c r="AZ778">
        <v>22</v>
      </c>
      <c r="BC778" t="s">
        <v>165</v>
      </c>
    </row>
    <row r="779" spans="3:55" x14ac:dyDescent="0.3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38"/>
        <v>13.950000000000003</v>
      </c>
      <c r="AU779">
        <f t="shared" si="36"/>
        <v>4</v>
      </c>
      <c r="AV779">
        <f t="shared" si="37"/>
        <v>711.3</v>
      </c>
      <c r="AY779">
        <v>953.57</v>
      </c>
      <c r="AZ779">
        <v>23</v>
      </c>
      <c r="BC779" t="s">
        <v>166</v>
      </c>
    </row>
    <row r="780" spans="3:55" x14ac:dyDescent="0.3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38"/>
        <v>13.950000000000003</v>
      </c>
      <c r="AU780">
        <f t="shared" si="36"/>
        <v>4</v>
      </c>
      <c r="AV780">
        <f t="shared" si="37"/>
        <v>711.3</v>
      </c>
      <c r="AY780">
        <v>875.28</v>
      </c>
      <c r="AZ780">
        <v>21.92</v>
      </c>
      <c r="BC780" t="s">
        <v>167</v>
      </c>
    </row>
    <row r="781" spans="3:55" x14ac:dyDescent="0.3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38"/>
        <v>13.950000000000003</v>
      </c>
      <c r="AU781">
        <f t="shared" si="36"/>
        <v>4</v>
      </c>
      <c r="AV781">
        <f t="shared" si="37"/>
        <v>711.3</v>
      </c>
      <c r="AY781">
        <v>867.62</v>
      </c>
      <c r="AZ781">
        <v>22.9</v>
      </c>
      <c r="BC781" t="s">
        <v>168</v>
      </c>
    </row>
    <row r="782" spans="3:55" x14ac:dyDescent="0.3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38"/>
        <v>13.950000000000003</v>
      </c>
      <c r="AU782">
        <f t="shared" si="36"/>
        <v>4</v>
      </c>
      <c r="AV782">
        <f t="shared" si="37"/>
        <v>711.3</v>
      </c>
      <c r="AY782">
        <v>1485.34</v>
      </c>
      <c r="AZ782">
        <v>10.119999999999999</v>
      </c>
      <c r="BC782" t="s">
        <v>169</v>
      </c>
    </row>
    <row r="783" spans="3:55" x14ac:dyDescent="0.3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38"/>
        <v>13.950000000000003</v>
      </c>
      <c r="AU783">
        <f t="shared" si="36"/>
        <v>4</v>
      </c>
      <c r="AV783">
        <f t="shared" si="37"/>
        <v>711.3</v>
      </c>
      <c r="AY783">
        <v>1572.56</v>
      </c>
      <c r="AZ783">
        <v>6.18</v>
      </c>
      <c r="BC783" t="s">
        <v>170</v>
      </c>
    </row>
    <row r="784" spans="3:55" x14ac:dyDescent="0.3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38"/>
        <v>13.950000000000003</v>
      </c>
      <c r="AU784">
        <f t="shared" si="36"/>
        <v>4</v>
      </c>
      <c r="AV784">
        <f t="shared" si="37"/>
        <v>711.3</v>
      </c>
      <c r="AY784">
        <v>1208.8</v>
      </c>
      <c r="AZ784">
        <v>10.73</v>
      </c>
      <c r="BC784" t="s">
        <v>171</v>
      </c>
    </row>
    <row r="785" spans="3:55" x14ac:dyDescent="0.3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38"/>
        <v>13.950000000000003</v>
      </c>
      <c r="AU785">
        <f t="shared" si="36"/>
        <v>4</v>
      </c>
      <c r="AV785">
        <f t="shared" si="37"/>
        <v>711.3</v>
      </c>
      <c r="AY785">
        <v>1288.17</v>
      </c>
      <c r="AZ785">
        <v>7.72</v>
      </c>
      <c r="BC785" t="s">
        <v>172</v>
      </c>
    </row>
    <row r="786" spans="3:55" x14ac:dyDescent="0.3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38"/>
        <v>13.950000000000003</v>
      </c>
      <c r="AU786">
        <f t="shared" si="36"/>
        <v>4</v>
      </c>
      <c r="AV786">
        <f t="shared" si="37"/>
        <v>711.3</v>
      </c>
      <c r="AY786">
        <v>1475.41</v>
      </c>
      <c r="AZ786">
        <v>10.18</v>
      </c>
      <c r="BC786" t="s">
        <v>173</v>
      </c>
    </row>
    <row r="787" spans="3:55" x14ac:dyDescent="0.3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38"/>
        <v>13.950000000000003</v>
      </c>
      <c r="AU787">
        <f t="shared" si="36"/>
        <v>4</v>
      </c>
      <c r="AV787">
        <f t="shared" si="37"/>
        <v>711.3</v>
      </c>
      <c r="AY787">
        <v>1474.28</v>
      </c>
      <c r="AZ787">
        <v>8.9499999999999993</v>
      </c>
      <c r="BC787" t="s">
        <v>174</v>
      </c>
    </row>
    <row r="788" spans="3:55" x14ac:dyDescent="0.3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38"/>
        <v>13.950000000000003</v>
      </c>
      <c r="AU788">
        <f t="shared" si="36"/>
        <v>4</v>
      </c>
      <c r="AV788">
        <f t="shared" si="37"/>
        <v>711.3</v>
      </c>
      <c r="AY788">
        <v>1263.42</v>
      </c>
      <c r="AZ788">
        <v>9.44</v>
      </c>
      <c r="BC788" t="s">
        <v>175</v>
      </c>
    </row>
    <row r="789" spans="3:55" x14ac:dyDescent="0.3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38"/>
        <v>13.950000000000003</v>
      </c>
      <c r="AU789">
        <f t="shared" si="36"/>
        <v>4</v>
      </c>
      <c r="AV789">
        <f t="shared" si="37"/>
        <v>711.3</v>
      </c>
      <c r="AY789">
        <v>1216.6300000000001</v>
      </c>
      <c r="AZ789">
        <v>9.9</v>
      </c>
      <c r="BC789" t="s">
        <v>176</v>
      </c>
    </row>
    <row r="790" spans="3:55" x14ac:dyDescent="0.3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38"/>
        <v>13.950000000000003</v>
      </c>
      <c r="AU790">
        <f t="shared" si="36"/>
        <v>4</v>
      </c>
      <c r="AV790">
        <f t="shared" si="37"/>
        <v>711.3</v>
      </c>
      <c r="AY790">
        <v>1383.33</v>
      </c>
      <c r="AZ790">
        <v>13.87</v>
      </c>
      <c r="BC790" t="s">
        <v>177</v>
      </c>
    </row>
    <row r="791" spans="3:55" x14ac:dyDescent="0.3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38"/>
        <v>13.950000000000003</v>
      </c>
      <c r="AU791">
        <f t="shared" si="36"/>
        <v>4</v>
      </c>
      <c r="AV791">
        <f t="shared" si="37"/>
        <v>711.3</v>
      </c>
      <c r="AY791">
        <v>1470.05</v>
      </c>
      <c r="AZ791">
        <v>10.4</v>
      </c>
      <c r="BC791" t="s">
        <v>178</v>
      </c>
    </row>
    <row r="792" spans="3:55" x14ac:dyDescent="0.3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38"/>
        <v>13.950000000000003</v>
      </c>
      <c r="AU792">
        <f t="shared" si="36"/>
        <v>4</v>
      </c>
      <c r="AV792">
        <f t="shared" si="37"/>
        <v>711.3</v>
      </c>
      <c r="AY792">
        <v>1400.15</v>
      </c>
      <c r="AZ792">
        <v>7.52</v>
      </c>
      <c r="BC792" t="s">
        <v>179</v>
      </c>
    </row>
    <row r="793" spans="3:55" x14ac:dyDescent="0.3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38"/>
        <v>13.950000000000003</v>
      </c>
      <c r="AU793">
        <f t="shared" si="36"/>
        <v>4</v>
      </c>
      <c r="AV793">
        <f t="shared" si="37"/>
        <v>711.3</v>
      </c>
      <c r="AY793">
        <v>1305.81</v>
      </c>
      <c r="AZ793">
        <v>7.75</v>
      </c>
      <c r="BC793" t="s">
        <v>180</v>
      </c>
    </row>
    <row r="794" spans="3:55" x14ac:dyDescent="0.3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38"/>
        <v>13.950000000000003</v>
      </c>
      <c r="AU794">
        <f t="shared" si="36"/>
        <v>4</v>
      </c>
      <c r="AV794">
        <f t="shared" si="37"/>
        <v>711.3</v>
      </c>
      <c r="AY794">
        <v>1279.6600000000001</v>
      </c>
      <c r="AZ794">
        <v>15.55</v>
      </c>
      <c r="BC794" t="s">
        <v>181</v>
      </c>
    </row>
    <row r="795" spans="3:55" x14ac:dyDescent="0.3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38"/>
        <v>13.950000000000003</v>
      </c>
      <c r="AU795">
        <f t="shared" si="36"/>
        <v>4</v>
      </c>
      <c r="AV795">
        <f t="shared" si="37"/>
        <v>711.3</v>
      </c>
      <c r="AY795">
        <v>1366.56</v>
      </c>
      <c r="AZ795">
        <v>12.97</v>
      </c>
      <c r="BC795" t="s">
        <v>182</v>
      </c>
    </row>
    <row r="796" spans="3:55" x14ac:dyDescent="0.3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38"/>
        <v>13.950000000000003</v>
      </c>
      <c r="AU796">
        <f t="shared" si="36"/>
        <v>4</v>
      </c>
      <c r="AV796">
        <f t="shared" si="37"/>
        <v>711.3</v>
      </c>
      <c r="AY796">
        <v>1413.25</v>
      </c>
      <c r="AZ796">
        <v>8.1999999999999993</v>
      </c>
      <c r="BC796" t="s">
        <v>183</v>
      </c>
    </row>
    <row r="797" spans="3:55" x14ac:dyDescent="0.3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38"/>
        <v>13.950000000000003</v>
      </c>
      <c r="AU797">
        <f t="shared" si="36"/>
        <v>4</v>
      </c>
      <c r="AV797">
        <f t="shared" si="37"/>
        <v>711.3</v>
      </c>
      <c r="AY797">
        <v>1409.09</v>
      </c>
      <c r="AZ797">
        <v>6.88</v>
      </c>
      <c r="BC797" t="s">
        <v>184</v>
      </c>
    </row>
    <row r="798" spans="3:55" x14ac:dyDescent="0.3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38"/>
        <v>-2.7699999999999996</v>
      </c>
      <c r="AU798">
        <f t="shared" si="36"/>
        <v>6.208333333333333</v>
      </c>
      <c r="AV798">
        <f t="shared" si="37"/>
        <v>836.94999999999993</v>
      </c>
      <c r="BC798" t="s">
        <v>185</v>
      </c>
    </row>
    <row r="799" spans="3:55" x14ac:dyDescent="0.3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38"/>
        <v>-2.7699999999999996</v>
      </c>
      <c r="AU799">
        <f t="shared" si="36"/>
        <v>6.208333333333333</v>
      </c>
      <c r="AV799">
        <f t="shared" si="37"/>
        <v>836.94999999999993</v>
      </c>
      <c r="BC799" t="s">
        <v>185</v>
      </c>
    </row>
    <row r="800" spans="3:55" x14ac:dyDescent="0.3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38"/>
        <v>-2.7699999999999996</v>
      </c>
      <c r="AU800">
        <f t="shared" si="36"/>
        <v>6.208333333333333</v>
      </c>
      <c r="AV800">
        <f t="shared" si="37"/>
        <v>836.94999999999993</v>
      </c>
      <c r="BC800" t="s">
        <v>185</v>
      </c>
    </row>
    <row r="801" spans="3:55" x14ac:dyDescent="0.3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38"/>
        <v>-2.7699999999999996</v>
      </c>
      <c r="AU801">
        <f t="shared" si="36"/>
        <v>6.208333333333333</v>
      </c>
      <c r="AV801">
        <f t="shared" si="37"/>
        <v>836.94999999999993</v>
      </c>
      <c r="BC801" t="s">
        <v>185</v>
      </c>
    </row>
    <row r="802" spans="3:55" x14ac:dyDescent="0.3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38"/>
        <v>-2.6199999999999992</v>
      </c>
      <c r="AU802">
        <f t="shared" si="36"/>
        <v>6.2333333333333334</v>
      </c>
      <c r="AV802">
        <f t="shared" si="37"/>
        <v>834.4899999999999</v>
      </c>
      <c r="BB802" t="s">
        <v>315</v>
      </c>
      <c r="BC802" t="s">
        <v>186</v>
      </c>
    </row>
    <row r="803" spans="3:55" x14ac:dyDescent="0.3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38"/>
        <v>-4.16</v>
      </c>
      <c r="AU803">
        <f t="shared" si="36"/>
        <v>6.333333333333333</v>
      </c>
      <c r="AV803">
        <f t="shared" si="37"/>
        <v>871.30000000000007</v>
      </c>
      <c r="BB803" t="s">
        <v>316</v>
      </c>
      <c r="BC803" t="s">
        <v>187</v>
      </c>
    </row>
    <row r="804" spans="3:55" x14ac:dyDescent="0.3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38"/>
        <v>-4.16</v>
      </c>
      <c r="AU804">
        <f t="shared" si="36"/>
        <v>6.333333333333333</v>
      </c>
      <c r="AV804">
        <f t="shared" si="37"/>
        <v>871.30000000000007</v>
      </c>
      <c r="BB804" t="s">
        <v>317</v>
      </c>
      <c r="BC804" t="s">
        <v>187</v>
      </c>
    </row>
    <row r="805" spans="3:55" x14ac:dyDescent="0.3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38"/>
        <v>-4.16</v>
      </c>
      <c r="AU805">
        <f t="shared" si="36"/>
        <v>6.333333333333333</v>
      </c>
      <c r="AV805">
        <f t="shared" si="37"/>
        <v>871.30000000000007</v>
      </c>
      <c r="BB805" t="s">
        <v>318</v>
      </c>
      <c r="BC805" t="s">
        <v>187</v>
      </c>
    </row>
    <row r="806" spans="3:55" x14ac:dyDescent="0.3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38"/>
        <v>-4.16</v>
      </c>
      <c r="AU806">
        <f t="shared" si="36"/>
        <v>6.333333333333333</v>
      </c>
      <c r="AV806">
        <f t="shared" si="37"/>
        <v>871.30000000000007</v>
      </c>
      <c r="BB806" t="s">
        <v>319</v>
      </c>
      <c r="BC806" t="s">
        <v>187</v>
      </c>
    </row>
    <row r="807" spans="3:55" x14ac:dyDescent="0.3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38"/>
        <v>-4.16</v>
      </c>
      <c r="AU807">
        <f t="shared" si="36"/>
        <v>6.333333333333333</v>
      </c>
      <c r="AV807">
        <f t="shared" si="37"/>
        <v>871.30000000000007</v>
      </c>
      <c r="BB807" t="s">
        <v>320</v>
      </c>
      <c r="BC807" t="s">
        <v>187</v>
      </c>
    </row>
    <row r="808" spans="3:55" x14ac:dyDescent="0.3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38"/>
        <v>-4.16</v>
      </c>
      <c r="AU808">
        <f t="shared" si="36"/>
        <v>6.333333333333333</v>
      </c>
      <c r="AV808">
        <f t="shared" si="37"/>
        <v>871.30000000000007</v>
      </c>
      <c r="BB808" t="s">
        <v>321</v>
      </c>
      <c r="BC808" t="s">
        <v>187</v>
      </c>
    </row>
    <row r="809" spans="3:55" x14ac:dyDescent="0.3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38"/>
        <v>-4.2639999999999993</v>
      </c>
      <c r="AU809">
        <f t="shared" si="36"/>
        <v>6.5916666666666668</v>
      </c>
      <c r="AV809">
        <f t="shared" si="37"/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3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38"/>
        <v>-4.8419999999999996</v>
      </c>
      <c r="AU810">
        <f t="shared" si="36"/>
        <v>7.1016666666666666</v>
      </c>
      <c r="AV810">
        <f t="shared" si="37"/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3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38"/>
        <v>-4.8419999999999996</v>
      </c>
      <c r="AU811">
        <f t="shared" si="36"/>
        <v>7.1016666666666666</v>
      </c>
      <c r="AV811">
        <f t="shared" si="37"/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3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38"/>
        <v>-4.8419999999999996</v>
      </c>
      <c r="AU812">
        <f t="shared" si="36"/>
        <v>7.1016666666666666</v>
      </c>
      <c r="AV812">
        <f t="shared" si="37"/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3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38"/>
        <v>-4.8419999999999996</v>
      </c>
      <c r="AU813">
        <f t="shared" si="36"/>
        <v>7.1016666666666666</v>
      </c>
      <c r="AV813">
        <f t="shared" si="37"/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3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38"/>
        <v>-4.8419999999999996</v>
      </c>
      <c r="AU814">
        <f t="shared" si="36"/>
        <v>7.1016666666666666</v>
      </c>
      <c r="AV814">
        <f t="shared" si="37"/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3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38"/>
        <v>-4.8419999999999996</v>
      </c>
      <c r="AU815">
        <f t="shared" si="36"/>
        <v>7.1016666666666666</v>
      </c>
      <c r="AV815">
        <f t="shared" si="37"/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3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38"/>
        <v>-4.8419999999999996</v>
      </c>
      <c r="AU816">
        <f t="shared" si="36"/>
        <v>7.1016666666666666</v>
      </c>
      <c r="AV816">
        <f t="shared" si="37"/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3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38"/>
        <v>-4.8419999999999996</v>
      </c>
      <c r="AU817">
        <f t="shared" si="36"/>
        <v>7.1016666666666666</v>
      </c>
      <c r="AV817">
        <f t="shared" si="37"/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3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38"/>
        <v>-4.8419999999999996</v>
      </c>
      <c r="AU818">
        <f t="shared" si="36"/>
        <v>7.1016666666666666</v>
      </c>
      <c r="AV818">
        <f t="shared" si="37"/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3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38"/>
        <v>-4.8419999999999996</v>
      </c>
      <c r="AU819">
        <f t="shared" si="36"/>
        <v>7.1016666666666666</v>
      </c>
      <c r="AV819">
        <f t="shared" si="37"/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3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38"/>
        <v>-4.8419999999999996</v>
      </c>
      <c r="AU820">
        <f t="shared" si="36"/>
        <v>7.1016666666666666</v>
      </c>
      <c r="AV820">
        <f t="shared" si="37"/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3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38"/>
        <v>-4.8419999999999996</v>
      </c>
      <c r="AU821">
        <f t="shared" si="36"/>
        <v>7.1016666666666666</v>
      </c>
      <c r="AV821">
        <f t="shared" si="37"/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3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38"/>
        <v>-4.8419999999999996</v>
      </c>
      <c r="AU822">
        <f t="shared" si="36"/>
        <v>7.1016666666666666</v>
      </c>
      <c r="AV822">
        <f t="shared" si="37"/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3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38"/>
        <v>-4.8419999999999996</v>
      </c>
      <c r="AU823">
        <f t="shared" si="36"/>
        <v>7.1016666666666666</v>
      </c>
      <c r="AV823">
        <f t="shared" si="37"/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3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38"/>
        <v>-4.8419999999999996</v>
      </c>
      <c r="AU824">
        <f t="shared" si="36"/>
        <v>7.1016666666666666</v>
      </c>
      <c r="AV824">
        <f t="shared" si="37"/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3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38"/>
        <v>-4.8419999999999996</v>
      </c>
      <c r="AU825">
        <f t="shared" si="36"/>
        <v>7.1016666666666666</v>
      </c>
      <c r="AV825">
        <f t="shared" si="37"/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3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38"/>
        <v>-4.8419999999999996</v>
      </c>
      <c r="AU826">
        <f t="shared" si="36"/>
        <v>7.1016666666666666</v>
      </c>
      <c r="AV826">
        <f t="shared" si="37"/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3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38"/>
        <v>-4.8419999999999996</v>
      </c>
      <c r="AU827">
        <f t="shared" si="36"/>
        <v>7.1016666666666666</v>
      </c>
      <c r="AV827">
        <f t="shared" si="37"/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3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38"/>
        <v>-4.8419999999999996</v>
      </c>
      <c r="AU828">
        <f t="shared" si="36"/>
        <v>7.1016666666666666</v>
      </c>
      <c r="AV828">
        <f t="shared" si="37"/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3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38"/>
        <v>-4.8419999999999996</v>
      </c>
      <c r="AU829">
        <f t="shared" si="36"/>
        <v>7.1016666666666666</v>
      </c>
      <c r="AV829">
        <f t="shared" si="37"/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3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38"/>
        <v>-4.8419999999999996</v>
      </c>
      <c r="AU830">
        <f t="shared" si="36"/>
        <v>7.1016666666666666</v>
      </c>
      <c r="AV830">
        <f t="shared" si="37"/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3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38"/>
        <v>-4.8419999999999996</v>
      </c>
      <c r="AU831">
        <f t="shared" si="36"/>
        <v>7.1016666666666666</v>
      </c>
      <c r="AV831">
        <f t="shared" si="37"/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3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38"/>
        <v>-4.8419999999999996</v>
      </c>
      <c r="AU832">
        <f t="shared" si="36"/>
        <v>7.1016666666666666</v>
      </c>
      <c r="AV832">
        <f t="shared" si="37"/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3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38"/>
        <v>-4.8419999999999996</v>
      </c>
      <c r="AU833">
        <f t="shared" si="36"/>
        <v>7.1016666666666666</v>
      </c>
      <c r="AV833">
        <f t="shared" si="37"/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3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38"/>
        <v>-1.9000000000000004</v>
      </c>
      <c r="AU834">
        <f t="shared" ref="AU834:AU897" si="39">D834+J834/6+M834/3+(T834+S834)/10</f>
        <v>6.3333333333333339</v>
      </c>
      <c r="AV834">
        <f t="shared" ref="AV834:AV897" si="40"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3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41">L835+0.67*E835+0.44*P835+0.28*K835+0.22*O835+2.9*H835+1.6*F835+1.7*G835-D835</f>
        <v>-1.9000000000000004</v>
      </c>
      <c r="AU835">
        <f t="shared" si="39"/>
        <v>6.3333333333333339</v>
      </c>
      <c r="AV835">
        <f t="shared" si="40"/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3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41"/>
        <v>-1.9000000000000004</v>
      </c>
      <c r="AU836">
        <f t="shared" si="39"/>
        <v>6.3333333333333339</v>
      </c>
      <c r="AV836">
        <f t="shared" si="40"/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3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41"/>
        <v>-1.5</v>
      </c>
      <c r="AU837">
        <f t="shared" si="39"/>
        <v>7.8333333333333339</v>
      </c>
      <c r="AV837">
        <f t="shared" si="40"/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3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41"/>
        <v>-1.5</v>
      </c>
      <c r="AU838">
        <f t="shared" si="39"/>
        <v>7.8333333333333339</v>
      </c>
      <c r="AV838">
        <f t="shared" si="40"/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3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41"/>
        <v>-1.5</v>
      </c>
      <c r="AU839">
        <f t="shared" si="39"/>
        <v>7.8333333333333339</v>
      </c>
      <c r="AV839">
        <f t="shared" si="40"/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3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41"/>
        <v>-1.5</v>
      </c>
      <c r="AU840">
        <f t="shared" si="39"/>
        <v>7.8333333333333339</v>
      </c>
      <c r="AV840">
        <f t="shared" si="40"/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3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41"/>
        <v>-1.5</v>
      </c>
      <c r="AU841">
        <f t="shared" si="39"/>
        <v>7.8333333333333339</v>
      </c>
      <c r="AV841">
        <f t="shared" si="40"/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3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41"/>
        <v>-1.5</v>
      </c>
      <c r="AU842">
        <f t="shared" si="39"/>
        <v>7.8333333333333339</v>
      </c>
      <c r="AV842">
        <f t="shared" si="40"/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3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41"/>
        <v>-2.5000000000000004</v>
      </c>
      <c r="AU843">
        <f t="shared" si="39"/>
        <v>7.6033333333333335</v>
      </c>
      <c r="AV843">
        <f t="shared" si="40"/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3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41"/>
        <v>-2.5000000000000004</v>
      </c>
      <c r="AU844">
        <f t="shared" si="39"/>
        <v>7.6033333333333335</v>
      </c>
      <c r="AV844">
        <f t="shared" si="40"/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3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41"/>
        <v>-2.5000000000000004</v>
      </c>
      <c r="AU845">
        <f t="shared" si="39"/>
        <v>7.6033333333333335</v>
      </c>
      <c r="AV845">
        <f t="shared" si="40"/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3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41"/>
        <v>-2.5000000000000004</v>
      </c>
      <c r="AU846">
        <f t="shared" si="39"/>
        <v>7.6033333333333335</v>
      </c>
      <c r="AV846">
        <f t="shared" si="40"/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3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41"/>
        <v>-2.5000000000000004</v>
      </c>
      <c r="AU847">
        <f t="shared" si="39"/>
        <v>7.6033333333333335</v>
      </c>
      <c r="AV847">
        <f t="shared" si="40"/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3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41"/>
        <v>-2.5000000000000004</v>
      </c>
      <c r="AU848">
        <f t="shared" si="39"/>
        <v>7.6033333333333335</v>
      </c>
      <c r="AV848">
        <f t="shared" si="40"/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3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41"/>
        <v>-2.5000000000000004</v>
      </c>
      <c r="AU849">
        <f t="shared" si="39"/>
        <v>7.6033333333333335</v>
      </c>
      <c r="AV849">
        <f t="shared" si="40"/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3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41"/>
        <v>-2.5000000000000004</v>
      </c>
      <c r="AU850">
        <f t="shared" si="39"/>
        <v>7.6033333333333335</v>
      </c>
      <c r="AV850">
        <f t="shared" si="40"/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3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41"/>
        <v>-2.5000000000000004</v>
      </c>
      <c r="AU851">
        <f t="shared" si="39"/>
        <v>7.6033333333333335</v>
      </c>
      <c r="AV851">
        <f t="shared" si="40"/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3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41"/>
        <v>-2.5000000000000004</v>
      </c>
      <c r="AU852">
        <f t="shared" si="39"/>
        <v>7.6033333333333335</v>
      </c>
      <c r="AV852">
        <f t="shared" si="40"/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3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41"/>
        <v>-4.7099999999999991</v>
      </c>
      <c r="AU853">
        <f t="shared" si="39"/>
        <v>7.8516666666666666</v>
      </c>
      <c r="AV853">
        <f t="shared" si="40"/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3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41"/>
        <v>-4.7099999999999991</v>
      </c>
      <c r="AU854">
        <f t="shared" si="39"/>
        <v>7.8516666666666666</v>
      </c>
      <c r="AV854">
        <f t="shared" si="40"/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3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41"/>
        <v>-4.7099999999999991</v>
      </c>
      <c r="AU855">
        <f t="shared" si="39"/>
        <v>7.8516666666666666</v>
      </c>
      <c r="AV855">
        <f t="shared" si="40"/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3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41"/>
        <v>-4.7099999999999991</v>
      </c>
      <c r="AU856">
        <f t="shared" si="39"/>
        <v>7.8516666666666666</v>
      </c>
      <c r="AV856">
        <f t="shared" si="40"/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3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41"/>
        <v>-5.6</v>
      </c>
      <c r="AU857">
        <f t="shared" si="39"/>
        <v>7.5833333333333339</v>
      </c>
      <c r="AV857">
        <f t="shared" si="40"/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3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41"/>
        <v>-4</v>
      </c>
      <c r="AU858">
        <f t="shared" si="39"/>
        <v>7.3333333333333339</v>
      </c>
      <c r="AV858">
        <f t="shared" si="40"/>
        <v>856.4</v>
      </c>
      <c r="AY858">
        <v>1045.31</v>
      </c>
      <c r="AZ858">
        <v>17.287199999999999</v>
      </c>
      <c r="BC858" t="s">
        <v>108</v>
      </c>
    </row>
    <row r="859" spans="3:55" x14ac:dyDescent="0.3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41"/>
        <v>-4</v>
      </c>
      <c r="AU859">
        <f t="shared" si="39"/>
        <v>7.3333333333333339</v>
      </c>
      <c r="AV859">
        <f t="shared" si="40"/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3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41"/>
        <v>-4</v>
      </c>
      <c r="AU860">
        <f t="shared" si="39"/>
        <v>7.3333333333333339</v>
      </c>
      <c r="AV860">
        <f t="shared" si="40"/>
        <v>856.4</v>
      </c>
      <c r="AY860">
        <v>1044.27</v>
      </c>
      <c r="AZ860">
        <v>13.732100000000001</v>
      </c>
      <c r="BC860" t="s">
        <v>108</v>
      </c>
    </row>
    <row r="861" spans="3:55" x14ac:dyDescent="0.3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41"/>
        <v>-4</v>
      </c>
      <c r="AU861">
        <f t="shared" si="39"/>
        <v>7.3333333333333339</v>
      </c>
      <c r="AV861">
        <f t="shared" si="40"/>
        <v>856.4</v>
      </c>
      <c r="AY861">
        <v>1049</v>
      </c>
      <c r="AZ861">
        <v>17.088799999999999</v>
      </c>
      <c r="BC861" t="s">
        <v>108</v>
      </c>
    </row>
    <row r="862" spans="3:55" x14ac:dyDescent="0.3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41"/>
        <v>-4</v>
      </c>
      <c r="AU862">
        <f t="shared" si="39"/>
        <v>7.3333333333333339</v>
      </c>
      <c r="AV862">
        <f t="shared" si="40"/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3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41"/>
        <v>-4</v>
      </c>
      <c r="AU863">
        <f t="shared" si="39"/>
        <v>7.3333333333333339</v>
      </c>
      <c r="AV863">
        <f t="shared" si="40"/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3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41"/>
        <v>-4</v>
      </c>
      <c r="AU864">
        <f t="shared" si="39"/>
        <v>7.3333333333333339</v>
      </c>
      <c r="AV864">
        <f t="shared" si="40"/>
        <v>856.4</v>
      </c>
      <c r="AY864">
        <v>1077.53</v>
      </c>
      <c r="AZ864">
        <v>13.6069</v>
      </c>
      <c r="BC864" t="s">
        <v>108</v>
      </c>
    </row>
    <row r="865" spans="3:55" x14ac:dyDescent="0.3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41"/>
        <v>-4</v>
      </c>
      <c r="AU865">
        <f t="shared" si="39"/>
        <v>7.3333333333333339</v>
      </c>
      <c r="AV865">
        <f t="shared" si="40"/>
        <v>856.4</v>
      </c>
      <c r="AY865">
        <v>1052.8699999999999</v>
      </c>
      <c r="AZ865">
        <v>15.1525</v>
      </c>
      <c r="BC865" t="s">
        <v>108</v>
      </c>
    </row>
    <row r="866" spans="3:55" x14ac:dyDescent="0.3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41"/>
        <v>-4</v>
      </c>
      <c r="AU866">
        <f t="shared" si="39"/>
        <v>7.3333333333333339</v>
      </c>
      <c r="AV866">
        <f t="shared" si="40"/>
        <v>856.4</v>
      </c>
      <c r="AY866">
        <v>1075.77</v>
      </c>
      <c r="AZ866">
        <v>11.288600000000001</v>
      </c>
      <c r="BC866" t="s">
        <v>108</v>
      </c>
    </row>
    <row r="867" spans="3:55" x14ac:dyDescent="0.3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41"/>
        <v>-4</v>
      </c>
      <c r="AU867">
        <f t="shared" si="39"/>
        <v>7.3333333333333339</v>
      </c>
      <c r="AV867">
        <f t="shared" si="40"/>
        <v>856.4</v>
      </c>
      <c r="AY867">
        <v>1026.78</v>
      </c>
      <c r="AZ867">
        <v>11.357799999999999</v>
      </c>
      <c r="BC867" t="s">
        <v>108</v>
      </c>
    </row>
    <row r="868" spans="3:55" x14ac:dyDescent="0.3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41"/>
        <v>-4</v>
      </c>
      <c r="AU868">
        <f t="shared" si="39"/>
        <v>7.3333333333333339</v>
      </c>
      <c r="AV868">
        <f t="shared" si="40"/>
        <v>856.4</v>
      </c>
      <c r="AY868">
        <v>1047.5</v>
      </c>
      <c r="AZ868">
        <v>8.6065799999999992</v>
      </c>
      <c r="BC868" t="s">
        <v>108</v>
      </c>
    </row>
    <row r="869" spans="3:55" x14ac:dyDescent="0.3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41"/>
        <v>-4</v>
      </c>
      <c r="AU869">
        <f t="shared" si="39"/>
        <v>7.3333333333333339</v>
      </c>
      <c r="AV869">
        <f t="shared" si="40"/>
        <v>856.4</v>
      </c>
      <c r="AY869">
        <v>1036.1099999999999</v>
      </c>
      <c r="AZ869">
        <v>6.81332</v>
      </c>
      <c r="BC869" t="s">
        <v>108</v>
      </c>
    </row>
    <row r="870" spans="3:55" x14ac:dyDescent="0.3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41"/>
        <v>-4</v>
      </c>
      <c r="AU870">
        <f t="shared" si="39"/>
        <v>7.3333333333333339</v>
      </c>
      <c r="AV870">
        <f t="shared" si="40"/>
        <v>856.4</v>
      </c>
      <c r="AY870">
        <v>1030.44</v>
      </c>
      <c r="AZ870">
        <v>8.5865899999999993</v>
      </c>
      <c r="BC870" t="s">
        <v>108</v>
      </c>
    </row>
    <row r="871" spans="3:55" x14ac:dyDescent="0.3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41"/>
        <v>-4</v>
      </c>
      <c r="AU871">
        <f t="shared" si="39"/>
        <v>7.3333333333333339</v>
      </c>
      <c r="AV871">
        <f t="shared" si="40"/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3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41"/>
        <v>-4</v>
      </c>
      <c r="AU872">
        <f t="shared" si="39"/>
        <v>7.3333333333333339</v>
      </c>
      <c r="AV872">
        <f t="shared" si="40"/>
        <v>856.4</v>
      </c>
      <c r="AY872">
        <v>1029.2</v>
      </c>
      <c r="AZ872">
        <v>7.2576099999999997</v>
      </c>
      <c r="BC872" t="s">
        <v>108</v>
      </c>
    </row>
    <row r="873" spans="3:55" x14ac:dyDescent="0.3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41"/>
        <v>-3.7330000000000001</v>
      </c>
      <c r="AU873">
        <f t="shared" si="39"/>
        <v>7.166666666666667</v>
      </c>
      <c r="AV873">
        <f t="shared" si="40"/>
        <v>855.72800000000007</v>
      </c>
      <c r="BC873" t="s">
        <v>192</v>
      </c>
    </row>
    <row r="874" spans="3:55" x14ac:dyDescent="0.3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41"/>
        <v>-3.7330000000000001</v>
      </c>
      <c r="AU874">
        <f t="shared" si="39"/>
        <v>7.166666666666667</v>
      </c>
      <c r="AV874">
        <f t="shared" si="40"/>
        <v>855.72800000000007</v>
      </c>
      <c r="BC874" t="s">
        <v>192</v>
      </c>
    </row>
    <row r="875" spans="3:55" x14ac:dyDescent="0.3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41"/>
        <v>-3.7330000000000001</v>
      </c>
      <c r="AU875">
        <f t="shared" si="39"/>
        <v>7.166666666666667</v>
      </c>
      <c r="AV875">
        <f t="shared" si="40"/>
        <v>855.72800000000007</v>
      </c>
      <c r="BC875" t="s">
        <v>192</v>
      </c>
    </row>
    <row r="876" spans="3:55" x14ac:dyDescent="0.3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41"/>
        <v>-2.855</v>
      </c>
      <c r="AU876">
        <f t="shared" si="39"/>
        <v>6.2033333333333331</v>
      </c>
      <c r="AV876">
        <f t="shared" si="40"/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3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41"/>
        <v>-2.855</v>
      </c>
      <c r="AU877">
        <f t="shared" si="39"/>
        <v>6.2033333333333331</v>
      </c>
      <c r="AV877">
        <f t="shared" si="40"/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3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41"/>
        <v>-6.4275000000000002</v>
      </c>
      <c r="AU878">
        <f t="shared" si="39"/>
        <v>12.866666666666667</v>
      </c>
      <c r="AV878">
        <f t="shared" si="40"/>
        <v>736.71299999999997</v>
      </c>
      <c r="AW878">
        <v>92</v>
      </c>
      <c r="AX878">
        <v>1299</v>
      </c>
      <c r="BC878" t="s">
        <v>60</v>
      </c>
    </row>
    <row r="879" spans="3:55" x14ac:dyDescent="0.3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41"/>
        <v>-5.0287999999999995</v>
      </c>
      <c r="AU879">
        <f t="shared" si="39"/>
        <v>12.868333333333334</v>
      </c>
      <c r="AV879">
        <f t="shared" si="40"/>
        <v>729.1339999999999</v>
      </c>
      <c r="AW879">
        <v>100</v>
      </c>
      <c r="AX879">
        <v>1421</v>
      </c>
      <c r="BC879" t="s">
        <v>60</v>
      </c>
    </row>
    <row r="880" spans="3:55" x14ac:dyDescent="0.3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41"/>
        <v>-3.6467999999999989</v>
      </c>
      <c r="AU880">
        <f t="shared" si="39"/>
        <v>12.879999999999999</v>
      </c>
      <c r="AV880">
        <f t="shared" si="40"/>
        <v>721.69399999999996</v>
      </c>
      <c r="AW880">
        <v>96</v>
      </c>
      <c r="AX880">
        <v>1553</v>
      </c>
      <c r="BC880" t="s">
        <v>60</v>
      </c>
    </row>
    <row r="881" spans="3:55" x14ac:dyDescent="0.3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41"/>
        <v>-2.264800000000001</v>
      </c>
      <c r="AU881">
        <f t="shared" si="39"/>
        <v>12.893333333333334</v>
      </c>
      <c r="AV881">
        <f t="shared" si="40"/>
        <v>714.18499999999995</v>
      </c>
      <c r="AW881">
        <v>103</v>
      </c>
      <c r="AX881">
        <v>1399</v>
      </c>
      <c r="BC881" t="s">
        <v>60</v>
      </c>
    </row>
    <row r="882" spans="3:55" x14ac:dyDescent="0.3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41"/>
        <v>-0.85379999999999789</v>
      </c>
      <c r="AU882">
        <f t="shared" si="39"/>
        <v>12.904999999999999</v>
      </c>
      <c r="AV882">
        <f t="shared" si="40"/>
        <v>706.59100000000001</v>
      </c>
      <c r="AW882">
        <v>79</v>
      </c>
      <c r="AX882">
        <v>1068</v>
      </c>
      <c r="BC882" t="s">
        <v>60</v>
      </c>
    </row>
    <row r="883" spans="3:55" x14ac:dyDescent="0.3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41"/>
        <v>8.6440000000000001</v>
      </c>
      <c r="AU883">
        <f t="shared" si="39"/>
        <v>3.01</v>
      </c>
      <c r="AV883">
        <f t="shared" si="40"/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3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41"/>
        <v>8.6440000000000001</v>
      </c>
      <c r="AU884">
        <f t="shared" si="39"/>
        <v>3.01</v>
      </c>
      <c r="AV884">
        <f t="shared" si="40"/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3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41"/>
        <v>8.6440000000000001</v>
      </c>
      <c r="AU885">
        <f t="shared" si="39"/>
        <v>3.01</v>
      </c>
      <c r="AV885">
        <f t="shared" si="40"/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3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41"/>
        <v>8.6440000000000001</v>
      </c>
      <c r="AU886">
        <f t="shared" si="39"/>
        <v>3.01</v>
      </c>
      <c r="AV886">
        <f t="shared" si="40"/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3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41"/>
        <v>9.4407999999999994</v>
      </c>
      <c r="AU887">
        <f t="shared" si="39"/>
        <v>4.22</v>
      </c>
      <c r="AV887">
        <f t="shared" si="40"/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3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41"/>
        <v>9.4407999999999994</v>
      </c>
      <c r="AU888">
        <f t="shared" si="39"/>
        <v>4.22</v>
      </c>
      <c r="AV888">
        <f t="shared" si="40"/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3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41"/>
        <v>9.4407999999999994</v>
      </c>
      <c r="AU889">
        <f t="shared" si="39"/>
        <v>4.22</v>
      </c>
      <c r="AV889">
        <f t="shared" si="40"/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3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41"/>
        <v>9.4407999999999994</v>
      </c>
      <c r="AU890">
        <f t="shared" si="39"/>
        <v>4.22</v>
      </c>
      <c r="AV890">
        <f t="shared" si="40"/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3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41"/>
        <v>-1.8838999999999997</v>
      </c>
      <c r="AU891">
        <f t="shared" si="39"/>
        <v>5.6083333333333334</v>
      </c>
      <c r="AV891">
        <f t="shared" si="40"/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3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41"/>
        <v>-1.8838999999999997</v>
      </c>
      <c r="AU892">
        <f t="shared" si="39"/>
        <v>5.6083333333333334</v>
      </c>
      <c r="AV892">
        <f t="shared" si="40"/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3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41"/>
        <v>-1.8838999999999997</v>
      </c>
      <c r="AU893">
        <f t="shared" si="39"/>
        <v>5.6083333333333334</v>
      </c>
      <c r="AV893">
        <f t="shared" si="40"/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3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41"/>
        <v>-1.8838999999999997</v>
      </c>
      <c r="AU894">
        <f t="shared" si="39"/>
        <v>5.6083333333333334</v>
      </c>
      <c r="AV894">
        <f t="shared" si="40"/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3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41"/>
        <v>-1.8838999999999997</v>
      </c>
      <c r="AU895">
        <f t="shared" si="39"/>
        <v>5.6083333333333334</v>
      </c>
      <c r="AV895">
        <f t="shared" si="40"/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3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41"/>
        <v>-1.8838999999999997</v>
      </c>
      <c r="AU896">
        <f t="shared" si="39"/>
        <v>5.6083333333333334</v>
      </c>
      <c r="AV896">
        <f t="shared" si="40"/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3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41"/>
        <v>-1.8838999999999997</v>
      </c>
      <c r="AU897">
        <f t="shared" si="39"/>
        <v>5.6083333333333334</v>
      </c>
      <c r="AV897">
        <f t="shared" si="40"/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3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41"/>
        <v>-1.8838999999999997</v>
      </c>
      <c r="AU898">
        <f t="shared" ref="AU898:AU961" si="42">D898+J898/6+M898/3+(T898+S898)/10</f>
        <v>5.6083333333333334</v>
      </c>
      <c r="AV898">
        <f t="shared" ref="AV898:AV961" si="43"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3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44">L899+0.67*E899+0.44*P899+0.28*K899+0.22*O899+2.9*H899+1.6*F899+1.7*G899-D899</f>
        <v>-1.8838999999999997</v>
      </c>
      <c r="AU899">
        <f t="shared" si="42"/>
        <v>5.6083333333333334</v>
      </c>
      <c r="AV899">
        <f t="shared" si="43"/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3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44"/>
        <v>-1.8838999999999997</v>
      </c>
      <c r="AU900">
        <f t="shared" si="42"/>
        <v>5.6083333333333334</v>
      </c>
      <c r="AV900">
        <f t="shared" si="43"/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3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44"/>
        <v>-1.8838999999999997</v>
      </c>
      <c r="AU901">
        <f t="shared" si="42"/>
        <v>5.6083333333333334</v>
      </c>
      <c r="AV901">
        <f t="shared" si="43"/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3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44"/>
        <v>-1.8838999999999997</v>
      </c>
      <c r="AU902">
        <f t="shared" si="42"/>
        <v>5.6083333333333334</v>
      </c>
      <c r="AV902">
        <f t="shared" si="43"/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3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44"/>
        <v>-1.8838999999999997</v>
      </c>
      <c r="AU903">
        <f t="shared" si="42"/>
        <v>5.6083333333333334</v>
      </c>
      <c r="AV903">
        <f t="shared" si="43"/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3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44"/>
        <v>-1.8838999999999997</v>
      </c>
      <c r="AU904">
        <f t="shared" si="42"/>
        <v>5.6083333333333334</v>
      </c>
      <c r="AV904">
        <f t="shared" si="43"/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3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44"/>
        <v>-0.45429999999999904</v>
      </c>
      <c r="AU905">
        <f t="shared" si="42"/>
        <v>5.4416666666666664</v>
      </c>
      <c r="AV905">
        <f t="shared" si="43"/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3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44"/>
        <v>-0.45429999999999904</v>
      </c>
      <c r="AU906">
        <f t="shared" si="42"/>
        <v>5.4416666666666664</v>
      </c>
      <c r="AV906">
        <f t="shared" si="43"/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3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44"/>
        <v>-0.45429999999999904</v>
      </c>
      <c r="AU907">
        <f t="shared" si="42"/>
        <v>5.4416666666666664</v>
      </c>
      <c r="AV907">
        <f t="shared" si="43"/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3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44"/>
        <v>-0.45429999999999904</v>
      </c>
      <c r="AU908">
        <f t="shared" si="42"/>
        <v>5.4416666666666664</v>
      </c>
      <c r="AV908">
        <f t="shared" si="43"/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3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44"/>
        <v>5.3299999999999992</v>
      </c>
      <c r="AU909">
        <f t="shared" si="42"/>
        <v>5.8966666666666665</v>
      </c>
      <c r="AV909">
        <f t="shared" si="43"/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3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44"/>
        <v>5.3299999999999992</v>
      </c>
      <c r="AU910">
        <f t="shared" si="42"/>
        <v>5.8966666666666665</v>
      </c>
      <c r="AV910">
        <f t="shared" si="43"/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3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44"/>
        <v>5.3299999999999992</v>
      </c>
      <c r="AU911">
        <f t="shared" si="42"/>
        <v>5.8966666666666665</v>
      </c>
      <c r="AV911">
        <f t="shared" si="43"/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3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44"/>
        <v>5.3299999999999992</v>
      </c>
      <c r="AU912">
        <f t="shared" si="42"/>
        <v>5.8966666666666665</v>
      </c>
      <c r="AV912">
        <f t="shared" si="43"/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3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44"/>
        <v>5.3299999999999992</v>
      </c>
      <c r="AU913">
        <f t="shared" si="42"/>
        <v>5.8966666666666665</v>
      </c>
      <c r="AV913">
        <f t="shared" si="43"/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3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44"/>
        <v>5.3299999999999992</v>
      </c>
      <c r="AU914">
        <f t="shared" si="42"/>
        <v>5.8966666666666665</v>
      </c>
      <c r="AV914">
        <f t="shared" si="43"/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3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44"/>
        <v>5.3299999999999992</v>
      </c>
      <c r="AU915">
        <f t="shared" si="42"/>
        <v>5.8966666666666665</v>
      </c>
      <c r="AV915">
        <f t="shared" si="43"/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3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44"/>
        <v>1.7400000000000002</v>
      </c>
      <c r="AU916">
        <f t="shared" si="42"/>
        <v>4</v>
      </c>
      <c r="AV916">
        <f t="shared" si="43"/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3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44"/>
        <v>1.7400000000000002</v>
      </c>
      <c r="AU917">
        <f t="shared" si="42"/>
        <v>4</v>
      </c>
      <c r="AV917">
        <f t="shared" si="43"/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3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44"/>
        <v>1.7400000000000002</v>
      </c>
      <c r="AU918">
        <f t="shared" si="42"/>
        <v>4</v>
      </c>
      <c r="AV918">
        <f t="shared" si="43"/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3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44"/>
        <v>1.7400000000000002</v>
      </c>
      <c r="AU919">
        <f t="shared" si="42"/>
        <v>4</v>
      </c>
      <c r="AV919">
        <f t="shared" si="43"/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3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44"/>
        <v>1.7400000000000002</v>
      </c>
      <c r="AU920">
        <f t="shared" si="42"/>
        <v>4</v>
      </c>
      <c r="AV920">
        <f t="shared" si="43"/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3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44"/>
        <v>1.7400000000000002</v>
      </c>
      <c r="AU921">
        <f t="shared" si="42"/>
        <v>4</v>
      </c>
      <c r="AV921">
        <f t="shared" si="43"/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3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44"/>
        <v>1.7400000000000002</v>
      </c>
      <c r="AU922">
        <f t="shared" si="42"/>
        <v>4</v>
      </c>
      <c r="AV922">
        <f t="shared" si="43"/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3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44"/>
        <v>1.7400000000000002</v>
      </c>
      <c r="AU923">
        <f t="shared" si="42"/>
        <v>4</v>
      </c>
      <c r="AV923">
        <f t="shared" si="43"/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3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44"/>
        <v>0.74000000000000021</v>
      </c>
      <c r="AU924">
        <f t="shared" si="42"/>
        <v>4</v>
      </c>
      <c r="AV924">
        <f t="shared" si="43"/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3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44"/>
        <v>0.74000000000000021</v>
      </c>
      <c r="AU925">
        <f t="shared" si="42"/>
        <v>4</v>
      </c>
      <c r="AV925">
        <f t="shared" si="43"/>
        <v>846.65</v>
      </c>
      <c r="AX925">
        <v>858.43299999999999</v>
      </c>
      <c r="BC925" t="s">
        <v>108</v>
      </c>
    </row>
    <row r="926" spans="3:55" x14ac:dyDescent="0.3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44"/>
        <v>0.74000000000000021</v>
      </c>
      <c r="AU926">
        <f t="shared" si="42"/>
        <v>4</v>
      </c>
      <c r="AV926">
        <f t="shared" si="43"/>
        <v>846.65</v>
      </c>
      <c r="AX926">
        <v>845.18600000000004</v>
      </c>
      <c r="BC926" t="s">
        <v>108</v>
      </c>
    </row>
    <row r="927" spans="3:55" x14ac:dyDescent="0.3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44"/>
        <v>1.2400000000000002</v>
      </c>
      <c r="AU927">
        <f t="shared" si="42"/>
        <v>4</v>
      </c>
      <c r="AV927">
        <f t="shared" si="43"/>
        <v>841.9</v>
      </c>
      <c r="AX927">
        <v>863.524</v>
      </c>
      <c r="AZ927">
        <v>20.226099999999999</v>
      </c>
      <c r="BC927" t="s">
        <v>108</v>
      </c>
    </row>
    <row r="928" spans="3:55" x14ac:dyDescent="0.3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44"/>
        <v>1.2400000000000002</v>
      </c>
      <c r="AU928">
        <f t="shared" si="42"/>
        <v>4</v>
      </c>
      <c r="AV928">
        <f t="shared" si="43"/>
        <v>841.9</v>
      </c>
      <c r="AX928">
        <v>872.68399999999997</v>
      </c>
      <c r="BC928" t="s">
        <v>108</v>
      </c>
    </row>
    <row r="929" spans="3:55" x14ac:dyDescent="0.3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44"/>
        <v>1.2400000000000002</v>
      </c>
      <c r="AU929">
        <f t="shared" si="42"/>
        <v>4</v>
      </c>
      <c r="AV929">
        <f t="shared" si="43"/>
        <v>841.9</v>
      </c>
      <c r="AX929">
        <v>862.91300000000001</v>
      </c>
      <c r="BC929" t="s">
        <v>108</v>
      </c>
    </row>
    <row r="930" spans="3:55" x14ac:dyDescent="0.3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44"/>
        <v>5.3500000000000005</v>
      </c>
      <c r="AU930">
        <f t="shared" si="42"/>
        <v>0.33333333333333331</v>
      </c>
      <c r="AV930">
        <f t="shared" si="43"/>
        <v>867.2</v>
      </c>
      <c r="AW930">
        <v>76</v>
      </c>
    </row>
    <row r="931" spans="3:55" x14ac:dyDescent="0.3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44"/>
        <v>6.6000000000000005</v>
      </c>
      <c r="AU931">
        <f t="shared" si="42"/>
        <v>0.33333333333333331</v>
      </c>
      <c r="AV931">
        <f t="shared" si="43"/>
        <v>857.7</v>
      </c>
      <c r="AW931">
        <v>73</v>
      </c>
    </row>
    <row r="932" spans="3:55" x14ac:dyDescent="0.3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44"/>
        <v>4.4800000000000004</v>
      </c>
      <c r="AU932">
        <f t="shared" si="42"/>
        <v>1.4</v>
      </c>
      <c r="AV932">
        <f t="shared" si="43"/>
        <v>874.43999999999994</v>
      </c>
      <c r="AW932">
        <v>47</v>
      </c>
    </row>
    <row r="933" spans="3:55" x14ac:dyDescent="0.3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44"/>
        <v>4.0980000000000008</v>
      </c>
      <c r="AU933">
        <f t="shared" si="42"/>
        <v>1.5166666666666666</v>
      </c>
      <c r="AV933">
        <f t="shared" si="43"/>
        <v>889.41</v>
      </c>
      <c r="AW933">
        <v>48.1</v>
      </c>
    </row>
    <row r="934" spans="3:55" x14ac:dyDescent="0.3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44"/>
        <v>4.508</v>
      </c>
      <c r="AU934">
        <f t="shared" si="42"/>
        <v>1.4</v>
      </c>
      <c r="AV934">
        <f t="shared" si="43"/>
        <v>874.43999999999994</v>
      </c>
      <c r="AW934">
        <v>47</v>
      </c>
    </row>
    <row r="935" spans="3:55" x14ac:dyDescent="0.3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44"/>
        <v>-5.8415999999999997</v>
      </c>
      <c r="AU935">
        <f t="shared" si="42"/>
        <v>7.5333333333333332</v>
      </c>
      <c r="AV935">
        <f t="shared" si="43"/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3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44"/>
        <v>-5.8963999999999999</v>
      </c>
      <c r="AU936">
        <f t="shared" si="42"/>
        <v>7.5333333333333332</v>
      </c>
      <c r="AV936">
        <f t="shared" si="43"/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3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44"/>
        <v>13.6058</v>
      </c>
      <c r="AU937">
        <f t="shared" si="42"/>
        <v>0.80833333333333346</v>
      </c>
      <c r="AV937">
        <f t="shared" si="43"/>
        <v>813.73099999999999</v>
      </c>
      <c r="AW937">
        <v>81</v>
      </c>
      <c r="AX937">
        <v>588</v>
      </c>
      <c r="BC937" t="s">
        <v>60</v>
      </c>
    </row>
    <row r="938" spans="3:55" x14ac:dyDescent="0.3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44"/>
        <v>29.94</v>
      </c>
      <c r="AU938">
        <f t="shared" si="42"/>
        <v>3.5</v>
      </c>
      <c r="AV938">
        <f t="shared" si="43"/>
        <v>547.1</v>
      </c>
      <c r="AW938">
        <v>153</v>
      </c>
      <c r="AX938">
        <v>1390</v>
      </c>
      <c r="BC938" t="s">
        <v>60</v>
      </c>
    </row>
    <row r="939" spans="3:55" x14ac:dyDescent="0.3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44"/>
        <v>7.1700000000000017</v>
      </c>
      <c r="AU939">
        <f t="shared" si="42"/>
        <v>1</v>
      </c>
      <c r="AV939">
        <f t="shared" si="43"/>
        <v>805.2</v>
      </c>
      <c r="AW939">
        <v>71.2</v>
      </c>
      <c r="AX939">
        <v>849</v>
      </c>
      <c r="BC939" t="s">
        <v>60</v>
      </c>
    </row>
    <row r="940" spans="3:55" x14ac:dyDescent="0.3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44"/>
        <v>-0.8725000000000005</v>
      </c>
      <c r="AU940">
        <f t="shared" si="42"/>
        <v>10.14</v>
      </c>
      <c r="AV940">
        <f t="shared" si="43"/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3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44"/>
        <v>8.64</v>
      </c>
      <c r="AU941">
        <f t="shared" si="42"/>
        <v>5.333333333333333</v>
      </c>
      <c r="AV941">
        <f t="shared" si="43"/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3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44"/>
        <v>8.64</v>
      </c>
      <c r="AU942">
        <f t="shared" si="42"/>
        <v>5.333333333333333</v>
      </c>
      <c r="AV942">
        <f t="shared" si="43"/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3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44"/>
        <v>8.64</v>
      </c>
      <c r="AU943">
        <f t="shared" si="42"/>
        <v>5.333333333333333</v>
      </c>
      <c r="AV943">
        <f t="shared" si="43"/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3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44"/>
        <v>12.0062</v>
      </c>
      <c r="AU944">
        <f t="shared" si="42"/>
        <v>3.1666666666666665</v>
      </c>
      <c r="AV944">
        <f t="shared" si="43"/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3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44"/>
        <v>12.0062</v>
      </c>
      <c r="AU945">
        <f t="shared" si="42"/>
        <v>3.1666666666666665</v>
      </c>
      <c r="AV945">
        <f t="shared" si="43"/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3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44"/>
        <v>12.0062</v>
      </c>
      <c r="AU946">
        <f t="shared" si="42"/>
        <v>3.1666666666666665</v>
      </c>
      <c r="AV946">
        <f t="shared" si="43"/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3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44"/>
        <v>12.0062</v>
      </c>
      <c r="AU947">
        <f t="shared" si="42"/>
        <v>3.1666666666666665</v>
      </c>
      <c r="AV947">
        <f t="shared" si="43"/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3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44"/>
        <v>12.0062</v>
      </c>
      <c r="AU948">
        <f t="shared" si="42"/>
        <v>3.1666666666666665</v>
      </c>
      <c r="AV948">
        <f t="shared" si="43"/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3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44"/>
        <v>12.0062</v>
      </c>
      <c r="AU949">
        <f t="shared" si="42"/>
        <v>3.1666666666666665</v>
      </c>
      <c r="AV949">
        <f t="shared" si="43"/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3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44"/>
        <v>7.8579000000000008</v>
      </c>
      <c r="AU950">
        <f t="shared" si="42"/>
        <v>5.2816666666666663</v>
      </c>
      <c r="AV950">
        <f t="shared" si="43"/>
        <v>744.16000000000008</v>
      </c>
      <c r="BB950" t="s">
        <v>353</v>
      </c>
      <c r="BC950" t="s">
        <v>198</v>
      </c>
    </row>
    <row r="951" spans="3:55" x14ac:dyDescent="0.3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44"/>
        <v>7.8579000000000008</v>
      </c>
      <c r="AU951">
        <f t="shared" si="42"/>
        <v>5.2816666666666663</v>
      </c>
      <c r="AV951">
        <f t="shared" si="43"/>
        <v>744.16000000000008</v>
      </c>
      <c r="BB951" t="s">
        <v>353</v>
      </c>
      <c r="BC951" t="s">
        <v>198</v>
      </c>
    </row>
    <row r="952" spans="3:55" x14ac:dyDescent="0.3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44"/>
        <v>7.8579000000000008</v>
      </c>
      <c r="AU952">
        <f t="shared" si="42"/>
        <v>5.2816666666666663</v>
      </c>
      <c r="AV952">
        <f t="shared" si="43"/>
        <v>744.16000000000008</v>
      </c>
      <c r="BB952" t="s">
        <v>353</v>
      </c>
      <c r="BC952" t="s">
        <v>198</v>
      </c>
    </row>
    <row r="953" spans="3:55" x14ac:dyDescent="0.3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44"/>
        <v>7.8579000000000008</v>
      </c>
      <c r="AU953">
        <f t="shared" si="42"/>
        <v>5.2816666666666663</v>
      </c>
      <c r="AV953">
        <f t="shared" si="43"/>
        <v>744.16000000000008</v>
      </c>
      <c r="BB953" t="s">
        <v>353</v>
      </c>
      <c r="BC953" t="s">
        <v>198</v>
      </c>
    </row>
    <row r="954" spans="3:55" x14ac:dyDescent="0.3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44"/>
        <v>7.8579000000000008</v>
      </c>
      <c r="AU954">
        <f t="shared" si="42"/>
        <v>5.2816666666666663</v>
      </c>
      <c r="AV954">
        <f t="shared" si="43"/>
        <v>744.16000000000008</v>
      </c>
      <c r="BB954" t="s">
        <v>353</v>
      </c>
      <c r="BC954" t="s">
        <v>198</v>
      </c>
    </row>
    <row r="955" spans="3:55" x14ac:dyDescent="0.3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44"/>
        <v>7.8579000000000008</v>
      </c>
      <c r="AU955">
        <f t="shared" si="42"/>
        <v>5.2816666666666663</v>
      </c>
      <c r="AV955">
        <f t="shared" si="43"/>
        <v>744.16000000000008</v>
      </c>
      <c r="BB955" t="s">
        <v>353</v>
      </c>
      <c r="BC955" t="s">
        <v>198</v>
      </c>
    </row>
    <row r="956" spans="3:55" x14ac:dyDescent="0.3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44"/>
        <v>8.9664999999999999</v>
      </c>
      <c r="AU956">
        <f t="shared" si="42"/>
        <v>5.5716666666666663</v>
      </c>
      <c r="AV956">
        <f t="shared" si="43"/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3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44"/>
        <v>8.9664999999999999</v>
      </c>
      <c r="AU957">
        <f t="shared" si="42"/>
        <v>5.5716666666666663</v>
      </c>
      <c r="AV957">
        <f t="shared" si="43"/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3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44"/>
        <v>8.9664999999999999</v>
      </c>
      <c r="AU958">
        <f t="shared" si="42"/>
        <v>5.5716666666666663</v>
      </c>
      <c r="AV958">
        <f t="shared" si="43"/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3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44"/>
        <v>8.9664999999999999</v>
      </c>
      <c r="AU959">
        <f t="shared" si="42"/>
        <v>5.5716666666666663</v>
      </c>
      <c r="AV959">
        <f t="shared" si="43"/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3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44"/>
        <v>8.9664999999999999</v>
      </c>
      <c r="AU960">
        <f t="shared" si="42"/>
        <v>5.5716666666666663</v>
      </c>
      <c r="AV960">
        <f t="shared" si="43"/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3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44"/>
        <v>8.9664999999999999</v>
      </c>
      <c r="AU961">
        <f t="shared" si="42"/>
        <v>5.5716666666666663</v>
      </c>
      <c r="AV961">
        <f t="shared" si="43"/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3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44"/>
        <v>8.9664999999999999</v>
      </c>
      <c r="AU962">
        <f t="shared" ref="AU962:AU1025" si="45">D962+J962/6+M962/3+(T962+S962)/10</f>
        <v>5.5716666666666663</v>
      </c>
      <c r="AV962">
        <f t="shared" ref="AV962:AV1025" si="46"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3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47">L963+0.67*E963+0.44*P963+0.28*K963+0.22*O963+2.9*H963+1.6*F963+1.7*G963-D963</f>
        <v>8.9664999999999999</v>
      </c>
      <c r="AU963">
        <f t="shared" si="45"/>
        <v>5.5716666666666663</v>
      </c>
      <c r="AV963">
        <f t="shared" si="46"/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3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47"/>
        <v>8.9664999999999999</v>
      </c>
      <c r="AU964">
        <f t="shared" si="45"/>
        <v>5.5716666666666663</v>
      </c>
      <c r="AV964">
        <f t="shared" si="46"/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3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47"/>
        <v>8.9664999999999999</v>
      </c>
      <c r="AU965">
        <f t="shared" si="45"/>
        <v>5.5716666666666663</v>
      </c>
      <c r="AV965">
        <f t="shared" si="46"/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3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47"/>
        <v>8.9664999999999999</v>
      </c>
      <c r="AU966">
        <f t="shared" si="45"/>
        <v>5.5716666666666663</v>
      </c>
      <c r="AV966">
        <f t="shared" si="46"/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3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47"/>
        <v>8.9664999999999999</v>
      </c>
      <c r="AU967">
        <f t="shared" si="45"/>
        <v>5.5716666666666663</v>
      </c>
      <c r="AV967">
        <f t="shared" si="46"/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3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47"/>
        <v>8.9664999999999999</v>
      </c>
      <c r="AU968">
        <f t="shared" si="45"/>
        <v>5.5716666666666663</v>
      </c>
      <c r="AV968">
        <f t="shared" si="46"/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3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47"/>
        <v>8.9664999999999999</v>
      </c>
      <c r="AU969">
        <f t="shared" si="45"/>
        <v>5.5716666666666663</v>
      </c>
      <c r="AV969">
        <f t="shared" si="46"/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3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47"/>
        <v>8.9664999999999999</v>
      </c>
      <c r="AU970">
        <f t="shared" si="45"/>
        <v>5.5716666666666663</v>
      </c>
      <c r="AV970">
        <f t="shared" si="46"/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3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47"/>
        <v>8.9664999999999999</v>
      </c>
      <c r="AU971">
        <f t="shared" si="45"/>
        <v>5.5716666666666663</v>
      </c>
      <c r="AV971">
        <f t="shared" si="46"/>
        <v>734.59799999999996</v>
      </c>
      <c r="AX971">
        <v>1158.93</v>
      </c>
      <c r="AY971">
        <v>1196.83</v>
      </c>
      <c r="BC971" t="s">
        <v>108</v>
      </c>
    </row>
    <row r="972" spans="3:55" x14ac:dyDescent="0.3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47"/>
        <v>8.9664999999999999</v>
      </c>
      <c r="AU972">
        <f t="shared" si="45"/>
        <v>5.5716666666666663</v>
      </c>
      <c r="AV972">
        <f t="shared" si="46"/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3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47"/>
        <v>8.9664999999999999</v>
      </c>
      <c r="AU973">
        <f t="shared" si="45"/>
        <v>5.5716666666666663</v>
      </c>
      <c r="AV973">
        <f t="shared" si="46"/>
        <v>734.59799999999996</v>
      </c>
      <c r="AX973">
        <v>1263.77</v>
      </c>
      <c r="AY973">
        <v>1316.93</v>
      </c>
      <c r="BC973" t="s">
        <v>108</v>
      </c>
    </row>
    <row r="974" spans="3:55" x14ac:dyDescent="0.3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47"/>
        <v>8.9664999999999999</v>
      </c>
      <c r="AU974">
        <f t="shared" si="45"/>
        <v>5.5716666666666663</v>
      </c>
      <c r="AV974">
        <f t="shared" si="46"/>
        <v>734.59799999999996</v>
      </c>
      <c r="AX974">
        <v>1239.08</v>
      </c>
      <c r="AY974">
        <v>1268.04</v>
      </c>
      <c r="BC974" t="s">
        <v>108</v>
      </c>
    </row>
    <row r="975" spans="3:55" x14ac:dyDescent="0.3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47"/>
        <v>8.9664999999999999</v>
      </c>
      <c r="AU975">
        <f t="shared" si="45"/>
        <v>5.5716666666666663</v>
      </c>
      <c r="AV975">
        <f t="shared" si="46"/>
        <v>734.59799999999996</v>
      </c>
      <c r="AX975">
        <v>1105.5</v>
      </c>
      <c r="AY975">
        <v>1153.17</v>
      </c>
      <c r="BC975" t="s">
        <v>108</v>
      </c>
    </row>
    <row r="976" spans="3:55" x14ac:dyDescent="0.3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47"/>
        <v>8.9664999999999999</v>
      </c>
      <c r="AU976">
        <f t="shared" si="45"/>
        <v>5.5716666666666663</v>
      </c>
      <c r="AV976">
        <f t="shared" si="46"/>
        <v>734.59799999999996</v>
      </c>
      <c r="AX976">
        <v>1155.2</v>
      </c>
      <c r="AY976">
        <v>1193.55</v>
      </c>
      <c r="BC976" t="s">
        <v>108</v>
      </c>
    </row>
    <row r="977" spans="3:55" x14ac:dyDescent="0.3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47"/>
        <v>8.9664999999999999</v>
      </c>
      <c r="AU977">
        <f t="shared" si="45"/>
        <v>5.5716666666666663</v>
      </c>
      <c r="AV977">
        <f t="shared" si="46"/>
        <v>734.59799999999996</v>
      </c>
      <c r="AX977">
        <v>1209.2</v>
      </c>
      <c r="AY977">
        <v>1246.83</v>
      </c>
      <c r="BC977" t="s">
        <v>108</v>
      </c>
    </row>
    <row r="978" spans="3:55" x14ac:dyDescent="0.3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47"/>
        <v>8.9664999999999999</v>
      </c>
      <c r="AU978">
        <f t="shared" si="45"/>
        <v>5.5716666666666663</v>
      </c>
      <c r="AV978">
        <f t="shared" si="46"/>
        <v>734.59799999999996</v>
      </c>
      <c r="AX978">
        <v>1182.56</v>
      </c>
      <c r="AY978">
        <v>1234.52</v>
      </c>
      <c r="BC978" t="s">
        <v>108</v>
      </c>
    </row>
    <row r="979" spans="3:55" x14ac:dyDescent="0.3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47"/>
        <v>8.9664999999999999</v>
      </c>
      <c r="AU979">
        <f t="shared" si="45"/>
        <v>5.5716666666666663</v>
      </c>
      <c r="AV979">
        <f t="shared" si="46"/>
        <v>734.59799999999996</v>
      </c>
      <c r="AX979">
        <v>1133.33</v>
      </c>
      <c r="AY979">
        <v>1179.21</v>
      </c>
      <c r="BC979" t="s">
        <v>108</v>
      </c>
    </row>
    <row r="980" spans="3:55" x14ac:dyDescent="0.3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47"/>
        <v>8.9664999999999999</v>
      </c>
      <c r="AU980">
        <f t="shared" si="45"/>
        <v>5.5716666666666663</v>
      </c>
      <c r="AV980">
        <f t="shared" si="46"/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3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47"/>
        <v>-3.4950000000000001</v>
      </c>
      <c r="AU981">
        <f t="shared" si="45"/>
        <v>5.4450000000000003</v>
      </c>
      <c r="AV981">
        <f t="shared" si="46"/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3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47"/>
        <v>-3.4950000000000001</v>
      </c>
      <c r="AU982">
        <f t="shared" si="45"/>
        <v>5.4450000000000003</v>
      </c>
      <c r="AV982">
        <f t="shared" si="46"/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3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47"/>
        <v>-3.4950000000000001</v>
      </c>
      <c r="AU983">
        <f t="shared" si="45"/>
        <v>5.4450000000000003</v>
      </c>
      <c r="AV983">
        <f t="shared" si="46"/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3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47"/>
        <v>-3.8559999999999999</v>
      </c>
      <c r="AU984">
        <f t="shared" si="45"/>
        <v>6.3816666666666668</v>
      </c>
      <c r="AV984">
        <f t="shared" si="46"/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3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47"/>
        <v>-3.8559999999999999</v>
      </c>
      <c r="AU985">
        <f t="shared" si="45"/>
        <v>6.3816666666666668</v>
      </c>
      <c r="AV985">
        <f t="shared" si="46"/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3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47"/>
        <v>-3.8559999999999999</v>
      </c>
      <c r="AU986">
        <f t="shared" si="45"/>
        <v>6.3816666666666668</v>
      </c>
      <c r="AV986">
        <f t="shared" si="46"/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3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47"/>
        <v>9.9273000000000025</v>
      </c>
      <c r="AU987">
        <f t="shared" si="45"/>
        <v>5.0599999999999996</v>
      </c>
      <c r="AV987">
        <f t="shared" si="46"/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3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47"/>
        <v>9.9273000000000025</v>
      </c>
      <c r="AU988">
        <f t="shared" si="45"/>
        <v>5.0599999999999996</v>
      </c>
      <c r="AV988">
        <f t="shared" si="46"/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3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47"/>
        <v>9.9273000000000025</v>
      </c>
      <c r="AU989">
        <f t="shared" si="45"/>
        <v>5.0599999999999996</v>
      </c>
      <c r="AV989">
        <f t="shared" si="46"/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3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47"/>
        <v>9.9273000000000025</v>
      </c>
      <c r="AU990">
        <f t="shared" si="45"/>
        <v>5.0599999999999996</v>
      </c>
      <c r="AV990">
        <f t="shared" si="46"/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3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47"/>
        <v>-4.92</v>
      </c>
      <c r="AU991">
        <f t="shared" si="45"/>
        <v>8.5</v>
      </c>
      <c r="AV991">
        <f t="shared" si="46"/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3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47"/>
        <v>-4.92</v>
      </c>
      <c r="AU992">
        <f t="shared" si="45"/>
        <v>8.8333333333333339</v>
      </c>
      <c r="AV992">
        <f t="shared" si="46"/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3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47"/>
        <v>-4.92</v>
      </c>
      <c r="AU993">
        <f t="shared" si="45"/>
        <v>9.1666666666666661</v>
      </c>
      <c r="AV993">
        <f t="shared" si="46"/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3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47"/>
        <v>4.6500000000000004</v>
      </c>
      <c r="AU994">
        <f t="shared" si="45"/>
        <v>2.0833333333333335</v>
      </c>
      <c r="AV994">
        <f t="shared" si="46"/>
        <v>822.09999999999991</v>
      </c>
      <c r="AW994">
        <v>49</v>
      </c>
    </row>
    <row r="995" spans="3:55" x14ac:dyDescent="0.3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47"/>
        <v>4.9020000000000001</v>
      </c>
      <c r="AU995">
        <f t="shared" si="45"/>
        <v>1.8833333333333335</v>
      </c>
      <c r="AV995">
        <f t="shared" si="46"/>
        <v>862.53</v>
      </c>
      <c r="AW995">
        <v>46</v>
      </c>
    </row>
    <row r="996" spans="3:55" x14ac:dyDescent="0.3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47"/>
        <v>5.2579999999999991</v>
      </c>
      <c r="AU996">
        <f t="shared" si="45"/>
        <v>1.0833333333333333</v>
      </c>
      <c r="AV996">
        <f t="shared" si="46"/>
        <v>867.44999999999993</v>
      </c>
      <c r="AW996">
        <v>47.3</v>
      </c>
    </row>
    <row r="997" spans="3:55" x14ac:dyDescent="0.3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47"/>
        <v>4.6500000000000004</v>
      </c>
      <c r="AU997">
        <f t="shared" si="45"/>
        <v>2.0833333333333335</v>
      </c>
      <c r="AV997">
        <f t="shared" si="46"/>
        <v>822.09999999999991</v>
      </c>
      <c r="AW997">
        <v>49</v>
      </c>
    </row>
    <row r="998" spans="3:55" x14ac:dyDescent="0.3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47"/>
        <v>4.9020000000000001</v>
      </c>
      <c r="AU998">
        <f t="shared" si="45"/>
        <v>1.8499999999999999</v>
      </c>
      <c r="AV998">
        <f t="shared" si="46"/>
        <v>862.11</v>
      </c>
      <c r="AW998">
        <v>46</v>
      </c>
    </row>
    <row r="999" spans="3:55" x14ac:dyDescent="0.3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47"/>
        <v>-5.8704000000000001</v>
      </c>
      <c r="AU999">
        <f t="shared" si="45"/>
        <v>7.5333333333333332</v>
      </c>
      <c r="AV999">
        <f t="shared" si="46"/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3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47"/>
        <v>-0.8136000000000001</v>
      </c>
      <c r="AU1000">
        <f t="shared" si="45"/>
        <v>7.5016666666666669</v>
      </c>
      <c r="AV1000">
        <f t="shared" si="46"/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3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47"/>
        <v>-0.8136000000000001</v>
      </c>
      <c r="AU1001">
        <f t="shared" si="45"/>
        <v>7.5016666666666669</v>
      </c>
      <c r="AV1001">
        <f t="shared" si="46"/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3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47"/>
        <v>-0.8136000000000001</v>
      </c>
      <c r="AU1002">
        <f t="shared" si="45"/>
        <v>7.5016666666666669</v>
      </c>
      <c r="AV1002">
        <f t="shared" si="46"/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3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47"/>
        <v>-0.8136000000000001</v>
      </c>
      <c r="AU1003">
        <f t="shared" si="45"/>
        <v>7.5016666666666669</v>
      </c>
      <c r="AV1003">
        <f t="shared" si="46"/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3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47"/>
        <v>-0.8136000000000001</v>
      </c>
      <c r="AU1004">
        <f t="shared" si="45"/>
        <v>7.5016666666666669</v>
      </c>
      <c r="AV1004">
        <f t="shared" si="46"/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3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47"/>
        <v>-0.8136000000000001</v>
      </c>
      <c r="AU1005">
        <f t="shared" si="45"/>
        <v>7.5016666666666669</v>
      </c>
      <c r="AV1005">
        <f t="shared" si="46"/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3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47"/>
        <v>-0.8136000000000001</v>
      </c>
      <c r="AU1006">
        <f t="shared" si="45"/>
        <v>7.5016666666666669</v>
      </c>
      <c r="AV1006">
        <f t="shared" si="46"/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3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47"/>
        <v>-0.8136000000000001</v>
      </c>
      <c r="AU1007">
        <f t="shared" si="45"/>
        <v>7.5016666666666669</v>
      </c>
      <c r="AV1007">
        <f t="shared" si="46"/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3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47"/>
        <v>-0.8136000000000001</v>
      </c>
      <c r="AU1008">
        <f t="shared" si="45"/>
        <v>7.5016666666666669</v>
      </c>
      <c r="AV1008">
        <f t="shared" si="46"/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3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47"/>
        <v>-0.8136000000000001</v>
      </c>
      <c r="AU1009">
        <f t="shared" si="45"/>
        <v>7.5016666666666669</v>
      </c>
      <c r="AV1009">
        <f t="shared" si="46"/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3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47"/>
        <v>-0.8136000000000001</v>
      </c>
      <c r="AU1010">
        <f t="shared" si="45"/>
        <v>7.5016666666666669</v>
      </c>
      <c r="AV1010">
        <f t="shared" si="46"/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3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47"/>
        <v>-0.8136000000000001</v>
      </c>
      <c r="AU1011">
        <f t="shared" si="45"/>
        <v>7.5016666666666669</v>
      </c>
      <c r="AV1011">
        <f t="shared" si="46"/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3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47"/>
        <v>-0.8136000000000001</v>
      </c>
      <c r="AU1012">
        <f t="shared" si="45"/>
        <v>7.5016666666666669</v>
      </c>
      <c r="AV1012">
        <f t="shared" si="46"/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3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47"/>
        <v>-3.9999999999999147E-2</v>
      </c>
      <c r="AU1013">
        <f t="shared" si="45"/>
        <v>7</v>
      </c>
      <c r="AV1013">
        <f t="shared" si="46"/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3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47"/>
        <v>-3.9999999999999147E-2</v>
      </c>
      <c r="AU1014">
        <f t="shared" si="45"/>
        <v>7</v>
      </c>
      <c r="AV1014">
        <f t="shared" si="46"/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3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47"/>
        <v>-3.9999999999999147E-2</v>
      </c>
      <c r="AU1015">
        <f t="shared" si="45"/>
        <v>7</v>
      </c>
      <c r="AV1015">
        <f t="shared" si="46"/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3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47"/>
        <v>-3.9999999999999147E-2</v>
      </c>
      <c r="AU1016">
        <f t="shared" si="45"/>
        <v>7</v>
      </c>
      <c r="AV1016">
        <f t="shared" si="46"/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3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47"/>
        <v>-3.9999999999999147E-2</v>
      </c>
      <c r="AU1017">
        <f t="shared" si="45"/>
        <v>7</v>
      </c>
      <c r="AV1017">
        <f t="shared" si="46"/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3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47"/>
        <v>-3.9999999999999147E-2</v>
      </c>
      <c r="AU1018">
        <f t="shared" si="45"/>
        <v>7</v>
      </c>
      <c r="AV1018">
        <f t="shared" si="46"/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3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47"/>
        <v>-3.9999999999999147E-2</v>
      </c>
      <c r="AU1019">
        <f t="shared" si="45"/>
        <v>7</v>
      </c>
      <c r="AV1019">
        <f t="shared" si="46"/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3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47"/>
        <v>-0.11479999999999979</v>
      </c>
      <c r="AU1020">
        <f t="shared" si="45"/>
        <v>7.3233333333333333</v>
      </c>
      <c r="AV1020">
        <f t="shared" si="46"/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3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47"/>
        <v>-0.11479999999999979</v>
      </c>
      <c r="AU1021">
        <f t="shared" si="45"/>
        <v>7.3233333333333333</v>
      </c>
      <c r="AV1021">
        <f t="shared" si="46"/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3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47"/>
        <v>-0.11479999999999979</v>
      </c>
      <c r="AU1022">
        <f t="shared" si="45"/>
        <v>7.3233333333333333</v>
      </c>
      <c r="AV1022">
        <f t="shared" si="46"/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3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47"/>
        <v>-0.11479999999999979</v>
      </c>
      <c r="AU1023">
        <f t="shared" si="45"/>
        <v>7.3233333333333333</v>
      </c>
      <c r="AV1023">
        <f t="shared" si="46"/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3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47"/>
        <v>-0.11479999999999979</v>
      </c>
      <c r="AU1024">
        <f t="shared" si="45"/>
        <v>7.3233333333333333</v>
      </c>
      <c r="AV1024">
        <f t="shared" si="46"/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3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47"/>
        <v>-0.11479999999999979</v>
      </c>
      <c r="AU1025">
        <f t="shared" si="45"/>
        <v>7.3233333333333333</v>
      </c>
      <c r="AV1025">
        <f t="shared" si="46"/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3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47"/>
        <v>-0.11479999999999979</v>
      </c>
      <c r="AU1026">
        <f t="shared" ref="AU1026:AU1066" si="48">D1026+J1026/6+M1026/3+(T1026+S1026)/10</f>
        <v>7.3233333333333333</v>
      </c>
      <c r="AV1026">
        <f t="shared" ref="AV1026:AV1089" si="49"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3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50">L1027+0.67*E1027+0.44*P1027+0.28*K1027+0.22*O1027+2.9*H1027+1.6*F1027+1.7*G1027-D1027</f>
        <v>-0.11479999999999979</v>
      </c>
      <c r="AU1027">
        <f t="shared" si="48"/>
        <v>7.3233333333333333</v>
      </c>
      <c r="AV1027">
        <f t="shared" si="49"/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3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50"/>
        <v>-0.11479999999999979</v>
      </c>
      <c r="AU1028">
        <f t="shared" si="48"/>
        <v>7.3233333333333333</v>
      </c>
      <c r="AV1028">
        <f t="shared" si="49"/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3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50"/>
        <v>-0.34120000000000061</v>
      </c>
      <c r="AU1029">
        <f t="shared" si="48"/>
        <v>7.1483333333333325</v>
      </c>
      <c r="AV1029">
        <f t="shared" si="49"/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3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50"/>
        <v>-0.34120000000000061</v>
      </c>
      <c r="AU1030">
        <f t="shared" si="48"/>
        <v>7.1483333333333325</v>
      </c>
      <c r="AV1030">
        <f t="shared" si="49"/>
        <v>844.25799999999992</v>
      </c>
      <c r="AY1030">
        <v>1145</v>
      </c>
      <c r="AZ1030">
        <v>12.5</v>
      </c>
      <c r="BC1030" t="s">
        <v>206</v>
      </c>
    </row>
    <row r="1031" spans="3:55" x14ac:dyDescent="0.3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50"/>
        <v>8.6266999999999996</v>
      </c>
      <c r="AU1031">
        <f t="shared" si="48"/>
        <v>5.3933333333333335</v>
      </c>
      <c r="AV1031">
        <f t="shared" si="49"/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3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50"/>
        <v>8.6266999999999996</v>
      </c>
      <c r="AU1032">
        <f t="shared" si="48"/>
        <v>5.3933333333333335</v>
      </c>
      <c r="AV1032">
        <f t="shared" si="49"/>
        <v>740.51100000000008</v>
      </c>
      <c r="AY1032">
        <v>1158</v>
      </c>
      <c r="AZ1032">
        <v>17.3</v>
      </c>
      <c r="BC1032" t="s">
        <v>207</v>
      </c>
    </row>
    <row r="1033" spans="3:55" x14ac:dyDescent="0.3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50"/>
        <v>8.6266999999999996</v>
      </c>
      <c r="AU1033">
        <f t="shared" si="48"/>
        <v>5.3933333333333335</v>
      </c>
      <c r="AV1033">
        <f t="shared" si="49"/>
        <v>740.51100000000008</v>
      </c>
      <c r="AY1033">
        <v>1156</v>
      </c>
      <c r="AZ1033">
        <v>15.7</v>
      </c>
      <c r="BC1033" t="s">
        <v>207</v>
      </c>
    </row>
    <row r="1034" spans="3:55" x14ac:dyDescent="0.3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50"/>
        <v>8.6266999999999996</v>
      </c>
      <c r="AU1034">
        <f t="shared" si="48"/>
        <v>5.3933333333333335</v>
      </c>
      <c r="AV1034">
        <f t="shared" si="49"/>
        <v>740.51100000000008</v>
      </c>
      <c r="AY1034">
        <v>1150</v>
      </c>
      <c r="AZ1034">
        <v>14.9</v>
      </c>
      <c r="BC1034" t="s">
        <v>207</v>
      </c>
    </row>
    <row r="1035" spans="3:55" x14ac:dyDescent="0.3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50"/>
        <v>8.6266999999999996</v>
      </c>
      <c r="AU1035">
        <f t="shared" si="48"/>
        <v>5.3933333333333335</v>
      </c>
      <c r="AV1035">
        <f t="shared" si="49"/>
        <v>740.51100000000008</v>
      </c>
      <c r="AY1035">
        <v>1176</v>
      </c>
      <c r="AZ1035">
        <v>13.8</v>
      </c>
      <c r="BC1035" t="s">
        <v>207</v>
      </c>
    </row>
    <row r="1036" spans="3:55" x14ac:dyDescent="0.3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50"/>
        <v>8.6266999999999996</v>
      </c>
      <c r="AU1036">
        <f t="shared" si="48"/>
        <v>5.3933333333333335</v>
      </c>
      <c r="AV1036">
        <f t="shared" si="49"/>
        <v>740.51100000000008</v>
      </c>
      <c r="AY1036">
        <v>1037</v>
      </c>
      <c r="AZ1036">
        <v>13.8</v>
      </c>
      <c r="BC1036" t="s">
        <v>207</v>
      </c>
    </row>
    <row r="1037" spans="3:55" x14ac:dyDescent="0.3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50"/>
        <v>8.6266999999999996</v>
      </c>
      <c r="AU1037">
        <f t="shared" si="48"/>
        <v>5.3933333333333335</v>
      </c>
      <c r="AV1037">
        <f t="shared" si="49"/>
        <v>740.51100000000008</v>
      </c>
      <c r="AY1037">
        <v>1357</v>
      </c>
      <c r="AZ1037">
        <v>13.1</v>
      </c>
      <c r="BC1037" t="s">
        <v>207</v>
      </c>
    </row>
    <row r="1038" spans="3:55" x14ac:dyDescent="0.3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50"/>
        <v>8.6266999999999996</v>
      </c>
      <c r="AU1038">
        <f t="shared" si="48"/>
        <v>5.3933333333333335</v>
      </c>
      <c r="AV1038">
        <f t="shared" si="49"/>
        <v>740.51100000000008</v>
      </c>
      <c r="AY1038">
        <v>1311</v>
      </c>
      <c r="AZ1038">
        <v>15.7</v>
      </c>
      <c r="BC1038" t="s">
        <v>207</v>
      </c>
    </row>
    <row r="1039" spans="3:55" x14ac:dyDescent="0.3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50"/>
        <v>8.6266999999999996</v>
      </c>
      <c r="AU1039">
        <f t="shared" si="48"/>
        <v>5.3933333333333335</v>
      </c>
      <c r="AV1039">
        <f t="shared" si="49"/>
        <v>740.51100000000008</v>
      </c>
      <c r="AY1039">
        <v>1311</v>
      </c>
      <c r="AZ1039">
        <v>16.7</v>
      </c>
      <c r="BC1039" t="s">
        <v>207</v>
      </c>
    </row>
    <row r="1040" spans="3:55" x14ac:dyDescent="0.3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50"/>
        <v>8.6266999999999996</v>
      </c>
      <c r="AU1040">
        <f t="shared" si="48"/>
        <v>5.3933333333333335</v>
      </c>
      <c r="AV1040">
        <f t="shared" si="49"/>
        <v>740.51100000000008</v>
      </c>
      <c r="AY1040">
        <v>1342</v>
      </c>
      <c r="AZ1040">
        <v>14</v>
      </c>
      <c r="BC1040" t="s">
        <v>207</v>
      </c>
    </row>
    <row r="1041" spans="3:55" x14ac:dyDescent="0.3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50"/>
        <v>8.6266999999999996</v>
      </c>
      <c r="AU1041">
        <f t="shared" si="48"/>
        <v>5.3933333333333335</v>
      </c>
      <c r="AV1041">
        <f t="shared" si="49"/>
        <v>740.51100000000008</v>
      </c>
      <c r="AY1041">
        <v>1365</v>
      </c>
      <c r="AZ1041">
        <v>11.6</v>
      </c>
      <c r="BC1041" t="s">
        <v>207</v>
      </c>
    </row>
    <row r="1042" spans="3:55" x14ac:dyDescent="0.3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50"/>
        <v>8.6266999999999996</v>
      </c>
      <c r="AU1042">
        <f t="shared" si="48"/>
        <v>5.3933333333333335</v>
      </c>
      <c r="AV1042">
        <f t="shared" si="49"/>
        <v>740.51100000000008</v>
      </c>
      <c r="AY1042">
        <v>1356</v>
      </c>
      <c r="AZ1042">
        <v>9.4</v>
      </c>
      <c r="BC1042" t="s">
        <v>207</v>
      </c>
    </row>
    <row r="1043" spans="3:55" x14ac:dyDescent="0.3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50"/>
        <v>4.6728999999999994</v>
      </c>
      <c r="AU1043">
        <f t="shared" si="48"/>
        <v>4.8641666666666667</v>
      </c>
      <c r="AV1043">
        <f t="shared" si="49"/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3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50"/>
        <v>4.6728999999999994</v>
      </c>
      <c r="AU1044">
        <f t="shared" si="48"/>
        <v>4.8641666666666667</v>
      </c>
      <c r="AV1044">
        <f t="shared" si="49"/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3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50"/>
        <v>5.0260000000000016</v>
      </c>
      <c r="AU1045">
        <f t="shared" si="48"/>
        <v>6.3649999999999993</v>
      </c>
      <c r="AV1045">
        <f t="shared" si="49"/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3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50"/>
        <v>5.0170000000000021</v>
      </c>
      <c r="AU1046">
        <f t="shared" si="48"/>
        <v>6.2783333333333333</v>
      </c>
      <c r="AV1046">
        <f t="shared" si="49"/>
        <v>803.03500000000008</v>
      </c>
      <c r="BC1046" t="s">
        <v>212</v>
      </c>
    </row>
    <row r="1047" spans="3:55" x14ac:dyDescent="0.3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50"/>
        <v>5.0170000000000021</v>
      </c>
      <c r="AU1047">
        <f t="shared" si="48"/>
        <v>6.2783333333333333</v>
      </c>
      <c r="AV1047">
        <f t="shared" si="49"/>
        <v>803.03500000000008</v>
      </c>
      <c r="BC1047" t="s">
        <v>212</v>
      </c>
    </row>
    <row r="1048" spans="3:55" x14ac:dyDescent="0.3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50"/>
        <v>5.0170000000000021</v>
      </c>
      <c r="AU1048">
        <f t="shared" si="48"/>
        <v>6.2783333333333333</v>
      </c>
      <c r="AV1048">
        <f t="shared" si="49"/>
        <v>803.03500000000008</v>
      </c>
      <c r="BC1048" t="s">
        <v>212</v>
      </c>
    </row>
    <row r="1049" spans="3:55" x14ac:dyDescent="0.3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50"/>
        <v>5.0170000000000021</v>
      </c>
      <c r="AU1049">
        <f t="shared" si="48"/>
        <v>6.2783333333333333</v>
      </c>
      <c r="AV1049">
        <f t="shared" si="49"/>
        <v>803.03500000000008</v>
      </c>
      <c r="BC1049" t="s">
        <v>212</v>
      </c>
    </row>
    <row r="1050" spans="3:55" x14ac:dyDescent="0.3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50"/>
        <v>0.64330000000000087</v>
      </c>
      <c r="AU1050">
        <f t="shared" si="48"/>
        <v>6.9249999999999989</v>
      </c>
      <c r="AV1050">
        <f t="shared" si="49"/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3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50"/>
        <v>0.64330000000000087</v>
      </c>
      <c r="AU1051">
        <f t="shared" si="48"/>
        <v>6.9249999999999989</v>
      </c>
      <c r="AV1051">
        <f t="shared" si="49"/>
        <v>821.65800000000002</v>
      </c>
      <c r="BC1051" t="s">
        <v>213</v>
      </c>
    </row>
    <row r="1052" spans="3:55" x14ac:dyDescent="0.3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50"/>
        <v>0.64330000000000087</v>
      </c>
      <c r="AU1052">
        <f t="shared" si="48"/>
        <v>6.9249999999999989</v>
      </c>
      <c r="AV1052">
        <f t="shared" si="49"/>
        <v>821.65800000000002</v>
      </c>
      <c r="BC1052" t="s">
        <v>213</v>
      </c>
    </row>
    <row r="1053" spans="3:55" x14ac:dyDescent="0.3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50"/>
        <v>0.64330000000000087</v>
      </c>
      <c r="AU1053">
        <f t="shared" si="48"/>
        <v>6.9249999999999989</v>
      </c>
      <c r="AV1053">
        <f t="shared" si="49"/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3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50"/>
        <v>-5.7835999999999999</v>
      </c>
      <c r="AU1054">
        <f t="shared" si="48"/>
        <v>7.5333333333333332</v>
      </c>
      <c r="AV1054">
        <f t="shared" si="49"/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3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50"/>
        <v>6.5639000000000003</v>
      </c>
      <c r="AU1055">
        <f t="shared" si="48"/>
        <v>5.3549999999999995</v>
      </c>
      <c r="AV1055">
        <f t="shared" si="49"/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3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50"/>
        <v>6.5639000000000003</v>
      </c>
      <c r="AU1056">
        <f t="shared" si="48"/>
        <v>5.3549999999999995</v>
      </c>
      <c r="AV1056">
        <f t="shared" si="49"/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3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50"/>
        <v>6.5639000000000003</v>
      </c>
      <c r="AU1057">
        <f t="shared" si="48"/>
        <v>5.3549999999999995</v>
      </c>
      <c r="AV1057">
        <f t="shared" si="49"/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3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50"/>
        <v>0</v>
      </c>
      <c r="AU1058">
        <f t="shared" si="48"/>
        <v>0</v>
      </c>
      <c r="AV1058">
        <f t="shared" si="49"/>
        <v>882</v>
      </c>
      <c r="AY1058">
        <v>260</v>
      </c>
      <c r="AZ1058">
        <v>71.5</v>
      </c>
      <c r="BC1058" t="s">
        <v>50</v>
      </c>
    </row>
    <row r="1059" spans="3:55" x14ac:dyDescent="0.3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50"/>
        <v>1.0444</v>
      </c>
      <c r="AU1059">
        <f t="shared" si="48"/>
        <v>0</v>
      </c>
      <c r="AV1059">
        <f t="shared" si="49"/>
        <v>882</v>
      </c>
      <c r="BC1059" t="s">
        <v>59</v>
      </c>
    </row>
    <row r="1060" spans="3:55" x14ac:dyDescent="0.3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50"/>
        <v>1.0248000000000002</v>
      </c>
      <c r="AU1060">
        <f t="shared" si="48"/>
        <v>0</v>
      </c>
      <c r="AV1060">
        <f t="shared" si="49"/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3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50"/>
        <v>0.99960000000000004</v>
      </c>
      <c r="AU1061">
        <f t="shared" si="48"/>
        <v>0</v>
      </c>
      <c r="AV1061">
        <f t="shared" si="49"/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3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50"/>
        <v>1.0248000000000002</v>
      </c>
      <c r="AU1062">
        <f t="shared" si="48"/>
        <v>0</v>
      </c>
      <c r="AV1062">
        <f t="shared" si="49"/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3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50"/>
        <v>15</v>
      </c>
      <c r="AU1063">
        <f t="shared" si="48"/>
        <v>0</v>
      </c>
      <c r="AV1063">
        <f t="shared" si="49"/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3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50"/>
        <v>-5.73</v>
      </c>
      <c r="AU1064">
        <f t="shared" si="48"/>
        <v>5.73</v>
      </c>
      <c r="AV1064">
        <f t="shared" si="49"/>
        <v>894.03300000000002</v>
      </c>
      <c r="BC1064" t="s">
        <v>78</v>
      </c>
    </row>
    <row r="1065" spans="3:55" x14ac:dyDescent="0.3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50"/>
        <v>-5.96</v>
      </c>
      <c r="AU1065">
        <f t="shared" si="48"/>
        <v>5.96</v>
      </c>
      <c r="AV1065">
        <f t="shared" si="49"/>
        <v>894.51599999999996</v>
      </c>
      <c r="AY1065">
        <v>684</v>
      </c>
      <c r="AZ1065">
        <v>19.5</v>
      </c>
      <c r="BC1065" t="s">
        <v>50</v>
      </c>
    </row>
    <row r="1066" spans="3:55" x14ac:dyDescent="0.3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50"/>
        <v>11.508000000000001</v>
      </c>
      <c r="AU1066">
        <f t="shared" si="48"/>
        <v>1.1833333333333333</v>
      </c>
      <c r="AV1066">
        <f t="shared" si="49"/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3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50"/>
        <v>15.64</v>
      </c>
      <c r="AU1067">
        <f t="shared" ref="AU1067:AU1130" si="51">D1067+J1067/6+M1067/3+(T1067+S1067)/10</f>
        <v>0</v>
      </c>
      <c r="AV1067">
        <f t="shared" si="49"/>
        <v>768</v>
      </c>
      <c r="AY1067">
        <v>1111</v>
      </c>
      <c r="AZ1067">
        <v>6.3</v>
      </c>
      <c r="BC1067" t="s">
        <v>113</v>
      </c>
    </row>
    <row r="1068" spans="3:55" x14ac:dyDescent="0.3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50"/>
        <v>14.24</v>
      </c>
      <c r="AU1068">
        <f t="shared" si="51"/>
        <v>0</v>
      </c>
      <c r="AV1068">
        <f t="shared" si="49"/>
        <v>768</v>
      </c>
      <c r="AY1068">
        <v>716</v>
      </c>
      <c r="AZ1068">
        <v>33</v>
      </c>
      <c r="BC1068" t="s">
        <v>94</v>
      </c>
    </row>
    <row r="1069" spans="3:55" x14ac:dyDescent="0.3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50"/>
        <v>-5.0616000000000003</v>
      </c>
      <c r="AU1069">
        <f t="shared" si="51"/>
        <v>5.91</v>
      </c>
      <c r="AV1069">
        <f t="shared" si="49"/>
        <v>894.41100000000006</v>
      </c>
      <c r="BC1069" t="s">
        <v>78</v>
      </c>
    </row>
    <row r="1070" spans="3:55" x14ac:dyDescent="0.3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50"/>
        <v>-3.7300000000000004</v>
      </c>
      <c r="AU1070">
        <f t="shared" si="51"/>
        <v>5.73</v>
      </c>
      <c r="AV1070">
        <f t="shared" si="49"/>
        <v>875.03300000000002</v>
      </c>
      <c r="BC1070" t="s">
        <v>78</v>
      </c>
    </row>
    <row r="1071" spans="3:55" x14ac:dyDescent="0.3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50"/>
        <v>17.899999999999999</v>
      </c>
      <c r="AU1071">
        <f t="shared" si="51"/>
        <v>0</v>
      </c>
      <c r="AV1071">
        <f t="shared" si="49"/>
        <v>724.1</v>
      </c>
      <c r="AX1071">
        <v>845</v>
      </c>
      <c r="BC1071" t="s">
        <v>70</v>
      </c>
    </row>
    <row r="1072" spans="3:55" x14ac:dyDescent="0.3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50"/>
        <v>11.006</v>
      </c>
      <c r="AU1072">
        <f t="shared" si="51"/>
        <v>1.1833333333333333</v>
      </c>
      <c r="AV1072">
        <f t="shared" si="49"/>
        <v>833.01</v>
      </c>
      <c r="AY1072">
        <v>550</v>
      </c>
      <c r="AZ1072">
        <v>21</v>
      </c>
      <c r="BC1072" t="s">
        <v>84</v>
      </c>
    </row>
    <row r="1073" spans="3:55" x14ac:dyDescent="0.3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50"/>
        <v>-3.1990000000000003</v>
      </c>
      <c r="AU1073">
        <f t="shared" si="51"/>
        <v>6.12</v>
      </c>
      <c r="AV1073">
        <f t="shared" si="49"/>
        <v>845.548</v>
      </c>
      <c r="BC1073" t="s">
        <v>126</v>
      </c>
    </row>
    <row r="1074" spans="3:55" x14ac:dyDescent="0.3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50"/>
        <v>-3.1990000000000003</v>
      </c>
      <c r="AU1074">
        <f t="shared" si="51"/>
        <v>6.12</v>
      </c>
      <c r="AV1074">
        <f t="shared" si="49"/>
        <v>845.548</v>
      </c>
      <c r="BC1074" t="s">
        <v>126</v>
      </c>
    </row>
    <row r="1075" spans="3:55" x14ac:dyDescent="0.3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50"/>
        <v>-3.1990000000000003</v>
      </c>
      <c r="AU1075">
        <f t="shared" si="51"/>
        <v>6.12</v>
      </c>
      <c r="AV1075">
        <f t="shared" si="49"/>
        <v>845.548</v>
      </c>
      <c r="BC1075" t="s">
        <v>126</v>
      </c>
    </row>
    <row r="1076" spans="3:55" x14ac:dyDescent="0.3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50"/>
        <v>-3.1990000000000003</v>
      </c>
      <c r="AU1076">
        <f t="shared" si="51"/>
        <v>6.12</v>
      </c>
      <c r="AV1076">
        <f t="shared" si="49"/>
        <v>845.548</v>
      </c>
      <c r="BC1076" t="s">
        <v>126</v>
      </c>
    </row>
    <row r="1077" spans="3:55" x14ac:dyDescent="0.3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50"/>
        <v>-3.1990000000000003</v>
      </c>
      <c r="AU1077">
        <f t="shared" si="51"/>
        <v>6.12</v>
      </c>
      <c r="AV1077">
        <f t="shared" si="49"/>
        <v>845.548</v>
      </c>
      <c r="BC1077" t="s">
        <v>126</v>
      </c>
    </row>
    <row r="1078" spans="3:55" x14ac:dyDescent="0.3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50"/>
        <v>-3.1990000000000003</v>
      </c>
      <c r="AU1078">
        <f t="shared" si="51"/>
        <v>6.12</v>
      </c>
      <c r="AV1078">
        <f t="shared" si="49"/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3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50"/>
        <v>-3.1990000000000003</v>
      </c>
      <c r="AU1079">
        <f t="shared" si="51"/>
        <v>6.12</v>
      </c>
      <c r="AV1079">
        <f t="shared" si="49"/>
        <v>845.548</v>
      </c>
      <c r="BC1079" t="s">
        <v>126</v>
      </c>
    </row>
    <row r="1080" spans="3:55" x14ac:dyDescent="0.3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50"/>
        <v>-3.1990000000000003</v>
      </c>
      <c r="AU1080">
        <f t="shared" si="51"/>
        <v>6.12</v>
      </c>
      <c r="AV1080">
        <f t="shared" si="49"/>
        <v>845.548</v>
      </c>
      <c r="BC1080" t="s">
        <v>126</v>
      </c>
    </row>
    <row r="1081" spans="3:55" x14ac:dyDescent="0.3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50"/>
        <v>-3.1990000000000003</v>
      </c>
      <c r="AU1081">
        <f t="shared" si="51"/>
        <v>6.12</v>
      </c>
      <c r="AV1081">
        <f t="shared" si="49"/>
        <v>845.548</v>
      </c>
      <c r="BC1081" t="s">
        <v>126</v>
      </c>
    </row>
    <row r="1082" spans="3:55" x14ac:dyDescent="0.3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50"/>
        <v>-3.1990000000000003</v>
      </c>
      <c r="AU1082">
        <f t="shared" si="51"/>
        <v>6.12</v>
      </c>
      <c r="AV1082">
        <f t="shared" si="49"/>
        <v>845.548</v>
      </c>
      <c r="BC1082" t="s">
        <v>126</v>
      </c>
    </row>
    <row r="1083" spans="3:55" x14ac:dyDescent="0.3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50"/>
        <v>-3.1990000000000003</v>
      </c>
      <c r="AU1083">
        <f t="shared" si="51"/>
        <v>6.12</v>
      </c>
      <c r="AV1083">
        <f t="shared" si="49"/>
        <v>845.548</v>
      </c>
      <c r="BC1083" t="s">
        <v>126</v>
      </c>
    </row>
    <row r="1084" spans="3:55" x14ac:dyDescent="0.3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50"/>
        <v>-3.1990000000000003</v>
      </c>
      <c r="AU1084">
        <f t="shared" si="51"/>
        <v>6.12</v>
      </c>
      <c r="AV1084">
        <f t="shared" si="49"/>
        <v>845.548</v>
      </c>
      <c r="BC1084" t="s">
        <v>126</v>
      </c>
    </row>
    <row r="1085" spans="3:55" x14ac:dyDescent="0.3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50"/>
        <v>-3.1990000000000003</v>
      </c>
      <c r="AU1085">
        <f t="shared" si="51"/>
        <v>6.12</v>
      </c>
      <c r="AV1085">
        <f t="shared" si="49"/>
        <v>845.548</v>
      </c>
      <c r="BC1085" t="s">
        <v>126</v>
      </c>
    </row>
    <row r="1086" spans="3:55" x14ac:dyDescent="0.3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50"/>
        <v>-3.1990000000000003</v>
      </c>
      <c r="AU1086">
        <f t="shared" si="51"/>
        <v>6.12</v>
      </c>
      <c r="AV1086">
        <f t="shared" si="49"/>
        <v>845.548</v>
      </c>
      <c r="BC1086" t="s">
        <v>126</v>
      </c>
    </row>
    <row r="1087" spans="3:55" x14ac:dyDescent="0.3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50"/>
        <v>-3.1990000000000003</v>
      </c>
      <c r="AU1087">
        <f t="shared" si="51"/>
        <v>6.12</v>
      </c>
      <c r="AV1087">
        <f t="shared" si="49"/>
        <v>845.548</v>
      </c>
      <c r="BC1087" t="s">
        <v>126</v>
      </c>
    </row>
    <row r="1088" spans="3:55" x14ac:dyDescent="0.3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50"/>
        <v>-3.1990000000000003</v>
      </c>
      <c r="AU1088">
        <f t="shared" si="51"/>
        <v>6.12</v>
      </c>
      <c r="AV1088">
        <f t="shared" si="49"/>
        <v>845.548</v>
      </c>
      <c r="BC1088" t="s">
        <v>126</v>
      </c>
    </row>
    <row r="1089" spans="3:55" x14ac:dyDescent="0.3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50"/>
        <v>-3.1990000000000003</v>
      </c>
      <c r="AU1089">
        <f t="shared" si="51"/>
        <v>6.12</v>
      </c>
      <c r="AV1089">
        <f t="shared" si="49"/>
        <v>845.548</v>
      </c>
      <c r="BC1089" t="s">
        <v>126</v>
      </c>
    </row>
    <row r="1090" spans="3:55" x14ac:dyDescent="0.3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50"/>
        <v>-3.1990000000000003</v>
      </c>
      <c r="AU1090">
        <f t="shared" si="51"/>
        <v>6.12</v>
      </c>
      <c r="AV1090">
        <f t="shared" ref="AV1090:AV1153" si="52">882+2.1*D1090-9.5*L1090+4.2*M1090-6.9*J1090-11.8*E1090-12.1*F1090-15.4*H1090+23.3*Q1090+123*T1090</f>
        <v>845.548</v>
      </c>
      <c r="BC1090" t="s">
        <v>126</v>
      </c>
    </row>
    <row r="1091" spans="3:55" x14ac:dyDescent="0.3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53">L1091+0.67*E1091+0.44*P1091+0.28*K1091+0.22*O1091+2.9*H1091+1.6*F1091+1.7*G1091-D1091</f>
        <v>-3.3337999999999997</v>
      </c>
      <c r="AU1091">
        <f t="shared" si="51"/>
        <v>6.2</v>
      </c>
      <c r="AV1091">
        <f t="shared" si="52"/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3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53"/>
        <v>-3.3337999999999997</v>
      </c>
      <c r="AU1092">
        <f t="shared" si="51"/>
        <v>6.2</v>
      </c>
      <c r="AV1092">
        <f t="shared" si="52"/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3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53"/>
        <v>-3.3337999999999997</v>
      </c>
      <c r="AU1093">
        <f t="shared" si="51"/>
        <v>6.2</v>
      </c>
      <c r="AV1093">
        <f t="shared" si="52"/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3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53"/>
        <v>-3.3337999999999997</v>
      </c>
      <c r="AU1094">
        <f t="shared" si="51"/>
        <v>6.2</v>
      </c>
      <c r="AV1094">
        <f t="shared" si="52"/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3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53"/>
        <v>6.7200000000000006</v>
      </c>
      <c r="AU1095">
        <f t="shared" si="51"/>
        <v>3.333333333333333</v>
      </c>
      <c r="AV1095">
        <f t="shared" si="52"/>
        <v>888</v>
      </c>
      <c r="AY1095">
        <v>870</v>
      </c>
      <c r="AZ1095">
        <v>10</v>
      </c>
      <c r="BC1095" t="s">
        <v>132</v>
      </c>
    </row>
    <row r="1096" spans="3:55" x14ac:dyDescent="0.3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53"/>
        <v>6.7200000000000006</v>
      </c>
      <c r="AU1096">
        <f t="shared" si="51"/>
        <v>3.333333333333333</v>
      </c>
      <c r="AV1096">
        <f t="shared" si="52"/>
        <v>888</v>
      </c>
      <c r="AY1096">
        <v>990</v>
      </c>
      <c r="AZ1096">
        <v>9</v>
      </c>
      <c r="BC1096" t="s">
        <v>132</v>
      </c>
    </row>
    <row r="1097" spans="3:55" x14ac:dyDescent="0.3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53"/>
        <v>-2</v>
      </c>
      <c r="AU1097">
        <f t="shared" si="51"/>
        <v>3.5</v>
      </c>
      <c r="AV1097">
        <f t="shared" si="52"/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3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53"/>
        <v>-2</v>
      </c>
      <c r="AU1098">
        <f t="shared" si="51"/>
        <v>3.5</v>
      </c>
      <c r="AV1098">
        <f t="shared" si="52"/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3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53"/>
        <v>-2</v>
      </c>
      <c r="AU1099">
        <f t="shared" si="51"/>
        <v>3.5</v>
      </c>
      <c r="AV1099">
        <f t="shared" si="52"/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3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53"/>
        <v>-3.1799999999999997</v>
      </c>
      <c r="AU1100">
        <f t="shared" si="51"/>
        <v>6</v>
      </c>
      <c r="AV1100">
        <f t="shared" si="52"/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3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53"/>
        <v>-3.1799999999999997</v>
      </c>
      <c r="AU1101">
        <f t="shared" si="51"/>
        <v>6</v>
      </c>
      <c r="AV1101">
        <f t="shared" si="52"/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3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53"/>
        <v>-3.1799999999999997</v>
      </c>
      <c r="AU1102">
        <f t="shared" si="51"/>
        <v>6</v>
      </c>
      <c r="AV1102">
        <f t="shared" si="52"/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3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53"/>
        <v>-3.1799999999999997</v>
      </c>
      <c r="AU1103">
        <f t="shared" si="51"/>
        <v>6</v>
      </c>
      <c r="AV1103">
        <f t="shared" si="52"/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3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53"/>
        <v>-3.1799999999999997</v>
      </c>
      <c r="AU1104">
        <f t="shared" si="51"/>
        <v>6</v>
      </c>
      <c r="AV1104">
        <f t="shared" si="52"/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3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53"/>
        <v>-3.1799999999999997</v>
      </c>
      <c r="AU1105">
        <f t="shared" si="51"/>
        <v>6</v>
      </c>
      <c r="AV1105">
        <f t="shared" si="52"/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3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53"/>
        <v>-3.1799999999999997</v>
      </c>
      <c r="AU1106">
        <f t="shared" si="51"/>
        <v>6</v>
      </c>
      <c r="AV1106">
        <f t="shared" si="52"/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3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53"/>
        <v>-3.1799999999999997</v>
      </c>
      <c r="AU1107">
        <f t="shared" si="51"/>
        <v>6</v>
      </c>
      <c r="AV1107">
        <f t="shared" si="52"/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3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53"/>
        <v>-3.1799999999999997</v>
      </c>
      <c r="AU1108">
        <f t="shared" si="51"/>
        <v>6</v>
      </c>
      <c r="AV1108">
        <f t="shared" si="52"/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3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53"/>
        <v>-3.1799999999999997</v>
      </c>
      <c r="AU1109">
        <f t="shared" si="51"/>
        <v>6</v>
      </c>
      <c r="AV1109">
        <f t="shared" si="52"/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3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53"/>
        <v>6.3480000000000008</v>
      </c>
      <c r="AU1110">
        <f t="shared" si="51"/>
        <v>5</v>
      </c>
      <c r="AV1110">
        <f t="shared" si="52"/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3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53"/>
        <v>6.3480000000000008</v>
      </c>
      <c r="AU1111">
        <f t="shared" si="51"/>
        <v>5</v>
      </c>
      <c r="AV1111">
        <f t="shared" si="52"/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3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53"/>
        <v>6.3480000000000008</v>
      </c>
      <c r="AU1112">
        <f t="shared" si="51"/>
        <v>5</v>
      </c>
      <c r="AV1112">
        <f t="shared" si="52"/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3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53"/>
        <v>6.3480000000000008</v>
      </c>
      <c r="AU1113">
        <f t="shared" si="51"/>
        <v>5</v>
      </c>
      <c r="AV1113">
        <f t="shared" si="52"/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3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53"/>
        <v>6.3480000000000008</v>
      </c>
      <c r="AU1114">
        <f t="shared" si="51"/>
        <v>5</v>
      </c>
      <c r="AV1114">
        <f t="shared" si="52"/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3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53"/>
        <v>6.3480000000000008</v>
      </c>
      <c r="AU1115">
        <f t="shared" si="51"/>
        <v>5</v>
      </c>
      <c r="AV1115">
        <f t="shared" si="52"/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3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53"/>
        <v>6.3480000000000008</v>
      </c>
      <c r="AU1116">
        <f t="shared" si="51"/>
        <v>5</v>
      </c>
      <c r="AV1116">
        <f t="shared" si="52"/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3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53"/>
        <v>6.3480000000000008</v>
      </c>
      <c r="AU1117">
        <f t="shared" si="51"/>
        <v>5</v>
      </c>
      <c r="AV1117">
        <f t="shared" si="52"/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3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53"/>
        <v>6.3480000000000008</v>
      </c>
      <c r="AU1118">
        <f t="shared" si="51"/>
        <v>5</v>
      </c>
      <c r="AV1118">
        <f t="shared" si="52"/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3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53"/>
        <v>6.3480000000000008</v>
      </c>
      <c r="AU1119">
        <f t="shared" si="51"/>
        <v>5</v>
      </c>
      <c r="AV1119">
        <f t="shared" si="52"/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3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53"/>
        <v>6.3480000000000008</v>
      </c>
      <c r="AU1120">
        <f t="shared" si="51"/>
        <v>5</v>
      </c>
      <c r="AV1120">
        <f t="shared" si="52"/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3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53"/>
        <v>6.3480000000000008</v>
      </c>
      <c r="AU1121">
        <f t="shared" si="51"/>
        <v>5</v>
      </c>
      <c r="AV1121">
        <f t="shared" si="52"/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3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53"/>
        <v>6.3480000000000008</v>
      </c>
      <c r="AU1122">
        <f t="shared" si="51"/>
        <v>5</v>
      </c>
      <c r="AV1122">
        <f t="shared" si="52"/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3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53"/>
        <v>6.3480000000000008</v>
      </c>
      <c r="AU1123">
        <f t="shared" si="51"/>
        <v>5</v>
      </c>
      <c r="AV1123">
        <f t="shared" si="52"/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3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53"/>
        <v>6.3480000000000008</v>
      </c>
      <c r="AU1124">
        <f t="shared" si="51"/>
        <v>5</v>
      </c>
      <c r="AV1124">
        <f t="shared" si="52"/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3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53"/>
        <v>6.3480000000000008</v>
      </c>
      <c r="AU1125">
        <f t="shared" si="51"/>
        <v>5</v>
      </c>
      <c r="AV1125">
        <f t="shared" si="52"/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3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53"/>
        <v>6.3480000000000008</v>
      </c>
      <c r="AU1126">
        <f t="shared" si="51"/>
        <v>5</v>
      </c>
      <c r="AV1126">
        <f t="shared" si="52"/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3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53"/>
        <v>-1.7443999999999997</v>
      </c>
      <c r="AU1127">
        <f t="shared" si="51"/>
        <v>3.1216666666666666</v>
      </c>
      <c r="AV1127">
        <f t="shared" si="52"/>
        <v>858.12800000000004</v>
      </c>
      <c r="BB1127" t="s">
        <v>322</v>
      </c>
      <c r="BC1127" t="s">
        <v>188</v>
      </c>
    </row>
    <row r="1128" spans="3:55" x14ac:dyDescent="0.3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53"/>
        <v>-1.7443999999999997</v>
      </c>
      <c r="AU1128">
        <f t="shared" si="51"/>
        <v>3.1216666666666666</v>
      </c>
      <c r="AV1128">
        <f t="shared" si="52"/>
        <v>858.12800000000004</v>
      </c>
      <c r="BB1128" t="s">
        <v>323</v>
      </c>
      <c r="BC1128" t="s">
        <v>188</v>
      </c>
    </row>
    <row r="1129" spans="3:55" x14ac:dyDescent="0.3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53"/>
        <v>-1.7443999999999997</v>
      </c>
      <c r="AU1129">
        <f t="shared" si="51"/>
        <v>3.1216666666666666</v>
      </c>
      <c r="AV1129">
        <f t="shared" si="52"/>
        <v>858.12800000000004</v>
      </c>
      <c r="BB1129" t="s">
        <v>324</v>
      </c>
      <c r="BC1129" t="s">
        <v>188</v>
      </c>
    </row>
    <row r="1130" spans="3:55" x14ac:dyDescent="0.3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53"/>
        <v>-1.7443999999999997</v>
      </c>
      <c r="AU1130">
        <f t="shared" si="51"/>
        <v>3.1216666666666666</v>
      </c>
      <c r="AV1130">
        <f t="shared" si="52"/>
        <v>858.12800000000004</v>
      </c>
      <c r="BB1130" t="s">
        <v>325</v>
      </c>
      <c r="BC1130" t="s">
        <v>188</v>
      </c>
    </row>
    <row r="1131" spans="3:55" x14ac:dyDescent="0.3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53"/>
        <v>-1.7443999999999997</v>
      </c>
      <c r="AU1131">
        <f t="shared" ref="AU1131:AU1194" si="54">D1131+J1131/6+M1131/3+(T1131+S1131)/10</f>
        <v>3.1216666666666666</v>
      </c>
      <c r="AV1131">
        <f t="shared" si="52"/>
        <v>858.12800000000004</v>
      </c>
      <c r="BB1131" t="s">
        <v>326</v>
      </c>
      <c r="BC1131" t="s">
        <v>188</v>
      </c>
    </row>
    <row r="1132" spans="3:55" x14ac:dyDescent="0.3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53"/>
        <v>-4.3144</v>
      </c>
      <c r="AU1132">
        <f t="shared" si="54"/>
        <v>6.4550000000000001</v>
      </c>
      <c r="AV1132">
        <f t="shared" si="52"/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3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53"/>
        <v>-4.3144</v>
      </c>
      <c r="AU1133">
        <f t="shared" si="54"/>
        <v>6.4550000000000001</v>
      </c>
      <c r="AV1133">
        <f t="shared" si="52"/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3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53"/>
        <v>-4.3144</v>
      </c>
      <c r="AU1134">
        <f t="shared" si="54"/>
        <v>6.4550000000000001</v>
      </c>
      <c r="AV1134">
        <f t="shared" si="52"/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3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53"/>
        <v>-4.3144</v>
      </c>
      <c r="AU1135">
        <f t="shared" si="54"/>
        <v>6.4550000000000001</v>
      </c>
      <c r="AV1135">
        <f t="shared" si="52"/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3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53"/>
        <v>-4.3144</v>
      </c>
      <c r="AU1136">
        <f t="shared" si="54"/>
        <v>6.4550000000000001</v>
      </c>
      <c r="AV1136">
        <f t="shared" si="52"/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3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53"/>
        <v>-4.3144</v>
      </c>
      <c r="AU1137">
        <f t="shared" si="54"/>
        <v>6.4550000000000001</v>
      </c>
      <c r="AV1137">
        <f t="shared" si="52"/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3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53"/>
        <v>-4.3144</v>
      </c>
      <c r="AU1138">
        <f t="shared" si="54"/>
        <v>6.4550000000000001</v>
      </c>
      <c r="AV1138">
        <f t="shared" si="52"/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3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53"/>
        <v>-4.3144</v>
      </c>
      <c r="AU1139">
        <f t="shared" si="54"/>
        <v>6.4550000000000001</v>
      </c>
      <c r="AV1139">
        <f t="shared" si="52"/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3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53"/>
        <v>-4.3144</v>
      </c>
      <c r="AU1140">
        <f t="shared" si="54"/>
        <v>6.4550000000000001</v>
      </c>
      <c r="AV1140">
        <f t="shared" si="52"/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3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53"/>
        <v>-0.66500000000000004</v>
      </c>
      <c r="AU1141">
        <f t="shared" si="54"/>
        <v>6.666666666666667</v>
      </c>
      <c r="AV1141">
        <f t="shared" si="52"/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3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53"/>
        <v>-0.66500000000000004</v>
      </c>
      <c r="AU1142">
        <f t="shared" si="54"/>
        <v>6.666666666666667</v>
      </c>
      <c r="AV1142">
        <f t="shared" si="52"/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3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53"/>
        <v>-0.66500000000000004</v>
      </c>
      <c r="AU1143">
        <f t="shared" si="54"/>
        <v>6.666666666666667</v>
      </c>
      <c r="AV1143">
        <f t="shared" si="52"/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3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53"/>
        <v>-2.8</v>
      </c>
      <c r="AU1144">
        <f t="shared" si="54"/>
        <v>6.2666666666666666</v>
      </c>
      <c r="AV1144">
        <f t="shared" si="52"/>
        <v>853.76</v>
      </c>
      <c r="BC1144" t="s">
        <v>190</v>
      </c>
    </row>
    <row r="1145" spans="3:55" x14ac:dyDescent="0.3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53"/>
        <v>-2.8</v>
      </c>
      <c r="AU1145">
        <f t="shared" si="54"/>
        <v>6.2166666666666668</v>
      </c>
      <c r="AV1145">
        <f t="shared" si="52"/>
        <v>854.03000000000009</v>
      </c>
      <c r="BC1145" t="s">
        <v>190</v>
      </c>
    </row>
    <row r="1146" spans="3:55" x14ac:dyDescent="0.3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53"/>
        <v>-2.9</v>
      </c>
      <c r="AU1146">
        <f t="shared" si="54"/>
        <v>6.4666666666666668</v>
      </c>
      <c r="AV1146">
        <f t="shared" si="52"/>
        <v>855.03</v>
      </c>
      <c r="BC1146" t="s">
        <v>190</v>
      </c>
    </row>
    <row r="1147" spans="3:55" x14ac:dyDescent="0.3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53"/>
        <v>-2.855</v>
      </c>
      <c r="AU1147">
        <f t="shared" si="54"/>
        <v>6.2033333333333331</v>
      </c>
      <c r="AV1147">
        <f t="shared" si="52"/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3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53"/>
        <v>5.3299999999999992</v>
      </c>
      <c r="AU1148">
        <f t="shared" si="54"/>
        <v>5.8966666666666665</v>
      </c>
      <c r="AV1148">
        <f t="shared" si="52"/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3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53"/>
        <v>5.3299999999999992</v>
      </c>
      <c r="AU1149">
        <f t="shared" si="54"/>
        <v>5.8966666666666665</v>
      </c>
      <c r="AV1149">
        <f t="shared" si="52"/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3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53"/>
        <v>8.2706999999999979</v>
      </c>
      <c r="AU1150">
        <f t="shared" si="54"/>
        <v>5.47</v>
      </c>
      <c r="AV1150">
        <f t="shared" si="52"/>
        <v>758.226</v>
      </c>
      <c r="AY1150">
        <v>1219.1500000000001</v>
      </c>
      <c r="AZ1150">
        <v>12.67</v>
      </c>
      <c r="BC1150" t="s">
        <v>194</v>
      </c>
    </row>
    <row r="1151" spans="3:55" x14ac:dyDescent="0.3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53"/>
        <v>8.2706999999999979</v>
      </c>
      <c r="AU1151">
        <f t="shared" si="54"/>
        <v>5.47</v>
      </c>
      <c r="AV1151">
        <f t="shared" si="52"/>
        <v>758.226</v>
      </c>
      <c r="AY1151">
        <v>1234.01</v>
      </c>
      <c r="AZ1151">
        <v>10.44</v>
      </c>
      <c r="BC1151" t="s">
        <v>194</v>
      </c>
    </row>
    <row r="1152" spans="3:55" x14ac:dyDescent="0.3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53"/>
        <v>8.2706999999999979</v>
      </c>
      <c r="AU1152">
        <f t="shared" si="54"/>
        <v>5.47</v>
      </c>
      <c r="AV1152">
        <f t="shared" si="52"/>
        <v>758.226</v>
      </c>
      <c r="AY1152">
        <v>1241.76</v>
      </c>
      <c r="AZ1152">
        <v>9.75</v>
      </c>
      <c r="BC1152" t="s">
        <v>194</v>
      </c>
    </row>
    <row r="1153" spans="3:55" x14ac:dyDescent="0.3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53"/>
        <v>8.2706999999999979</v>
      </c>
      <c r="AU1153">
        <f t="shared" si="54"/>
        <v>5.47</v>
      </c>
      <c r="AV1153">
        <f t="shared" si="52"/>
        <v>758.226</v>
      </c>
      <c r="AY1153">
        <v>1276.29</v>
      </c>
      <c r="AZ1153">
        <v>9</v>
      </c>
      <c r="BC1153" t="s">
        <v>194</v>
      </c>
    </row>
    <row r="1154" spans="3:55" x14ac:dyDescent="0.3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53"/>
        <v>8.2706999999999979</v>
      </c>
      <c r="AU1154">
        <f t="shared" si="54"/>
        <v>5.47</v>
      </c>
      <c r="AV1154">
        <f t="shared" ref="AV1154:AV1205" si="55"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3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56">L1155+0.67*E1155+0.44*P1155+0.28*K1155+0.22*O1155+2.9*H1155+1.6*F1155+1.7*G1155-D1155</f>
        <v>8.2706999999999979</v>
      </c>
      <c r="AU1155">
        <f t="shared" si="54"/>
        <v>5.47</v>
      </c>
      <c r="AV1155">
        <f t="shared" si="55"/>
        <v>758.226</v>
      </c>
      <c r="AY1155">
        <v>1362.37</v>
      </c>
      <c r="AZ1155">
        <v>4.97</v>
      </c>
      <c r="BC1155" t="s">
        <v>194</v>
      </c>
    </row>
    <row r="1156" spans="3:55" x14ac:dyDescent="0.3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56"/>
        <v>8.2706999999999979</v>
      </c>
      <c r="AU1156">
        <f t="shared" si="54"/>
        <v>5.47</v>
      </c>
      <c r="AV1156">
        <f t="shared" si="55"/>
        <v>758.226</v>
      </c>
      <c r="AY1156">
        <v>1415.95</v>
      </c>
      <c r="AZ1156">
        <v>4.38</v>
      </c>
      <c r="BC1156" t="s">
        <v>194</v>
      </c>
    </row>
    <row r="1157" spans="3:55" x14ac:dyDescent="0.3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56"/>
        <v>8.2706999999999979</v>
      </c>
      <c r="AU1157">
        <f t="shared" si="54"/>
        <v>5.47</v>
      </c>
      <c r="AV1157">
        <f t="shared" si="55"/>
        <v>758.226</v>
      </c>
      <c r="AY1157">
        <v>1436.27</v>
      </c>
      <c r="AZ1157">
        <v>3.46</v>
      </c>
      <c r="BC1157" t="s">
        <v>194</v>
      </c>
    </row>
    <row r="1158" spans="3:55" x14ac:dyDescent="0.3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56"/>
        <v>8.2706999999999979</v>
      </c>
      <c r="AU1158">
        <f t="shared" si="54"/>
        <v>5.47</v>
      </c>
      <c r="AV1158">
        <f t="shared" si="55"/>
        <v>758.226</v>
      </c>
      <c r="AY1158">
        <v>1446.05</v>
      </c>
      <c r="AZ1158">
        <v>3.27</v>
      </c>
      <c r="BC1158" t="s">
        <v>194</v>
      </c>
    </row>
    <row r="1159" spans="3:55" x14ac:dyDescent="0.3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56"/>
        <v>8.2706999999999979</v>
      </c>
      <c r="AU1159">
        <f t="shared" si="54"/>
        <v>5.47</v>
      </c>
      <c r="AV1159">
        <f t="shared" si="55"/>
        <v>758.226</v>
      </c>
      <c r="AY1159">
        <v>1454.21</v>
      </c>
      <c r="AZ1159">
        <v>3.54</v>
      </c>
      <c r="BC1159" t="s">
        <v>194</v>
      </c>
    </row>
    <row r="1160" spans="3:55" x14ac:dyDescent="0.3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56"/>
        <v>8.2706999999999979</v>
      </c>
      <c r="AU1160">
        <f t="shared" si="54"/>
        <v>5.47</v>
      </c>
      <c r="AV1160">
        <f t="shared" si="55"/>
        <v>758.226</v>
      </c>
      <c r="AY1160">
        <v>1460.74</v>
      </c>
      <c r="AZ1160">
        <v>3.58</v>
      </c>
      <c r="BC1160" t="s">
        <v>194</v>
      </c>
    </row>
    <row r="1161" spans="3:55" x14ac:dyDescent="0.3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56"/>
        <v>8.2706999999999979</v>
      </c>
      <c r="AU1161">
        <f t="shared" si="54"/>
        <v>5.47</v>
      </c>
      <c r="AV1161">
        <f t="shared" si="55"/>
        <v>758.226</v>
      </c>
      <c r="AY1161">
        <v>1460.8</v>
      </c>
      <c r="AZ1161">
        <v>3.31</v>
      </c>
      <c r="BC1161" t="s">
        <v>194</v>
      </c>
    </row>
    <row r="1162" spans="3:55" x14ac:dyDescent="0.3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56"/>
        <v>8.2706999999999979</v>
      </c>
      <c r="AU1162">
        <f t="shared" si="54"/>
        <v>5.47</v>
      </c>
      <c r="AV1162">
        <f t="shared" si="55"/>
        <v>758.226</v>
      </c>
      <c r="AY1162">
        <v>1469.76</v>
      </c>
      <c r="AZ1162">
        <v>3.53</v>
      </c>
      <c r="BC1162" t="s">
        <v>194</v>
      </c>
    </row>
    <row r="1163" spans="3:55" x14ac:dyDescent="0.3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56"/>
        <v>8.2706999999999979</v>
      </c>
      <c r="AU1163">
        <f t="shared" si="54"/>
        <v>5.47</v>
      </c>
      <c r="AV1163">
        <f t="shared" si="55"/>
        <v>758.226</v>
      </c>
      <c r="AY1163">
        <v>1473.05</v>
      </c>
      <c r="AZ1163">
        <v>3.41</v>
      </c>
      <c r="BC1163" t="s">
        <v>194</v>
      </c>
    </row>
    <row r="1164" spans="3:55" x14ac:dyDescent="0.3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56"/>
        <v>8.2706999999999979</v>
      </c>
      <c r="AU1164">
        <f t="shared" si="54"/>
        <v>5.47</v>
      </c>
      <c r="AV1164">
        <f t="shared" si="55"/>
        <v>758.226</v>
      </c>
      <c r="AY1164">
        <v>1482.83</v>
      </c>
      <c r="AZ1164">
        <v>3.3</v>
      </c>
      <c r="BC1164" t="s">
        <v>194</v>
      </c>
    </row>
    <row r="1165" spans="3:55" x14ac:dyDescent="0.3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56"/>
        <v>8.2706999999999979</v>
      </c>
      <c r="AU1165">
        <f t="shared" si="54"/>
        <v>5.47</v>
      </c>
      <c r="AV1165">
        <f t="shared" si="55"/>
        <v>758.226</v>
      </c>
      <c r="AY1165">
        <v>1492.81</v>
      </c>
      <c r="AZ1165">
        <v>3.32</v>
      </c>
      <c r="BC1165" t="s">
        <v>194</v>
      </c>
    </row>
    <row r="1166" spans="3:55" x14ac:dyDescent="0.3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56"/>
        <v>8.2706999999999979</v>
      </c>
      <c r="AU1166">
        <f t="shared" si="54"/>
        <v>5.47</v>
      </c>
      <c r="AV1166">
        <f t="shared" si="55"/>
        <v>758.226</v>
      </c>
      <c r="AY1166">
        <v>1056.45</v>
      </c>
      <c r="AZ1166">
        <v>13.14</v>
      </c>
      <c r="BC1166" t="s">
        <v>194</v>
      </c>
    </row>
    <row r="1167" spans="3:55" x14ac:dyDescent="0.3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56"/>
        <v>8.2706999999999979</v>
      </c>
      <c r="AU1167">
        <f t="shared" si="54"/>
        <v>5.47</v>
      </c>
      <c r="AV1167">
        <f t="shared" si="55"/>
        <v>758.226</v>
      </c>
      <c r="AY1167">
        <v>1113</v>
      </c>
      <c r="AZ1167">
        <v>12.59</v>
      </c>
      <c r="BC1167" t="s">
        <v>194</v>
      </c>
    </row>
    <row r="1168" spans="3:55" x14ac:dyDescent="0.3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56"/>
        <v>8.2706999999999979</v>
      </c>
      <c r="AU1168">
        <f t="shared" si="54"/>
        <v>5.47</v>
      </c>
      <c r="AV1168">
        <f t="shared" si="55"/>
        <v>758.226</v>
      </c>
      <c r="AY1168">
        <v>1160.26</v>
      </c>
      <c r="AZ1168">
        <v>11.55</v>
      </c>
      <c r="BC1168" t="s">
        <v>194</v>
      </c>
    </row>
    <row r="1169" spans="3:55" x14ac:dyDescent="0.3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56"/>
        <v>8.2706999999999979</v>
      </c>
      <c r="AU1169">
        <f t="shared" si="54"/>
        <v>5.47</v>
      </c>
      <c r="AV1169">
        <f t="shared" si="55"/>
        <v>758.226</v>
      </c>
      <c r="AY1169">
        <v>1200.71</v>
      </c>
      <c r="AZ1169">
        <v>10.38</v>
      </c>
      <c r="BC1169" t="s">
        <v>194</v>
      </c>
    </row>
    <row r="1170" spans="3:55" x14ac:dyDescent="0.3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56"/>
        <v>8.2706999999999979</v>
      </c>
      <c r="AU1170">
        <f t="shared" si="54"/>
        <v>5.47</v>
      </c>
      <c r="AV1170">
        <f t="shared" si="55"/>
        <v>758.226</v>
      </c>
      <c r="AY1170">
        <v>1251.8499999999999</v>
      </c>
      <c r="AZ1170">
        <v>8.42</v>
      </c>
      <c r="BC1170" t="s">
        <v>194</v>
      </c>
    </row>
    <row r="1171" spans="3:55" x14ac:dyDescent="0.3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56"/>
        <v>8.2706999999999979</v>
      </c>
      <c r="AU1171">
        <f t="shared" si="54"/>
        <v>5.47</v>
      </c>
      <c r="AV1171">
        <f t="shared" si="55"/>
        <v>758.226</v>
      </c>
      <c r="AY1171">
        <v>1253.9000000000001</v>
      </c>
      <c r="AZ1171">
        <v>5.91</v>
      </c>
      <c r="BC1171" t="s">
        <v>194</v>
      </c>
    </row>
    <row r="1172" spans="3:55" x14ac:dyDescent="0.3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56"/>
        <v>8.2706999999999979</v>
      </c>
      <c r="AU1172">
        <f t="shared" si="54"/>
        <v>5.47</v>
      </c>
      <c r="AV1172">
        <f t="shared" si="55"/>
        <v>758.226</v>
      </c>
      <c r="AY1172">
        <v>1284.99</v>
      </c>
      <c r="AZ1172">
        <v>5.1100000000000003</v>
      </c>
      <c r="BC1172" t="s">
        <v>194</v>
      </c>
    </row>
    <row r="1173" spans="3:55" x14ac:dyDescent="0.3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56"/>
        <v>8.2706999999999979</v>
      </c>
      <c r="AU1173">
        <f t="shared" si="54"/>
        <v>5.47</v>
      </c>
      <c r="AV1173">
        <f t="shared" si="55"/>
        <v>758.226</v>
      </c>
      <c r="AY1173">
        <v>1300.6099999999999</v>
      </c>
      <c r="AZ1173">
        <v>4.05</v>
      </c>
      <c r="BC1173" t="s">
        <v>194</v>
      </c>
    </row>
    <row r="1174" spans="3:55" x14ac:dyDescent="0.3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56"/>
        <v>8.2706999999999979</v>
      </c>
      <c r="AU1174">
        <f t="shared" si="54"/>
        <v>5.47</v>
      </c>
      <c r="AV1174">
        <f t="shared" si="55"/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3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56"/>
        <v>8.2706999999999979</v>
      </c>
      <c r="AU1175">
        <f t="shared" si="54"/>
        <v>5.47</v>
      </c>
      <c r="AV1175">
        <f t="shared" si="55"/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3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56"/>
        <v>8.2706999999999979</v>
      </c>
      <c r="AU1176">
        <f t="shared" si="54"/>
        <v>5.47</v>
      </c>
      <c r="AV1176">
        <f t="shared" si="55"/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3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56"/>
        <v>8.2706999999999979</v>
      </c>
      <c r="AU1177">
        <f t="shared" si="54"/>
        <v>5.47</v>
      </c>
      <c r="AV1177">
        <f t="shared" si="55"/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3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56"/>
        <v>8.2706999999999979</v>
      </c>
      <c r="AU1178">
        <f t="shared" si="54"/>
        <v>5.47</v>
      </c>
      <c r="AV1178">
        <f t="shared" si="55"/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3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56"/>
        <v>8.2706999999999979</v>
      </c>
      <c r="AU1179">
        <f t="shared" si="54"/>
        <v>5.47</v>
      </c>
      <c r="AV1179">
        <f t="shared" si="55"/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3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56"/>
        <v>8.2706999999999979</v>
      </c>
      <c r="AU1180">
        <f t="shared" si="54"/>
        <v>5.47</v>
      </c>
      <c r="AV1180">
        <f t="shared" si="55"/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3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56"/>
        <v>8.2706999999999979</v>
      </c>
      <c r="AU1181">
        <f t="shared" si="54"/>
        <v>5.47</v>
      </c>
      <c r="AV1181">
        <f t="shared" si="55"/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3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56"/>
        <v>1.1560000000000006</v>
      </c>
      <c r="AU1182">
        <f t="shared" si="54"/>
        <v>6.6333333333333337</v>
      </c>
      <c r="AV1182">
        <f t="shared" si="55"/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3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56"/>
        <v>1.1560000000000006</v>
      </c>
      <c r="AU1183">
        <f t="shared" si="54"/>
        <v>6.6333333333333337</v>
      </c>
      <c r="AV1183">
        <f t="shared" si="55"/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3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56"/>
        <v>1.1560000000000006</v>
      </c>
      <c r="AU1184">
        <f t="shared" si="54"/>
        <v>6.6333333333333337</v>
      </c>
      <c r="AV1184">
        <f t="shared" si="55"/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3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56"/>
        <v>1.1560000000000006</v>
      </c>
      <c r="AU1185">
        <f t="shared" si="54"/>
        <v>6.6333333333333337</v>
      </c>
      <c r="AV1185">
        <f t="shared" si="55"/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3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56"/>
        <v>8.0806000000000004</v>
      </c>
      <c r="AU1186">
        <f t="shared" si="54"/>
        <v>5.1766666666666667</v>
      </c>
      <c r="AV1186">
        <f t="shared" si="55"/>
        <v>743.46299999999997</v>
      </c>
      <c r="BB1186" t="s">
        <v>353</v>
      </c>
      <c r="BC1186" t="s">
        <v>199</v>
      </c>
    </row>
    <row r="1187" spans="3:55" x14ac:dyDescent="0.3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56"/>
        <v>8.0806000000000004</v>
      </c>
      <c r="AU1187">
        <f t="shared" si="54"/>
        <v>5.1766666666666667</v>
      </c>
      <c r="AV1187">
        <f t="shared" si="55"/>
        <v>743.46299999999997</v>
      </c>
      <c r="BB1187" t="s">
        <v>353</v>
      </c>
      <c r="BC1187" t="s">
        <v>199</v>
      </c>
    </row>
    <row r="1188" spans="3:55" x14ac:dyDescent="0.3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56"/>
        <v>8.0806000000000004</v>
      </c>
      <c r="AU1188">
        <f t="shared" si="54"/>
        <v>5.1766666666666667</v>
      </c>
      <c r="AV1188">
        <f t="shared" si="55"/>
        <v>743.46299999999997</v>
      </c>
      <c r="BB1188" t="s">
        <v>353</v>
      </c>
      <c r="BC1188" t="s">
        <v>199</v>
      </c>
    </row>
    <row r="1189" spans="3:55" x14ac:dyDescent="0.3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56"/>
        <v>-1.6950999999999998</v>
      </c>
      <c r="AU1189">
        <f t="shared" si="54"/>
        <v>3.1216666666666666</v>
      </c>
      <c r="AV1189">
        <f t="shared" si="55"/>
        <v>857.86620000000005</v>
      </c>
      <c r="BC1189" t="s">
        <v>202</v>
      </c>
    </row>
    <row r="1190" spans="3:55" x14ac:dyDescent="0.3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56"/>
        <v>-1.6950999999999998</v>
      </c>
      <c r="AU1190">
        <f t="shared" si="54"/>
        <v>3.1216666666666666</v>
      </c>
      <c r="AV1190">
        <f t="shared" si="55"/>
        <v>857.86620000000005</v>
      </c>
      <c r="BC1190" t="s">
        <v>202</v>
      </c>
    </row>
    <row r="1191" spans="3:55" x14ac:dyDescent="0.3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56"/>
        <v>-1.6950999999999998</v>
      </c>
      <c r="AU1191">
        <f t="shared" si="54"/>
        <v>3.1216666666666666</v>
      </c>
      <c r="AV1191">
        <f t="shared" si="55"/>
        <v>857.86620000000005</v>
      </c>
      <c r="BC1191" t="s">
        <v>202</v>
      </c>
    </row>
    <row r="1192" spans="3:55" x14ac:dyDescent="0.3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56"/>
        <v>-1.6950999999999998</v>
      </c>
      <c r="AU1192">
        <f t="shared" si="54"/>
        <v>3.1216666666666666</v>
      </c>
      <c r="AV1192">
        <f t="shared" si="55"/>
        <v>857.86620000000005</v>
      </c>
      <c r="BC1192" t="s">
        <v>202</v>
      </c>
    </row>
    <row r="1193" spans="3:55" x14ac:dyDescent="0.3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56"/>
        <v>-1.6950999999999998</v>
      </c>
      <c r="AU1193">
        <f t="shared" si="54"/>
        <v>3.1216666666666666</v>
      </c>
      <c r="AV1193">
        <f t="shared" si="55"/>
        <v>857.86620000000005</v>
      </c>
      <c r="BC1193" t="s">
        <v>202</v>
      </c>
    </row>
    <row r="1194" spans="3:55" x14ac:dyDescent="0.3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56"/>
        <v>-0.98559999999999981</v>
      </c>
      <c r="AU1194">
        <f t="shared" si="54"/>
        <v>6.5883333333333329</v>
      </c>
      <c r="AV1194">
        <f t="shared" si="55"/>
        <v>851.12699999999984</v>
      </c>
      <c r="AY1194">
        <v>1144</v>
      </c>
      <c r="AZ1194">
        <v>15</v>
      </c>
      <c r="BC1194" t="s">
        <v>203</v>
      </c>
    </row>
    <row r="1195" spans="3:55" x14ac:dyDescent="0.3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56"/>
        <v>-0.98559999999999981</v>
      </c>
      <c r="AU1195">
        <f t="shared" ref="AU1195:AU1205" si="57">D1195+J1195/6+M1195/3+(T1195+S1195)/10</f>
        <v>6.5883333333333329</v>
      </c>
      <c r="AV1195">
        <f t="shared" si="55"/>
        <v>851.12699999999984</v>
      </c>
      <c r="AY1195">
        <v>1205</v>
      </c>
      <c r="AZ1195">
        <v>11</v>
      </c>
      <c r="BC1195" t="s">
        <v>203</v>
      </c>
    </row>
    <row r="1196" spans="3:55" x14ac:dyDescent="0.3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56"/>
        <v>-0.98559999999999981</v>
      </c>
      <c r="AU1196">
        <f t="shared" si="57"/>
        <v>6.5883333333333329</v>
      </c>
      <c r="AV1196">
        <f t="shared" si="55"/>
        <v>851.12699999999984</v>
      </c>
      <c r="AY1196">
        <v>1322</v>
      </c>
      <c r="AZ1196">
        <v>7</v>
      </c>
      <c r="BC1196" t="s">
        <v>203</v>
      </c>
    </row>
    <row r="1197" spans="3:55" x14ac:dyDescent="0.3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56"/>
        <v>-0.98559999999999981</v>
      </c>
      <c r="AU1197">
        <f t="shared" si="57"/>
        <v>6.5883333333333329</v>
      </c>
      <c r="AV1197">
        <f t="shared" si="55"/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3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56"/>
        <v>-0.98559999999999981</v>
      </c>
      <c r="AU1198">
        <f t="shared" si="57"/>
        <v>6.5883333333333329</v>
      </c>
      <c r="AV1198">
        <f t="shared" si="55"/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3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56"/>
        <v>-0.98559999999999981</v>
      </c>
      <c r="AU1199">
        <f t="shared" si="57"/>
        <v>6.5883333333333329</v>
      </c>
      <c r="AV1199">
        <f t="shared" si="55"/>
        <v>851.12699999999984</v>
      </c>
      <c r="AY1199">
        <v>1210</v>
      </c>
      <c r="AZ1199">
        <v>1.98</v>
      </c>
      <c r="BC1199" t="s">
        <v>203</v>
      </c>
    </row>
    <row r="1200" spans="3:55" x14ac:dyDescent="0.3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56"/>
        <v>9.1536000000000008</v>
      </c>
      <c r="AU1200">
        <f t="shared" si="57"/>
        <v>5.1766666666666667</v>
      </c>
      <c r="AV1200">
        <f t="shared" si="55"/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3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56"/>
        <v>9.1536000000000008</v>
      </c>
      <c r="AU1201">
        <f t="shared" si="57"/>
        <v>5.1766666666666667</v>
      </c>
      <c r="AV1201">
        <f t="shared" si="55"/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3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56"/>
        <v>9.1536000000000008</v>
      </c>
      <c r="AU1202">
        <f t="shared" si="57"/>
        <v>5.1766666666666667</v>
      </c>
      <c r="AV1202">
        <f t="shared" si="55"/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3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56"/>
        <v>5.2929999999999993</v>
      </c>
      <c r="AU1203">
        <f t="shared" si="57"/>
        <v>6.1349999999999998</v>
      </c>
      <c r="AV1203">
        <f t="shared" si="55"/>
        <v>803.85799999999995</v>
      </c>
      <c r="BC1203" t="s">
        <v>211</v>
      </c>
    </row>
    <row r="1204" spans="3:55" x14ac:dyDescent="0.3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56"/>
        <v>5.2929999999999993</v>
      </c>
      <c r="AU1204">
        <f t="shared" si="57"/>
        <v>6.1349999999999998</v>
      </c>
      <c r="AV1204">
        <f t="shared" si="55"/>
        <v>803.85799999999995</v>
      </c>
      <c r="BC1204" t="s">
        <v>211</v>
      </c>
    </row>
    <row r="1205" spans="3:55" x14ac:dyDescent="0.3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56"/>
        <v>5.2929999999999993</v>
      </c>
      <c r="AU1205">
        <f t="shared" si="57"/>
        <v>6.1349999999999998</v>
      </c>
      <c r="AV1205">
        <f t="shared" si="55"/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3" bestFit="1" customWidth="1"/>
    <col min="2" max="2" width="9.25" bestFit="1" customWidth="1"/>
    <col min="3" max="3" width="8.5" bestFit="1" customWidth="1"/>
    <col min="4" max="6" width="5.5" bestFit="1" customWidth="1"/>
    <col min="7" max="8" width="6.5" bestFit="1" customWidth="1"/>
    <col min="9" max="9" width="5.5" bestFit="1" customWidth="1"/>
    <col min="10" max="11" width="6.5" bestFit="1" customWidth="1"/>
    <col min="12" max="12" width="7.5" bestFit="1" customWidth="1"/>
    <col min="13" max="13" width="6.5" bestFit="1" customWidth="1"/>
    <col min="14" max="14" width="3.25" bestFit="1" customWidth="1"/>
    <col min="15" max="15" width="6.5" bestFit="1" customWidth="1"/>
    <col min="16" max="16" width="3.25" bestFit="1" customWidth="1"/>
    <col min="17" max="17" width="5.5" bestFit="1" customWidth="1"/>
    <col min="18" max="20" width="7.5" bestFit="1" customWidth="1"/>
    <col min="21" max="21" width="3.33203125" bestFit="1" customWidth="1"/>
    <col min="22" max="22" width="10.83203125" bestFit="1" customWidth="1"/>
    <col min="23" max="23" width="9.75" bestFit="1" customWidth="1"/>
    <col min="24" max="24" width="12.75" bestFit="1" customWidth="1"/>
    <col min="25" max="25" width="16.33203125" bestFit="1" customWidth="1"/>
    <col min="26" max="26" width="15.83203125" bestFit="1" customWidth="1"/>
    <col min="27" max="27" width="16.58203125" bestFit="1" customWidth="1"/>
    <col min="28" max="28" width="17.83203125" customWidth="1"/>
    <col min="29" max="29" width="10.25" bestFit="1" customWidth="1"/>
    <col min="30" max="30" width="12.75" bestFit="1" customWidth="1"/>
    <col min="31" max="31" width="11.83203125" bestFit="1" customWidth="1"/>
    <col min="32" max="32" width="7.75" bestFit="1" customWidth="1"/>
    <col min="33" max="33" width="12.08203125" bestFit="1" customWidth="1"/>
    <col min="34" max="34" width="10.25" bestFit="1" customWidth="1"/>
    <col min="35" max="35" width="12.75" bestFit="1" customWidth="1"/>
    <col min="36" max="36" width="11.83203125" bestFit="1" customWidth="1"/>
    <col min="37" max="37" width="7.75" bestFit="1" customWidth="1"/>
    <col min="38" max="38" width="12.08203125" bestFit="1" customWidth="1"/>
    <col min="39" max="39" width="10.08203125" bestFit="1" customWidth="1"/>
    <col min="40" max="40" width="11.83203125" bestFit="1" customWidth="1"/>
    <col min="41" max="41" width="10.58203125" bestFit="1" customWidth="1"/>
    <col min="42" max="42" width="17.83203125" bestFit="1" customWidth="1"/>
    <col min="43" max="43" width="25.25" bestFit="1" customWidth="1"/>
    <col min="44" max="44" width="13.5" bestFit="1" customWidth="1"/>
    <col min="45" max="45" width="17.75" bestFit="1" customWidth="1"/>
    <col min="46" max="46" width="8.5" bestFit="1" customWidth="1"/>
    <col min="47" max="47" width="12.75" bestFit="1" customWidth="1"/>
    <col min="48" max="48" width="16.25" bestFit="1" customWidth="1"/>
    <col min="49" max="49" width="7.5" bestFit="1" customWidth="1"/>
    <col min="50" max="51" width="5.5" bestFit="1" customWidth="1"/>
    <col min="52" max="52" width="6.5" bestFit="1" customWidth="1"/>
    <col min="53" max="53" width="4.5" bestFit="1" customWidth="1"/>
    <col min="54" max="54" width="7.5" customWidth="1"/>
  </cols>
  <sheetData>
    <row r="1" spans="1:55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3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3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20.580000000000002</v>
      </c>
      <c r="AU3">
        <f t="shared" si="0"/>
        <v>0</v>
      </c>
      <c r="AV3">
        <f t="shared" si="1"/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3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21.42</v>
      </c>
      <c r="AU4">
        <f t="shared" si="0"/>
        <v>0</v>
      </c>
      <c r="AV4">
        <f t="shared" si="1"/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3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21.98</v>
      </c>
      <c r="AU5">
        <f t="shared" si="0"/>
        <v>0</v>
      </c>
      <c r="AV5">
        <f t="shared" si="1"/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3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19.55</v>
      </c>
      <c r="AU6">
        <f t="shared" si="0"/>
        <v>2.6159999999999999E-2</v>
      </c>
      <c r="AV6">
        <f t="shared" si="1"/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3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22.61</v>
      </c>
      <c r="AU7">
        <f t="shared" si="0"/>
        <v>2.7810000000000001E-2</v>
      </c>
      <c r="AV7">
        <f t="shared" si="1"/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3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21.504999999999999</v>
      </c>
      <c r="AU8">
        <f t="shared" si="0"/>
        <v>7.9000000000000008E-3</v>
      </c>
      <c r="AV8">
        <f t="shared" si="1"/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3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26.18</v>
      </c>
      <c r="AU9">
        <f t="shared" si="0"/>
        <v>2.8729999999999999E-2</v>
      </c>
      <c r="AV9">
        <f t="shared" si="1"/>
        <v>915.82500000000005</v>
      </c>
      <c r="AW9">
        <v>98</v>
      </c>
      <c r="AY9">
        <v>677</v>
      </c>
      <c r="BC9" t="s">
        <v>363</v>
      </c>
    </row>
    <row r="10" spans="1:55" x14ac:dyDescent="0.3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29.07</v>
      </c>
      <c r="AU10">
        <f t="shared" si="0"/>
        <v>3.2350000000000004E-2</v>
      </c>
      <c r="AV10">
        <f t="shared" si="1"/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3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30.004999999999995</v>
      </c>
      <c r="AU11">
        <f t="shared" si="0"/>
        <v>6.1199999999999996E-3</v>
      </c>
      <c r="AV11">
        <f t="shared" si="1"/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3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9.52</v>
      </c>
      <c r="AU12">
        <f t="shared" si="0"/>
        <v>7.8100000000000001E-3</v>
      </c>
      <c r="AV12">
        <f t="shared" si="1"/>
        <v>891.05280000000005</v>
      </c>
      <c r="AW12">
        <v>129</v>
      </c>
      <c r="BA12">
        <v>469</v>
      </c>
      <c r="BC12" t="s">
        <v>362</v>
      </c>
    </row>
    <row r="13" spans="1:55" x14ac:dyDescent="0.3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12.851999999999999</v>
      </c>
      <c r="AU13">
        <f t="shared" si="0"/>
        <v>2.3939999999999999E-2</v>
      </c>
      <c r="AV13">
        <f t="shared" si="1"/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3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16.099</v>
      </c>
      <c r="AU14">
        <f t="shared" si="0"/>
        <v>7.6300000000000005E-3</v>
      </c>
      <c r="AV14">
        <f t="shared" si="1"/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3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15.792999999999997</v>
      </c>
      <c r="AU15">
        <f t="shared" si="0"/>
        <v>2.521E-2</v>
      </c>
      <c r="AV15">
        <f t="shared" si="1"/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3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11.539</v>
      </c>
      <c r="AU16">
        <f t="shared" si="0"/>
        <v>6.7000000000000002E-3</v>
      </c>
      <c r="AV16">
        <f t="shared" si="1"/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3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12.463000000000001</v>
      </c>
      <c r="AU17">
        <f t="shared" si="0"/>
        <v>1.4599999999999999E-3</v>
      </c>
      <c r="AV17">
        <f t="shared" si="1"/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3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13.714</v>
      </c>
      <c r="AU18">
        <f t="shared" si="0"/>
        <v>9.7000000000000005E-4</v>
      </c>
      <c r="AV18">
        <f t="shared" si="1"/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3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14.459</v>
      </c>
      <c r="AU19">
        <f t="shared" si="0"/>
        <v>1.4399999999999999E-3</v>
      </c>
      <c r="AV19">
        <f t="shared" si="1"/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3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10.02</v>
      </c>
      <c r="AU20">
        <f t="shared" si="0"/>
        <v>0</v>
      </c>
      <c r="AV20">
        <f t="shared" si="1"/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3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10.83</v>
      </c>
      <c r="AU21">
        <f t="shared" si="0"/>
        <v>0</v>
      </c>
      <c r="AV21">
        <f t="shared" si="1"/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3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11.78</v>
      </c>
      <c r="AU22">
        <f t="shared" si="0"/>
        <v>0</v>
      </c>
      <c r="AV22">
        <f t="shared" si="1"/>
        <v>770.09</v>
      </c>
      <c r="AW22">
        <v>133.15</v>
      </c>
      <c r="BA22">
        <v>390</v>
      </c>
      <c r="BC22" t="s">
        <v>366</v>
      </c>
    </row>
    <row r="23" spans="3:55" x14ac:dyDescent="0.3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12.89</v>
      </c>
      <c r="AU23">
        <f t="shared" si="0"/>
        <v>0</v>
      </c>
      <c r="AV23">
        <f t="shared" si="1"/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3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15.05</v>
      </c>
      <c r="AU24">
        <f t="shared" si="0"/>
        <v>0</v>
      </c>
      <c r="AV24">
        <f t="shared" si="1"/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3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3.0554000000000001</v>
      </c>
      <c r="AU25">
        <f t="shared" si="0"/>
        <v>0</v>
      </c>
      <c r="AV25">
        <f t="shared" si="1"/>
        <v>852.97370000000001</v>
      </c>
      <c r="AW25">
        <v>83.8</v>
      </c>
      <c r="BC25" t="s">
        <v>367</v>
      </c>
    </row>
    <row r="26" spans="3:55" x14ac:dyDescent="0.3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7.5</v>
      </c>
      <c r="AU26">
        <f t="shared" si="0"/>
        <v>0</v>
      </c>
      <c r="AV26">
        <f t="shared" si="1"/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3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8.0055999999999994</v>
      </c>
      <c r="AU27">
        <f t="shared" si="0"/>
        <v>0</v>
      </c>
      <c r="AV27">
        <f t="shared" si="1"/>
        <v>805.94680000000005</v>
      </c>
      <c r="AW27">
        <v>82.98</v>
      </c>
      <c r="BC27" t="s">
        <v>367</v>
      </c>
    </row>
    <row r="28" spans="3:55" x14ac:dyDescent="0.3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7.5</v>
      </c>
      <c r="AU28">
        <f t="shared" si="0"/>
        <v>0</v>
      </c>
      <c r="AV28">
        <f t="shared" si="1"/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3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14.124000000000001</v>
      </c>
      <c r="AU29">
        <f t="shared" si="0"/>
        <v>0</v>
      </c>
      <c r="AV29">
        <f t="shared" si="1"/>
        <v>776.55</v>
      </c>
      <c r="AW29">
        <v>56.9</v>
      </c>
      <c r="BA29">
        <v>312</v>
      </c>
      <c r="BC29" t="s">
        <v>366</v>
      </c>
    </row>
    <row r="30" spans="3:55" x14ac:dyDescent="0.3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14.124000000000001</v>
      </c>
      <c r="AU30">
        <f t="shared" si="0"/>
        <v>0</v>
      </c>
      <c r="AV30">
        <f t="shared" si="1"/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3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14.24</v>
      </c>
      <c r="AU31">
        <f t="shared" si="0"/>
        <v>0</v>
      </c>
      <c r="AV31">
        <f t="shared" si="1"/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3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4.4096999999999991</v>
      </c>
      <c r="AU32">
        <f t="shared" si="0"/>
        <v>0</v>
      </c>
      <c r="AV32">
        <f t="shared" si="1"/>
        <v>846.68500000000017</v>
      </c>
      <c r="AW32">
        <v>102.6</v>
      </c>
      <c r="BA32">
        <v>354</v>
      </c>
      <c r="BC32" t="s">
        <v>372</v>
      </c>
    </row>
    <row r="33" spans="3:55" x14ac:dyDescent="0.3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16.2</v>
      </c>
      <c r="AU33">
        <f t="shared" si="0"/>
        <v>0</v>
      </c>
      <c r="AV33">
        <f t="shared" si="1"/>
        <v>741.01400000000001</v>
      </c>
      <c r="AW33">
        <v>80</v>
      </c>
      <c r="BC33" t="s">
        <v>373</v>
      </c>
    </row>
    <row r="34" spans="3:55" x14ac:dyDescent="0.3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7.6122999999999994</v>
      </c>
      <c r="AU34">
        <f t="shared" si="0"/>
        <v>1.31</v>
      </c>
      <c r="AV34">
        <f t="shared" si="1"/>
        <v>836.71799999999996</v>
      </c>
      <c r="AW34">
        <v>104.6</v>
      </c>
      <c r="BA34">
        <v>296</v>
      </c>
      <c r="BC34" t="s">
        <v>374</v>
      </c>
    </row>
    <row r="35" spans="3:55" x14ac:dyDescent="0.3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6.6725999999999992</v>
      </c>
      <c r="AU35">
        <f t="shared" si="0"/>
        <v>2.686666666666667</v>
      </c>
      <c r="AV35">
        <f t="shared" si="1"/>
        <v>861.71400000000006</v>
      </c>
      <c r="AW35">
        <v>98.2</v>
      </c>
      <c r="BA35">
        <v>351</v>
      </c>
      <c r="BC35" t="s">
        <v>374</v>
      </c>
    </row>
    <row r="36" spans="3:55" x14ac:dyDescent="0.3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9.68</v>
      </c>
      <c r="AU36">
        <f t="shared" si="0"/>
        <v>0.66666666666666663</v>
      </c>
      <c r="AV36">
        <f t="shared" si="1"/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3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1.4000000000000001</v>
      </c>
      <c r="AU37">
        <f t="shared" si="0"/>
        <v>0.5</v>
      </c>
      <c r="AV37">
        <f t="shared" si="1"/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3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1.1200000000000001</v>
      </c>
      <c r="AU38">
        <f t="shared" si="0"/>
        <v>0.33333333333333331</v>
      </c>
      <c r="AV38">
        <f t="shared" si="1"/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3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13.1</v>
      </c>
      <c r="AU39">
        <f t="shared" si="0"/>
        <v>0</v>
      </c>
      <c r="AV39">
        <f t="shared" si="1"/>
        <v>768</v>
      </c>
      <c r="AW39">
        <v>74</v>
      </c>
      <c r="BA39">
        <v>303</v>
      </c>
      <c r="BC39" t="s">
        <v>376</v>
      </c>
    </row>
    <row r="40" spans="3:55" x14ac:dyDescent="0.3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13.1</v>
      </c>
      <c r="AU40">
        <f t="shared" si="0"/>
        <v>0</v>
      </c>
      <c r="AV40">
        <f t="shared" si="1"/>
        <v>768</v>
      </c>
      <c r="AW40">
        <v>74</v>
      </c>
      <c r="BA40">
        <v>303</v>
      </c>
      <c r="BC40" t="s">
        <v>377</v>
      </c>
    </row>
    <row r="41" spans="3:55" x14ac:dyDescent="0.3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12</v>
      </c>
      <c r="AU41">
        <f t="shared" si="0"/>
        <v>0.83333333333333337</v>
      </c>
      <c r="AV41">
        <f t="shared" si="1"/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3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12</v>
      </c>
      <c r="AU42">
        <f t="shared" si="0"/>
        <v>0.83333333333333337</v>
      </c>
      <c r="AV42">
        <f t="shared" si="1"/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3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12</v>
      </c>
      <c r="AU43">
        <f t="shared" si="0"/>
        <v>0.83333333333333337</v>
      </c>
      <c r="AV43">
        <f t="shared" si="1"/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3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12.164700000000002</v>
      </c>
      <c r="AU44">
        <f t="shared" si="0"/>
        <v>2.9477900000000004</v>
      </c>
      <c r="AV44">
        <f t="shared" si="1"/>
        <v>765.57079999999996</v>
      </c>
      <c r="AZ44">
        <v>23</v>
      </c>
      <c r="BC44" t="s">
        <v>379</v>
      </c>
    </row>
    <row r="45" spans="3:55" x14ac:dyDescent="0.3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14.8734</v>
      </c>
      <c r="AU45">
        <f t="shared" si="0"/>
        <v>0.81221333333333334</v>
      </c>
      <c r="AV45">
        <f t="shared" si="1"/>
        <v>730.92660000000001</v>
      </c>
      <c r="AZ45">
        <v>32</v>
      </c>
      <c r="BC45" t="s">
        <v>379</v>
      </c>
    </row>
    <row r="46" spans="3:55" x14ac:dyDescent="0.3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10</v>
      </c>
      <c r="AU46">
        <f t="shared" si="0"/>
        <v>1.1666666666666667</v>
      </c>
      <c r="AV46">
        <f t="shared" si="1"/>
        <v>767.82500000000005</v>
      </c>
      <c r="AW46">
        <v>29.533999999999999</v>
      </c>
      <c r="BC46" t="s">
        <v>380</v>
      </c>
    </row>
    <row r="47" spans="3:55" x14ac:dyDescent="0.3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17.8</v>
      </c>
      <c r="AU47">
        <f t="shared" si="0"/>
        <v>1</v>
      </c>
      <c r="AV47">
        <f t="shared" si="1"/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3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17.8</v>
      </c>
      <c r="AU48">
        <f t="shared" si="0"/>
        <v>1</v>
      </c>
      <c r="AV48">
        <f t="shared" si="1"/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3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17.8</v>
      </c>
      <c r="AU49">
        <f t="shared" si="0"/>
        <v>1</v>
      </c>
      <c r="AV49">
        <f t="shared" si="1"/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3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1.1200000000000001</v>
      </c>
      <c r="AU50">
        <f t="shared" si="0"/>
        <v>0.33333333333333331</v>
      </c>
      <c r="AV50">
        <f t="shared" si="1"/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3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10</v>
      </c>
      <c r="AU51">
        <f t="shared" si="0"/>
        <v>0.66666666666666663</v>
      </c>
      <c r="AV51">
        <f t="shared" si="1"/>
        <v>788.52499999999998</v>
      </c>
      <c r="AW51">
        <v>23.085999999999999</v>
      </c>
      <c r="AX51">
        <v>825</v>
      </c>
      <c r="BC51" t="s">
        <v>380</v>
      </c>
    </row>
    <row r="52" spans="3:55" x14ac:dyDescent="0.3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10</v>
      </c>
      <c r="AU52">
        <f t="shared" si="0"/>
        <v>1.6666666666666667</v>
      </c>
      <c r="AV52">
        <f t="shared" si="1"/>
        <v>747.125</v>
      </c>
      <c r="AW52">
        <v>28.370999999999999</v>
      </c>
      <c r="BC52" t="s">
        <v>380</v>
      </c>
    </row>
    <row r="53" spans="3:55" x14ac:dyDescent="0.3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11.5</v>
      </c>
      <c r="AU53">
        <f t="shared" si="0"/>
        <v>2.5230000000000001</v>
      </c>
      <c r="AV53">
        <f t="shared" si="1"/>
        <v>772.39</v>
      </c>
      <c r="AW53">
        <v>79</v>
      </c>
      <c r="BC53" t="s">
        <v>382</v>
      </c>
    </row>
    <row r="54" spans="3:55" x14ac:dyDescent="0.3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11.5</v>
      </c>
      <c r="AU54">
        <f t="shared" si="0"/>
        <v>2.5230000000000001</v>
      </c>
      <c r="AV54">
        <f t="shared" si="1"/>
        <v>772.39</v>
      </c>
      <c r="AW54">
        <v>108</v>
      </c>
      <c r="BC54" t="s">
        <v>382</v>
      </c>
    </row>
    <row r="55" spans="3:55" x14ac:dyDescent="0.3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6.16</v>
      </c>
      <c r="AU55">
        <f t="shared" si="0"/>
        <v>0</v>
      </c>
      <c r="AV55">
        <f t="shared" si="1"/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3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10.920000000000002</v>
      </c>
      <c r="AU56">
        <f t="shared" si="0"/>
        <v>0</v>
      </c>
      <c r="AV56">
        <f t="shared" si="1"/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3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10.920000000000002</v>
      </c>
      <c r="AU57">
        <f t="shared" si="0"/>
        <v>0</v>
      </c>
      <c r="AV57">
        <f t="shared" si="1"/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3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12.600000000000001</v>
      </c>
      <c r="AU58">
        <f t="shared" si="0"/>
        <v>0</v>
      </c>
      <c r="AV58">
        <f t="shared" si="1"/>
        <v>882</v>
      </c>
      <c r="AW58">
        <v>65</v>
      </c>
      <c r="BC58" t="s">
        <v>386</v>
      </c>
    </row>
    <row r="59" spans="3:55" x14ac:dyDescent="0.3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4.53</v>
      </c>
      <c r="AU59">
        <f t="shared" si="0"/>
        <v>0</v>
      </c>
      <c r="AV59">
        <f t="shared" si="1"/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3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13.23</v>
      </c>
      <c r="AU60">
        <f t="shared" si="0"/>
        <v>0</v>
      </c>
      <c r="AV60">
        <f t="shared" si="1"/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3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20.479999999999997</v>
      </c>
      <c r="AU61">
        <f t="shared" si="0"/>
        <v>0</v>
      </c>
      <c r="AV61">
        <f t="shared" si="1"/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3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29.18</v>
      </c>
      <c r="AU62">
        <f t="shared" si="0"/>
        <v>0</v>
      </c>
      <c r="AV62">
        <f t="shared" si="1"/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3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23.380000000000003</v>
      </c>
      <c r="AU63">
        <f t="shared" si="0"/>
        <v>0</v>
      </c>
      <c r="AV63">
        <f t="shared" si="1"/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3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12.899999999999999</v>
      </c>
      <c r="AU64">
        <f t="shared" si="0"/>
        <v>0</v>
      </c>
      <c r="AV64">
        <f t="shared" si="1"/>
        <v>835.8</v>
      </c>
      <c r="AW64">
        <v>94</v>
      </c>
      <c r="AX64">
        <v>695</v>
      </c>
      <c r="BC64" t="s">
        <v>388</v>
      </c>
    </row>
    <row r="65" spans="3:55" x14ac:dyDescent="0.3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12.57</v>
      </c>
      <c r="AU65">
        <f t="shared" si="0"/>
        <v>0</v>
      </c>
      <c r="AV65">
        <f t="shared" si="1"/>
        <v>843.5</v>
      </c>
      <c r="AW65">
        <v>90</v>
      </c>
      <c r="AX65">
        <v>672</v>
      </c>
      <c r="BC65" t="s">
        <v>388</v>
      </c>
    </row>
    <row r="66" spans="3:55" x14ac:dyDescent="0.3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12.24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3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13.7584</v>
      </c>
      <c r="AU67">
        <f t="shared" si="3"/>
        <v>0</v>
      </c>
      <c r="AV67">
        <f t="shared" si="4"/>
        <v>849.35199999999998</v>
      </c>
      <c r="AW67">
        <v>83</v>
      </c>
      <c r="BC67" t="s">
        <v>389</v>
      </c>
    </row>
    <row r="68" spans="3:55" x14ac:dyDescent="0.3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11.91</v>
      </c>
      <c r="AU68">
        <f t="shared" si="3"/>
        <v>0</v>
      </c>
      <c r="AV68">
        <f t="shared" si="4"/>
        <v>858.9</v>
      </c>
      <c r="AW68">
        <v>81</v>
      </c>
      <c r="AX68">
        <v>496</v>
      </c>
      <c r="BC68" t="s">
        <v>388</v>
      </c>
    </row>
    <row r="69" spans="3:55" x14ac:dyDescent="0.3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11.580000000000002</v>
      </c>
      <c r="AU69">
        <f t="shared" si="3"/>
        <v>0</v>
      </c>
      <c r="AV69">
        <f t="shared" si="4"/>
        <v>866.6</v>
      </c>
      <c r="AW69">
        <v>81</v>
      </c>
      <c r="AX69">
        <v>477</v>
      </c>
      <c r="BC69" t="s">
        <v>388</v>
      </c>
    </row>
    <row r="70" spans="3:55" x14ac:dyDescent="0.3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22.82</v>
      </c>
      <c r="AU70">
        <f t="shared" si="3"/>
        <v>0</v>
      </c>
      <c r="AV70">
        <f t="shared" si="4"/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3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15.66</v>
      </c>
      <c r="AU71">
        <f t="shared" si="3"/>
        <v>0</v>
      </c>
      <c r="AV71">
        <f t="shared" si="4"/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3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16.676000000000002</v>
      </c>
      <c r="AU72">
        <f t="shared" si="3"/>
        <v>0</v>
      </c>
      <c r="AV72">
        <f t="shared" si="4"/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3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22.768000000000001</v>
      </c>
      <c r="AU73">
        <f t="shared" si="3"/>
        <v>0</v>
      </c>
      <c r="AV73">
        <f t="shared" si="4"/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3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17.303999999999998</v>
      </c>
      <c r="AU74">
        <f t="shared" si="3"/>
        <v>0</v>
      </c>
      <c r="AV74">
        <f t="shared" si="4"/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3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20.036000000000001</v>
      </c>
      <c r="AU75">
        <f t="shared" si="3"/>
        <v>0</v>
      </c>
      <c r="AV75">
        <f t="shared" si="4"/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3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14.372</v>
      </c>
      <c r="AU76">
        <f t="shared" si="3"/>
        <v>0</v>
      </c>
      <c r="AV76">
        <f t="shared" si="4"/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3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41.467999999999996</v>
      </c>
      <c r="AU77">
        <f t="shared" si="3"/>
        <v>0</v>
      </c>
      <c r="AV77">
        <f t="shared" si="4"/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3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7.2</v>
      </c>
      <c r="AU78">
        <f t="shared" si="3"/>
        <v>1.1666666666666665</v>
      </c>
      <c r="AV78">
        <f t="shared" si="4"/>
        <v>841.19999999999993</v>
      </c>
      <c r="AW78">
        <v>38</v>
      </c>
      <c r="BC78" t="s">
        <v>391</v>
      </c>
    </row>
    <row r="79" spans="3:55" x14ac:dyDescent="0.3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10.64</v>
      </c>
      <c r="AU79">
        <f t="shared" si="3"/>
        <v>1.3000000000000001E-2</v>
      </c>
      <c r="AV79">
        <f t="shared" si="4"/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3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10.64</v>
      </c>
      <c r="AU80">
        <f t="shared" si="3"/>
        <v>2.4E-2</v>
      </c>
      <c r="AV80">
        <f t="shared" si="4"/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3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10.64</v>
      </c>
      <c r="AU81">
        <f t="shared" si="3"/>
        <v>4.5999999999999999E-2</v>
      </c>
      <c r="AV81">
        <f t="shared" si="4"/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3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2.8000000000000003</v>
      </c>
      <c r="AU82">
        <f t="shared" si="3"/>
        <v>0</v>
      </c>
      <c r="AV82">
        <f t="shared" si="4"/>
        <v>882</v>
      </c>
      <c r="AW82">
        <v>76</v>
      </c>
      <c r="BC82" t="s">
        <v>392</v>
      </c>
    </row>
    <row r="83" spans="3:55" x14ac:dyDescent="0.3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2.8000000000000003</v>
      </c>
      <c r="AU83">
        <f t="shared" si="3"/>
        <v>1</v>
      </c>
      <c r="AV83">
        <f t="shared" si="4"/>
        <v>894.6</v>
      </c>
      <c r="AW83">
        <v>74</v>
      </c>
      <c r="BC83" t="s">
        <v>392</v>
      </c>
    </row>
    <row r="84" spans="3:55" x14ac:dyDescent="0.3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2.8000000000000003</v>
      </c>
      <c r="AU84">
        <f t="shared" si="3"/>
        <v>1.6666666666666667</v>
      </c>
      <c r="AV84">
        <f t="shared" si="4"/>
        <v>903</v>
      </c>
      <c r="AW84">
        <v>73.5</v>
      </c>
      <c r="BC84" t="s">
        <v>392</v>
      </c>
    </row>
    <row r="85" spans="3:55" x14ac:dyDescent="0.3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2.8000000000000003</v>
      </c>
      <c r="AU85">
        <f t="shared" si="3"/>
        <v>2.6666666666666665</v>
      </c>
      <c r="AV85">
        <f t="shared" si="4"/>
        <v>915.6</v>
      </c>
      <c r="AW85">
        <v>73</v>
      </c>
      <c r="BC85" t="s">
        <v>392</v>
      </c>
    </row>
    <row r="86" spans="3:55" x14ac:dyDescent="0.3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4.6536000000000008</v>
      </c>
      <c r="AU86">
        <f t="shared" si="3"/>
        <v>3.5399999999999996</v>
      </c>
      <c r="AV86">
        <f t="shared" si="4"/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3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5.8856000000000002</v>
      </c>
      <c r="AU87">
        <f t="shared" si="3"/>
        <v>3.6933333333333334</v>
      </c>
      <c r="AV87">
        <f t="shared" si="4"/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3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4.6480000000000006</v>
      </c>
      <c r="AU88">
        <f t="shared" si="3"/>
        <v>3.5333333333333332</v>
      </c>
      <c r="AV88">
        <f t="shared" si="4"/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3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5.9359999999999999</v>
      </c>
      <c r="AU89">
        <f t="shared" si="3"/>
        <v>3.4666666666666668</v>
      </c>
      <c r="AV89">
        <f t="shared" si="4"/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3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7.1120000000000001</v>
      </c>
      <c r="AU90">
        <f t="shared" si="3"/>
        <v>3.3666666666666667</v>
      </c>
      <c r="AV90">
        <f t="shared" si="4"/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3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8.6240000000000006</v>
      </c>
      <c r="AU91">
        <f t="shared" si="3"/>
        <v>3.2666666666666671</v>
      </c>
      <c r="AV91">
        <f t="shared" si="4"/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3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9.24</v>
      </c>
      <c r="AU92">
        <f t="shared" si="3"/>
        <v>1.3333333333333333</v>
      </c>
      <c r="AV92">
        <f t="shared" si="4"/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3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9.8000000000000007</v>
      </c>
      <c r="AU93">
        <f t="shared" si="3"/>
        <v>1.3333333333333333</v>
      </c>
      <c r="AV93">
        <f t="shared" si="4"/>
        <v>898.8</v>
      </c>
      <c r="AW93">
        <v>44</v>
      </c>
      <c r="BC93" t="s">
        <v>395</v>
      </c>
    </row>
    <row r="94" spans="3:55" x14ac:dyDescent="0.3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32.71</v>
      </c>
      <c r="AU94">
        <f t="shared" si="3"/>
        <v>0</v>
      </c>
      <c r="AV94">
        <f t="shared" si="4"/>
        <v>760.34</v>
      </c>
      <c r="AW94">
        <v>43</v>
      </c>
      <c r="BC94" t="s">
        <v>394</v>
      </c>
    </row>
    <row r="95" spans="3:55" x14ac:dyDescent="0.3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21.4</v>
      </c>
      <c r="AU95">
        <f t="shared" si="3"/>
        <v>0</v>
      </c>
      <c r="AV95">
        <f t="shared" si="4"/>
        <v>820.4</v>
      </c>
      <c r="AW95">
        <v>36</v>
      </c>
      <c r="BC95" t="s">
        <v>396</v>
      </c>
    </row>
    <row r="96" spans="3:55" x14ac:dyDescent="0.3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7.0448000000000004</v>
      </c>
      <c r="AU96">
        <f t="shared" si="3"/>
        <v>3.6066666666666669</v>
      </c>
      <c r="AV96">
        <f t="shared" si="4"/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3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8.5428000000000015</v>
      </c>
      <c r="AU97">
        <f t="shared" si="3"/>
        <v>3.5033333333333334</v>
      </c>
      <c r="AV97">
        <f t="shared" si="4"/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3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13.754000000000001</v>
      </c>
      <c r="AU98">
        <f t="shared" si="3"/>
        <v>0.6333333333333333</v>
      </c>
      <c r="AV98">
        <f t="shared" si="4"/>
        <v>856.71600000000001</v>
      </c>
      <c r="AW98">
        <v>64</v>
      </c>
      <c r="BC98" t="s">
        <v>389</v>
      </c>
    </row>
    <row r="99" spans="3:55" x14ac:dyDescent="0.3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12.6028</v>
      </c>
      <c r="AU99">
        <f t="shared" si="3"/>
        <v>1.4933333333333334</v>
      </c>
      <c r="AV99">
        <f t="shared" si="4"/>
        <v>874.94400000000007</v>
      </c>
      <c r="AW99">
        <v>58</v>
      </c>
      <c r="BC99" t="s">
        <v>389</v>
      </c>
    </row>
    <row r="100" spans="3:55" x14ac:dyDescent="0.3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13.4558</v>
      </c>
      <c r="AU100">
        <f t="shared" si="3"/>
        <v>1.96</v>
      </c>
      <c r="AV100">
        <f t="shared" si="4"/>
        <v>874.51</v>
      </c>
      <c r="AW100">
        <v>60</v>
      </c>
      <c r="BC100" t="s">
        <v>389</v>
      </c>
    </row>
    <row r="101" spans="3:55" x14ac:dyDescent="0.3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13.494599999999998</v>
      </c>
      <c r="AU101">
        <f t="shared" si="3"/>
        <v>2.7633333333333332</v>
      </c>
      <c r="AV101">
        <f t="shared" si="4"/>
        <v>883.4</v>
      </c>
      <c r="AW101">
        <v>63</v>
      </c>
      <c r="BC101" t="s">
        <v>389</v>
      </c>
    </row>
    <row r="102" spans="3:55" x14ac:dyDescent="0.3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9</v>
      </c>
      <c r="AU102">
        <f t="shared" si="3"/>
        <v>1.3333333333333333</v>
      </c>
      <c r="AV102">
        <f t="shared" si="4"/>
        <v>879.8</v>
      </c>
      <c r="AW102">
        <v>65</v>
      </c>
      <c r="BC102" t="s">
        <v>397</v>
      </c>
    </row>
    <row r="103" spans="3:55" x14ac:dyDescent="0.3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7.8719999999999999</v>
      </c>
      <c r="AU103">
        <f t="shared" si="3"/>
        <v>2.916666666666667</v>
      </c>
      <c r="AV103">
        <f t="shared" si="4"/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3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7.8719999999999999</v>
      </c>
      <c r="AU104">
        <f t="shared" si="3"/>
        <v>2.916666666666667</v>
      </c>
      <c r="AV104">
        <f t="shared" si="4"/>
        <v>826.2</v>
      </c>
      <c r="AW104">
        <v>59</v>
      </c>
      <c r="BC104" t="s">
        <v>395</v>
      </c>
    </row>
    <row r="105" spans="3:55" x14ac:dyDescent="0.3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9.5560000000000009</v>
      </c>
      <c r="AU105">
        <f t="shared" si="3"/>
        <v>3</v>
      </c>
      <c r="AV105">
        <f t="shared" si="4"/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3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9.5560000000000009</v>
      </c>
      <c r="AU106">
        <f t="shared" si="3"/>
        <v>3</v>
      </c>
      <c r="AV106">
        <f t="shared" si="4"/>
        <v>824.44999999999993</v>
      </c>
      <c r="AW106">
        <v>55</v>
      </c>
      <c r="BC106" t="s">
        <v>395</v>
      </c>
    </row>
    <row r="107" spans="3:55" x14ac:dyDescent="0.3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7.394000000000001</v>
      </c>
      <c r="AU107">
        <f t="shared" si="3"/>
        <v>3.2316666666666669</v>
      </c>
      <c r="AV107">
        <f t="shared" si="4"/>
        <v>918.66899999999998</v>
      </c>
      <c r="AW107">
        <v>80.58</v>
      </c>
      <c r="BC107" t="s">
        <v>400</v>
      </c>
    </row>
    <row r="108" spans="3:55" x14ac:dyDescent="0.3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3.2480000000000002</v>
      </c>
      <c r="AU108">
        <f t="shared" si="3"/>
        <v>5.9</v>
      </c>
      <c r="AV108">
        <f t="shared" si="4"/>
        <v>853.74</v>
      </c>
      <c r="AW108">
        <v>42.4</v>
      </c>
      <c r="BC108" t="s">
        <v>401</v>
      </c>
    </row>
    <row r="109" spans="3:55" x14ac:dyDescent="0.3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3.7520000000000007</v>
      </c>
      <c r="AU109">
        <f t="shared" si="3"/>
        <v>5.9766666666666666</v>
      </c>
      <c r="AV109">
        <f t="shared" si="4"/>
        <v>851.10599999999999</v>
      </c>
      <c r="AW109">
        <v>51.6</v>
      </c>
      <c r="BC109" t="s">
        <v>401</v>
      </c>
    </row>
    <row r="110" spans="3:55" x14ac:dyDescent="0.3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4.3400000000000007</v>
      </c>
      <c r="AU110">
        <f t="shared" si="3"/>
        <v>5.85</v>
      </c>
      <c r="AV110">
        <f t="shared" si="4"/>
        <v>848.61</v>
      </c>
      <c r="AW110">
        <v>71.3</v>
      </c>
      <c r="BC110" t="s">
        <v>401</v>
      </c>
    </row>
    <row r="111" spans="3:55" x14ac:dyDescent="0.3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4.9560000000000004</v>
      </c>
      <c r="AU111">
        <f t="shared" si="3"/>
        <v>5.6666666666666661</v>
      </c>
      <c r="AV111">
        <f t="shared" si="4"/>
        <v>910.2</v>
      </c>
      <c r="AW111">
        <v>52.5</v>
      </c>
      <c r="BC111" t="s">
        <v>402</v>
      </c>
    </row>
    <row r="112" spans="3:55" x14ac:dyDescent="0.3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6.7200000000000006</v>
      </c>
      <c r="AU112">
        <f t="shared" si="3"/>
        <v>3.3</v>
      </c>
      <c r="AV112">
        <f t="shared" si="4"/>
        <v>887.57999999999993</v>
      </c>
      <c r="AW112">
        <v>33</v>
      </c>
      <c r="BC112" t="s">
        <v>395</v>
      </c>
    </row>
    <row r="113" spans="3:55" x14ac:dyDescent="0.3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6.7480000000000011</v>
      </c>
      <c r="AU113">
        <f t="shared" si="3"/>
        <v>3.2818000000000001</v>
      </c>
      <c r="AV113">
        <f t="shared" si="4"/>
        <v>901.452</v>
      </c>
      <c r="AW113">
        <v>42</v>
      </c>
      <c r="AY113">
        <v>850</v>
      </c>
      <c r="BC113" t="s">
        <v>403</v>
      </c>
    </row>
    <row r="114" spans="3:55" x14ac:dyDescent="0.3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6.7200000000000006</v>
      </c>
      <c r="AU114">
        <f t="shared" si="3"/>
        <v>3.333333333333333</v>
      </c>
      <c r="AV114">
        <f t="shared" si="4"/>
        <v>888</v>
      </c>
      <c r="AW114">
        <v>56.9</v>
      </c>
      <c r="AY114">
        <v>795</v>
      </c>
      <c r="BC114" t="s">
        <v>404</v>
      </c>
    </row>
    <row r="115" spans="3:55" x14ac:dyDescent="0.3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6.7200000000000006</v>
      </c>
      <c r="AU115">
        <f t="shared" si="3"/>
        <v>3.333333333333333</v>
      </c>
      <c r="AV115">
        <f t="shared" si="4"/>
        <v>888</v>
      </c>
      <c r="AW115">
        <v>58.3</v>
      </c>
      <c r="AY115">
        <v>760</v>
      </c>
      <c r="BC115" t="s">
        <v>404</v>
      </c>
    </row>
    <row r="116" spans="3:55" x14ac:dyDescent="0.3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6.7200000000000006</v>
      </c>
      <c r="AU116">
        <f t="shared" si="3"/>
        <v>3.333333333333333</v>
      </c>
      <c r="AV116">
        <f t="shared" si="4"/>
        <v>888</v>
      </c>
      <c r="AW116">
        <v>59.2</v>
      </c>
      <c r="AY116">
        <v>755</v>
      </c>
      <c r="BC116" t="s">
        <v>404</v>
      </c>
    </row>
    <row r="117" spans="3:55" x14ac:dyDescent="0.3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6.7200000000000006</v>
      </c>
      <c r="AU117">
        <f t="shared" si="3"/>
        <v>3.3</v>
      </c>
      <c r="AV117">
        <f t="shared" si="4"/>
        <v>887.57999999999993</v>
      </c>
      <c r="AW117">
        <v>42</v>
      </c>
      <c r="AY117">
        <v>850</v>
      </c>
      <c r="BC117" t="s">
        <v>403</v>
      </c>
    </row>
    <row r="118" spans="3:55" x14ac:dyDescent="0.3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6.58</v>
      </c>
      <c r="AU118">
        <f t="shared" si="3"/>
        <v>3.4</v>
      </c>
      <c r="AV118">
        <f t="shared" si="4"/>
        <v>858.64</v>
      </c>
      <c r="AW118">
        <v>46</v>
      </c>
      <c r="BC118" t="s">
        <v>373</v>
      </c>
    </row>
    <row r="119" spans="3:55" x14ac:dyDescent="0.3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5.298</v>
      </c>
      <c r="AU119">
        <f t="shared" si="3"/>
        <v>4.25</v>
      </c>
      <c r="AV119">
        <f t="shared" si="4"/>
        <v>884.25</v>
      </c>
      <c r="AW119">
        <v>52.2</v>
      </c>
      <c r="BC119" t="s">
        <v>405</v>
      </c>
    </row>
    <row r="120" spans="3:55" x14ac:dyDescent="0.3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12.5</v>
      </c>
      <c r="AU120">
        <f t="shared" si="3"/>
        <v>0</v>
      </c>
      <c r="AV120">
        <f t="shared" si="4"/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3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11.34</v>
      </c>
      <c r="AU121">
        <f t="shared" si="3"/>
        <v>0</v>
      </c>
      <c r="AV121">
        <f t="shared" si="4"/>
        <v>844</v>
      </c>
      <c r="AW121">
        <v>43.5</v>
      </c>
      <c r="BC121" t="s">
        <v>407</v>
      </c>
    </row>
    <row r="122" spans="3:55" x14ac:dyDescent="0.3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14.98</v>
      </c>
      <c r="AU122">
        <f t="shared" si="3"/>
        <v>0</v>
      </c>
      <c r="AV122">
        <f t="shared" si="4"/>
        <v>844</v>
      </c>
      <c r="AW122">
        <v>65</v>
      </c>
      <c r="BC122" t="s">
        <v>408</v>
      </c>
    </row>
    <row r="123" spans="3:55" x14ac:dyDescent="0.3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11.572000000000003</v>
      </c>
      <c r="AU123">
        <f t="shared" si="3"/>
        <v>0.66666666666666663</v>
      </c>
      <c r="AV123">
        <f t="shared" si="4"/>
        <v>843.85</v>
      </c>
      <c r="AW123">
        <v>73</v>
      </c>
      <c r="BC123" t="s">
        <v>383</v>
      </c>
    </row>
    <row r="124" spans="3:55" x14ac:dyDescent="0.3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10.98</v>
      </c>
      <c r="AU124">
        <f t="shared" si="3"/>
        <v>0.66666666666666663</v>
      </c>
      <c r="AV124">
        <f t="shared" si="4"/>
        <v>890.4</v>
      </c>
      <c r="AW124">
        <v>47</v>
      </c>
      <c r="BC124" t="s">
        <v>407</v>
      </c>
    </row>
    <row r="125" spans="3:55" x14ac:dyDescent="0.3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10.98</v>
      </c>
      <c r="AU125">
        <f t="shared" si="3"/>
        <v>1.5333333333333332</v>
      </c>
      <c r="AV125">
        <f t="shared" si="4"/>
        <v>901.32</v>
      </c>
      <c r="AW125">
        <v>55</v>
      </c>
      <c r="AX125">
        <v>920</v>
      </c>
      <c r="BC125" t="s">
        <v>407</v>
      </c>
    </row>
    <row r="126" spans="3:55" x14ac:dyDescent="0.3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10.98</v>
      </c>
      <c r="AU126">
        <f t="shared" si="3"/>
        <v>2</v>
      </c>
      <c r="AV126">
        <f t="shared" si="4"/>
        <v>907.2</v>
      </c>
      <c r="AW126">
        <v>74</v>
      </c>
      <c r="BC126" t="s">
        <v>407</v>
      </c>
    </row>
    <row r="127" spans="3:55" x14ac:dyDescent="0.3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7.74</v>
      </c>
      <c r="AU127">
        <f t="shared" si="3"/>
        <v>2.5</v>
      </c>
      <c r="AV127">
        <f t="shared" si="4"/>
        <v>875.69999999999993</v>
      </c>
      <c r="AW127">
        <v>47</v>
      </c>
      <c r="BC127" t="s">
        <v>409</v>
      </c>
    </row>
    <row r="128" spans="3:55" x14ac:dyDescent="0.3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6.6539999999999999</v>
      </c>
      <c r="AU128">
        <f t="shared" si="3"/>
        <v>0.56666666666666665</v>
      </c>
      <c r="AV128">
        <f t="shared" si="4"/>
        <v>858.54</v>
      </c>
      <c r="AW128">
        <v>55.3</v>
      </c>
      <c r="BC128" t="s">
        <v>383</v>
      </c>
    </row>
    <row r="129" spans="3:55" x14ac:dyDescent="0.3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9.4400000000000013</v>
      </c>
      <c r="AU129">
        <f t="shared" si="3"/>
        <v>0.83333333333333337</v>
      </c>
      <c r="AV129">
        <f t="shared" si="4"/>
        <v>847.5</v>
      </c>
      <c r="AW129">
        <v>43</v>
      </c>
      <c r="BC129" t="s">
        <v>401</v>
      </c>
    </row>
    <row r="130" spans="3:55" x14ac:dyDescent="0.3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10.98</v>
      </c>
      <c r="AU130">
        <f t="shared" ref="AU130:AU193" si="6">D130+J130/6+M130/3+(T130+S130)/10</f>
        <v>1.1833333333333333</v>
      </c>
      <c r="AV130">
        <f t="shared" ref="AV130:AV193" si="7"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3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10.540000000000001</v>
      </c>
      <c r="AU131">
        <f t="shared" si="6"/>
        <v>0.83333333333333337</v>
      </c>
      <c r="AV131">
        <f t="shared" si="7"/>
        <v>847.5</v>
      </c>
      <c r="AW131">
        <v>50</v>
      </c>
      <c r="BC131" t="s">
        <v>411</v>
      </c>
    </row>
    <row r="132" spans="3:55" x14ac:dyDescent="0.3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10.98</v>
      </c>
      <c r="AU132">
        <f t="shared" si="6"/>
        <v>0.75</v>
      </c>
      <c r="AV132">
        <f t="shared" si="7"/>
        <v>850.95</v>
      </c>
      <c r="AW132">
        <v>60</v>
      </c>
      <c r="BC132" t="s">
        <v>411</v>
      </c>
    </row>
    <row r="133" spans="3:55" x14ac:dyDescent="0.3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10.98</v>
      </c>
      <c r="AU133">
        <f t="shared" si="6"/>
        <v>0.76666666666666661</v>
      </c>
      <c r="AV133">
        <f t="shared" si="7"/>
        <v>850.26</v>
      </c>
      <c r="AW133">
        <v>47.8</v>
      </c>
      <c r="BC133" t="s">
        <v>412</v>
      </c>
    </row>
    <row r="134" spans="3:55" x14ac:dyDescent="0.3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10.24</v>
      </c>
      <c r="AU134">
        <f t="shared" si="6"/>
        <v>1</v>
      </c>
      <c r="AV134">
        <f t="shared" si="7"/>
        <v>840.6</v>
      </c>
      <c r="AW134">
        <v>47.63</v>
      </c>
      <c r="AY134">
        <v>577</v>
      </c>
      <c r="BC134" t="s">
        <v>413</v>
      </c>
    </row>
    <row r="135" spans="3:55" x14ac:dyDescent="0.3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11.64</v>
      </c>
      <c r="AU135">
        <f t="shared" si="6"/>
        <v>0.5</v>
      </c>
      <c r="AV135">
        <f t="shared" si="7"/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3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14.403000000000002</v>
      </c>
      <c r="AU136">
        <f t="shared" si="6"/>
        <v>0.80166666666666664</v>
      </c>
      <c r="AV136">
        <f t="shared" si="7"/>
        <v>803.49599999999998</v>
      </c>
      <c r="AW136">
        <v>87.09</v>
      </c>
      <c r="BC136" t="s">
        <v>415</v>
      </c>
    </row>
    <row r="137" spans="3:55" x14ac:dyDescent="0.3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5.8102</v>
      </c>
      <c r="AU137">
        <f t="shared" si="6"/>
        <v>3.4133333333333331</v>
      </c>
      <c r="AV137">
        <f t="shared" si="7"/>
        <v>820.06799999999998</v>
      </c>
      <c r="AW137">
        <v>69.91</v>
      </c>
      <c r="BC137" t="s">
        <v>415</v>
      </c>
    </row>
    <row r="138" spans="3:55" x14ac:dyDescent="0.3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3.6400000000000006</v>
      </c>
      <c r="AU138">
        <f t="shared" si="6"/>
        <v>2.1666666666666665</v>
      </c>
      <c r="AV138">
        <f t="shared" si="7"/>
        <v>792.3</v>
      </c>
      <c r="AW138">
        <v>77</v>
      </c>
      <c r="BC138" t="s">
        <v>410</v>
      </c>
    </row>
    <row r="139" spans="3:55" x14ac:dyDescent="0.3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3.6400000000000006</v>
      </c>
      <c r="AU139">
        <f t="shared" si="6"/>
        <v>2.1666666666666665</v>
      </c>
      <c r="AV139">
        <f t="shared" si="7"/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3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3.6400000000000006</v>
      </c>
      <c r="AU140">
        <f t="shared" si="6"/>
        <v>2.1666666666666665</v>
      </c>
      <c r="AV140">
        <f t="shared" si="7"/>
        <v>792.3</v>
      </c>
      <c r="AW140">
        <v>47.5</v>
      </c>
      <c r="AY140">
        <v>1075</v>
      </c>
      <c r="BC140" t="s">
        <v>416</v>
      </c>
    </row>
    <row r="141" spans="3:55" x14ac:dyDescent="0.3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3.6400000000000006</v>
      </c>
      <c r="AU141">
        <f t="shared" si="6"/>
        <v>2.1666666666666665</v>
      </c>
      <c r="AV141">
        <f t="shared" si="7"/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3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3.6400000000000006</v>
      </c>
      <c r="AU142">
        <f t="shared" si="6"/>
        <v>2.1666666666666665</v>
      </c>
      <c r="AV142">
        <f t="shared" si="7"/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3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5.32</v>
      </c>
      <c r="AU143">
        <f t="shared" si="6"/>
        <v>2.3333333333333335</v>
      </c>
      <c r="AV143">
        <f t="shared" si="7"/>
        <v>785.4</v>
      </c>
      <c r="AW143">
        <v>14</v>
      </c>
      <c r="BC143" t="s">
        <v>395</v>
      </c>
    </row>
    <row r="144" spans="3:55" x14ac:dyDescent="0.3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6.44</v>
      </c>
      <c r="AU144">
        <f t="shared" si="6"/>
        <v>1.1666666666666667</v>
      </c>
      <c r="AV144">
        <f t="shared" si="7"/>
        <v>833.7</v>
      </c>
      <c r="AW144">
        <v>36</v>
      </c>
      <c r="BA144">
        <v>237</v>
      </c>
      <c r="BC144" t="s">
        <v>417</v>
      </c>
    </row>
    <row r="145" spans="3:55" x14ac:dyDescent="0.3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7.8400000000000007</v>
      </c>
      <c r="AU145">
        <f t="shared" si="6"/>
        <v>1.1666666666666667</v>
      </c>
      <c r="AV145">
        <f t="shared" si="7"/>
        <v>833.7</v>
      </c>
      <c r="AW145">
        <v>29</v>
      </c>
      <c r="BA145">
        <v>194</v>
      </c>
      <c r="BC145" t="s">
        <v>417</v>
      </c>
    </row>
    <row r="146" spans="3:55" x14ac:dyDescent="0.3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9.24</v>
      </c>
      <c r="AU146">
        <f t="shared" si="6"/>
        <v>1.1666666666666667</v>
      </c>
      <c r="AV146">
        <f t="shared" si="7"/>
        <v>833.7</v>
      </c>
      <c r="AW146">
        <v>29</v>
      </c>
      <c r="BA146">
        <v>181</v>
      </c>
      <c r="BC146" t="s">
        <v>417</v>
      </c>
    </row>
    <row r="147" spans="3:55" x14ac:dyDescent="0.3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11.508000000000001</v>
      </c>
      <c r="AU147">
        <f t="shared" si="6"/>
        <v>1.1833333333333333</v>
      </c>
      <c r="AV147">
        <f t="shared" si="7"/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3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12.24</v>
      </c>
      <c r="AU148">
        <f t="shared" si="6"/>
        <v>0</v>
      </c>
      <c r="AV148">
        <f t="shared" si="7"/>
        <v>851.2</v>
      </c>
      <c r="AW148">
        <v>79</v>
      </c>
      <c r="AX148">
        <v>782</v>
      </c>
      <c r="BC148" t="s">
        <v>419</v>
      </c>
    </row>
    <row r="149" spans="3:55" x14ac:dyDescent="0.3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12.24</v>
      </c>
      <c r="AU149">
        <f t="shared" si="6"/>
        <v>0</v>
      </c>
      <c r="AV149">
        <f t="shared" si="7"/>
        <v>851.2</v>
      </c>
      <c r="AW149">
        <v>104</v>
      </c>
      <c r="AX149">
        <v>980</v>
      </c>
      <c r="BC149" t="s">
        <v>419</v>
      </c>
    </row>
    <row r="150" spans="3:55" x14ac:dyDescent="0.3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11.91</v>
      </c>
      <c r="AU150">
        <f t="shared" si="6"/>
        <v>0</v>
      </c>
      <c r="AV150">
        <f t="shared" si="7"/>
        <v>858.9</v>
      </c>
      <c r="AW150">
        <v>78</v>
      </c>
      <c r="AX150">
        <v>735</v>
      </c>
      <c r="BC150" t="s">
        <v>419</v>
      </c>
    </row>
    <row r="151" spans="3:55" x14ac:dyDescent="0.3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11.91</v>
      </c>
      <c r="AU151">
        <f t="shared" si="6"/>
        <v>0</v>
      </c>
      <c r="AV151">
        <f t="shared" si="7"/>
        <v>858.9</v>
      </c>
      <c r="AW151">
        <v>101</v>
      </c>
      <c r="AX151">
        <v>903</v>
      </c>
      <c r="BC151" t="s">
        <v>419</v>
      </c>
    </row>
    <row r="152" spans="3:55" x14ac:dyDescent="0.3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13.64</v>
      </c>
      <c r="AU152">
        <f t="shared" si="6"/>
        <v>2.1666666666666665</v>
      </c>
      <c r="AV152">
        <f t="shared" si="7"/>
        <v>761.5</v>
      </c>
      <c r="AW152">
        <v>54</v>
      </c>
      <c r="BC152" t="s">
        <v>420</v>
      </c>
    </row>
    <row r="153" spans="3:55" x14ac:dyDescent="0.3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9.5169999999999995</v>
      </c>
      <c r="AU153">
        <f t="shared" si="6"/>
        <v>2.2109999999999999</v>
      </c>
      <c r="AV153">
        <f t="shared" si="7"/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3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3.74</v>
      </c>
      <c r="AU154">
        <f t="shared" si="6"/>
        <v>0</v>
      </c>
      <c r="AV154">
        <f t="shared" si="7"/>
        <v>866.6</v>
      </c>
      <c r="AW154">
        <v>77</v>
      </c>
      <c r="AX154">
        <v>672</v>
      </c>
      <c r="BC154" t="s">
        <v>419</v>
      </c>
    </row>
    <row r="155" spans="3:55" x14ac:dyDescent="0.3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3.74</v>
      </c>
      <c r="AU155">
        <f t="shared" si="6"/>
        <v>0</v>
      </c>
      <c r="AV155">
        <f t="shared" si="7"/>
        <v>866.6</v>
      </c>
      <c r="AW155">
        <v>89</v>
      </c>
      <c r="AX155">
        <v>796</v>
      </c>
      <c r="BC155" t="s">
        <v>419</v>
      </c>
    </row>
    <row r="156" spans="3:55" x14ac:dyDescent="0.3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10.120000000000001</v>
      </c>
      <c r="AU156">
        <f t="shared" si="6"/>
        <v>1</v>
      </c>
      <c r="AV156">
        <f t="shared" si="7"/>
        <v>821.6</v>
      </c>
      <c r="AW156">
        <v>29</v>
      </c>
      <c r="BC156" t="s">
        <v>422</v>
      </c>
    </row>
    <row r="157" spans="3:55" x14ac:dyDescent="0.3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13.680000000000001</v>
      </c>
      <c r="AU157">
        <f t="shared" si="6"/>
        <v>1</v>
      </c>
      <c r="AV157">
        <f t="shared" si="7"/>
        <v>793.1</v>
      </c>
      <c r="AW157">
        <v>44</v>
      </c>
      <c r="BC157" t="s">
        <v>401</v>
      </c>
    </row>
    <row r="158" spans="3:55" x14ac:dyDescent="0.3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13.680000000000001</v>
      </c>
      <c r="AU158">
        <f t="shared" si="6"/>
        <v>1</v>
      </c>
      <c r="AV158">
        <f t="shared" si="7"/>
        <v>793.1</v>
      </c>
      <c r="AW158">
        <v>48</v>
      </c>
      <c r="BC158" t="s">
        <v>401</v>
      </c>
    </row>
    <row r="159" spans="3:55" x14ac:dyDescent="0.3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8.120000000000001</v>
      </c>
      <c r="AU159">
        <f t="shared" si="6"/>
        <v>1.2366666666666668</v>
      </c>
      <c r="AV159">
        <f t="shared" si="7"/>
        <v>919.80000000000007</v>
      </c>
      <c r="AW159">
        <v>65</v>
      </c>
      <c r="AX159">
        <v>1000</v>
      </c>
      <c r="BC159" t="s">
        <v>423</v>
      </c>
    </row>
    <row r="160" spans="3:55" x14ac:dyDescent="0.3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6.4960000000000004</v>
      </c>
      <c r="AU160">
        <f t="shared" si="6"/>
        <v>3.4333333333333336</v>
      </c>
      <c r="AV160">
        <f t="shared" si="7"/>
        <v>842.46</v>
      </c>
      <c r="AW160">
        <v>48.7</v>
      </c>
      <c r="BC160" t="s">
        <v>405</v>
      </c>
    </row>
    <row r="161" spans="3:55" x14ac:dyDescent="0.3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8.1559999999999988</v>
      </c>
      <c r="AU161">
        <f t="shared" si="6"/>
        <v>3.833333333333333</v>
      </c>
      <c r="AV161">
        <f t="shared" si="7"/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3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7.7160000000000002</v>
      </c>
      <c r="AU162">
        <f t="shared" si="6"/>
        <v>3.6500000000000004</v>
      </c>
      <c r="AV162">
        <f t="shared" si="7"/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3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8.0560000000000009</v>
      </c>
      <c r="AU163">
        <f t="shared" si="6"/>
        <v>3.833333333333333</v>
      </c>
      <c r="AV163">
        <f t="shared" si="7"/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3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8.0560000000000009</v>
      </c>
      <c r="AU164">
        <f t="shared" si="6"/>
        <v>3.833333333333333</v>
      </c>
      <c r="AV164">
        <f t="shared" si="7"/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3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7.7160000000000002</v>
      </c>
      <c r="AU165">
        <f t="shared" si="6"/>
        <v>3.6500000000000004</v>
      </c>
      <c r="AV165">
        <f t="shared" si="7"/>
        <v>794.99</v>
      </c>
      <c r="AW165">
        <v>54</v>
      </c>
      <c r="BC165" t="s">
        <v>373</v>
      </c>
    </row>
    <row r="166" spans="3:55" x14ac:dyDescent="0.3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8.8760000000000012</v>
      </c>
      <c r="AU166">
        <f t="shared" si="6"/>
        <v>3.55</v>
      </c>
      <c r="AV166">
        <f t="shared" si="7"/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3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8.8760000000000012</v>
      </c>
      <c r="AU167">
        <f t="shared" si="6"/>
        <v>3.55</v>
      </c>
      <c r="AV167">
        <f t="shared" si="7"/>
        <v>796.48000000000013</v>
      </c>
      <c r="AW167">
        <v>56</v>
      </c>
      <c r="BC167" t="s">
        <v>373</v>
      </c>
    </row>
    <row r="168" spans="3:55" x14ac:dyDescent="0.3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9.98</v>
      </c>
      <c r="AU168">
        <f t="shared" si="6"/>
        <v>3.4833333333333334</v>
      </c>
      <c r="AV168">
        <f t="shared" si="7"/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3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9.98</v>
      </c>
      <c r="AU169">
        <f t="shared" si="6"/>
        <v>3.4833333333333334</v>
      </c>
      <c r="AV169">
        <f t="shared" si="7"/>
        <v>798.39</v>
      </c>
      <c r="AW169">
        <v>73</v>
      </c>
      <c r="BC169" t="s">
        <v>373</v>
      </c>
    </row>
    <row r="170" spans="3:55" x14ac:dyDescent="0.3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9.1000000000000014</v>
      </c>
      <c r="AU170">
        <f t="shared" si="6"/>
        <v>1.1333333333333333</v>
      </c>
      <c r="AV170">
        <f t="shared" si="7"/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3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9.1000000000000014</v>
      </c>
      <c r="AU171">
        <f t="shared" si="6"/>
        <v>1.1333333333333333</v>
      </c>
      <c r="AV171">
        <f t="shared" si="7"/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3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9.1000000000000014</v>
      </c>
      <c r="AU172">
        <f t="shared" si="6"/>
        <v>1.1333333333333333</v>
      </c>
      <c r="AV172">
        <f t="shared" si="7"/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3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5.298</v>
      </c>
      <c r="AU173">
        <f t="shared" si="6"/>
        <v>4.25</v>
      </c>
      <c r="AV173">
        <f t="shared" si="7"/>
        <v>884.25</v>
      </c>
      <c r="AW173">
        <v>52.2</v>
      </c>
      <c r="BC173" t="s">
        <v>405</v>
      </c>
    </row>
    <row r="174" spans="3:55" x14ac:dyDescent="0.3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6.73</v>
      </c>
      <c r="AU174">
        <f t="shared" si="6"/>
        <v>0.85</v>
      </c>
      <c r="AV174">
        <f t="shared" si="7"/>
        <v>846.81</v>
      </c>
      <c r="AW174">
        <v>50</v>
      </c>
      <c r="BC174" t="s">
        <v>373</v>
      </c>
    </row>
    <row r="175" spans="3:55" x14ac:dyDescent="0.3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7.2160000000000011</v>
      </c>
      <c r="AU175">
        <f t="shared" si="6"/>
        <v>0.85</v>
      </c>
      <c r="AV175">
        <f t="shared" si="7"/>
        <v>846.81</v>
      </c>
      <c r="AW175">
        <v>48</v>
      </c>
      <c r="BC175" t="s">
        <v>425</v>
      </c>
    </row>
    <row r="176" spans="3:55" x14ac:dyDescent="0.3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7.4400000000000013</v>
      </c>
      <c r="AU176">
        <f t="shared" si="6"/>
        <v>0.5</v>
      </c>
      <c r="AV176">
        <f t="shared" si="7"/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3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8.84</v>
      </c>
      <c r="AU177">
        <f t="shared" si="6"/>
        <v>0.5</v>
      </c>
      <c r="AV177">
        <f t="shared" si="7"/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3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10.24</v>
      </c>
      <c r="AU178">
        <f t="shared" si="6"/>
        <v>0.5</v>
      </c>
      <c r="AV178">
        <f t="shared" si="7"/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3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11.054</v>
      </c>
      <c r="AU179">
        <f t="shared" si="6"/>
        <v>1.2</v>
      </c>
      <c r="AV179">
        <f t="shared" si="7"/>
        <v>832.31999999999994</v>
      </c>
      <c r="AW179">
        <v>57</v>
      </c>
      <c r="BC179" t="s">
        <v>410</v>
      </c>
    </row>
    <row r="180" spans="3:55" x14ac:dyDescent="0.3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10.9</v>
      </c>
      <c r="AU180">
        <f t="shared" si="6"/>
        <v>1.1666666666666667</v>
      </c>
      <c r="AV180">
        <f t="shared" si="7"/>
        <v>833.7</v>
      </c>
      <c r="AW180">
        <v>55</v>
      </c>
      <c r="BC180" t="s">
        <v>426</v>
      </c>
    </row>
    <row r="181" spans="3:55" x14ac:dyDescent="0.3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11.194000000000001</v>
      </c>
      <c r="AU181">
        <f t="shared" si="6"/>
        <v>1.2226666666666666</v>
      </c>
      <c r="AV181">
        <f t="shared" si="7"/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3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16.994</v>
      </c>
      <c r="AU182">
        <f t="shared" si="6"/>
        <v>1.2226666666666666</v>
      </c>
      <c r="AV182">
        <f t="shared" si="7"/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3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16.994</v>
      </c>
      <c r="AU183">
        <f t="shared" si="6"/>
        <v>1.2516666666666665</v>
      </c>
      <c r="AV183">
        <f t="shared" si="7"/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3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16.994</v>
      </c>
      <c r="AU184">
        <f t="shared" si="6"/>
        <v>1.2826666666666666</v>
      </c>
      <c r="AV184">
        <f t="shared" si="7"/>
        <v>882.01</v>
      </c>
      <c r="AW184">
        <v>109</v>
      </c>
      <c r="BA184">
        <v>371</v>
      </c>
      <c r="BC184" t="s">
        <v>427</v>
      </c>
    </row>
    <row r="185" spans="3:55" x14ac:dyDescent="0.3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16.994</v>
      </c>
      <c r="AU185">
        <f t="shared" si="6"/>
        <v>1.2516666666666665</v>
      </c>
      <c r="AV185">
        <f t="shared" si="7"/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3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16.994</v>
      </c>
      <c r="AU186">
        <f t="shared" si="6"/>
        <v>1.2826666666666666</v>
      </c>
      <c r="AV186">
        <f t="shared" si="7"/>
        <v>887.83500000000004</v>
      </c>
      <c r="AW186">
        <v>94</v>
      </c>
      <c r="BA186">
        <v>390</v>
      </c>
      <c r="BC186" t="s">
        <v>427</v>
      </c>
    </row>
    <row r="187" spans="3:55" x14ac:dyDescent="0.3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16.994</v>
      </c>
      <c r="AU187">
        <f t="shared" si="6"/>
        <v>1.2226666666666666</v>
      </c>
      <c r="AV187">
        <f t="shared" si="7"/>
        <v>814.03500000000008</v>
      </c>
      <c r="AW187">
        <v>85</v>
      </c>
      <c r="BA187">
        <v>328</v>
      </c>
      <c r="BC187" t="s">
        <v>427</v>
      </c>
    </row>
    <row r="188" spans="3:55" x14ac:dyDescent="0.3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14.301199999999998</v>
      </c>
      <c r="AU188">
        <f t="shared" si="6"/>
        <v>1.4866666666666666</v>
      </c>
      <c r="AV188">
        <f t="shared" si="7"/>
        <v>758.51199999999994</v>
      </c>
      <c r="AW188">
        <v>86.53</v>
      </c>
      <c r="BC188" t="s">
        <v>415</v>
      </c>
    </row>
    <row r="189" spans="3:55" x14ac:dyDescent="0.3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11.194000000000001</v>
      </c>
      <c r="AU189">
        <f t="shared" si="6"/>
        <v>1.2516666666666665</v>
      </c>
      <c r="AV189">
        <f t="shared" si="7"/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3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11.194000000000001</v>
      </c>
      <c r="AU190">
        <f t="shared" si="6"/>
        <v>1.2826666666666666</v>
      </c>
      <c r="AV190">
        <f t="shared" si="7"/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3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10.878</v>
      </c>
      <c r="AU191">
        <f t="shared" si="6"/>
        <v>1.2349999999999999</v>
      </c>
      <c r="AV191">
        <f t="shared" si="7"/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3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10.878</v>
      </c>
      <c r="AU192">
        <f t="shared" si="6"/>
        <v>1.2349999999999999</v>
      </c>
      <c r="AV192">
        <f t="shared" si="7"/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3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10.878</v>
      </c>
      <c r="AU193">
        <f t="shared" si="6"/>
        <v>1.2349999999999999</v>
      </c>
      <c r="AV193">
        <f t="shared" si="7"/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3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10.878</v>
      </c>
      <c r="AU194">
        <f t="shared" ref="AU194:AU240" si="9">D194+J194/6+M194/3+(T194+S194)/10</f>
        <v>1.2349999999999999</v>
      </c>
      <c r="AV194">
        <f t="shared" ref="AV194:AV240" si="10"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3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11">L195+0.67*E195+0.44*P195+0.28*K195+0.22*O195+2.9*H195+1.6*F195+1.7*G195-D195</f>
        <v>10.878</v>
      </c>
      <c r="AU195">
        <f t="shared" si="9"/>
        <v>1.2349999999999999</v>
      </c>
      <c r="AV195">
        <f t="shared" si="10"/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3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10.878</v>
      </c>
      <c r="AU196">
        <f t="shared" si="9"/>
        <v>1.2349999999999999</v>
      </c>
      <c r="AV196">
        <f t="shared" si="10"/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3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10.878</v>
      </c>
      <c r="AU197">
        <f t="shared" si="9"/>
        <v>1.2349999999999999</v>
      </c>
      <c r="AV197">
        <f t="shared" si="10"/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3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11.194000000000001</v>
      </c>
      <c r="AU198">
        <f t="shared" si="9"/>
        <v>1.2516666666666665</v>
      </c>
      <c r="AV198">
        <f t="shared" si="10"/>
        <v>880.505</v>
      </c>
      <c r="AW198">
        <v>82</v>
      </c>
      <c r="BA198">
        <v>263</v>
      </c>
      <c r="BC198" t="s">
        <v>427</v>
      </c>
    </row>
    <row r="199" spans="3:55" x14ac:dyDescent="0.3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11.194000000000001</v>
      </c>
      <c r="AU199">
        <f t="shared" si="9"/>
        <v>1.2226666666666666</v>
      </c>
      <c r="AV199">
        <f t="shared" si="10"/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3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11.194000000000001</v>
      </c>
      <c r="AU200">
        <f t="shared" si="9"/>
        <v>1.2826666666666666</v>
      </c>
      <c r="AV200">
        <f t="shared" si="10"/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3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0</v>
      </c>
      <c r="AU201">
        <f t="shared" si="9"/>
        <v>3.3333333333333335</v>
      </c>
      <c r="AV201">
        <f t="shared" si="10"/>
        <v>924</v>
      </c>
      <c r="AW201">
        <v>106</v>
      </c>
      <c r="AY201">
        <v>1180</v>
      </c>
      <c r="BC201" t="s">
        <v>426</v>
      </c>
    </row>
    <row r="202" spans="3:55" x14ac:dyDescent="0.3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0</v>
      </c>
      <c r="AU202">
        <f t="shared" si="9"/>
        <v>5</v>
      </c>
      <c r="AV202">
        <f t="shared" si="10"/>
        <v>945</v>
      </c>
      <c r="AW202">
        <v>128</v>
      </c>
      <c r="AY202">
        <v>1325</v>
      </c>
      <c r="BC202" t="s">
        <v>426</v>
      </c>
    </row>
    <row r="203" spans="3:55" x14ac:dyDescent="0.3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0</v>
      </c>
      <c r="AU203">
        <f t="shared" si="9"/>
        <v>6.666666666666667</v>
      </c>
      <c r="AV203">
        <f t="shared" si="10"/>
        <v>966</v>
      </c>
      <c r="AW203">
        <v>146</v>
      </c>
      <c r="AY203">
        <v>1525</v>
      </c>
      <c r="BC203" t="s">
        <v>426</v>
      </c>
    </row>
    <row r="204" spans="3:55" x14ac:dyDescent="0.3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0</v>
      </c>
      <c r="AU204">
        <f t="shared" si="9"/>
        <v>1.6666666666666667</v>
      </c>
      <c r="AV204">
        <f t="shared" si="10"/>
        <v>903</v>
      </c>
      <c r="AW204">
        <v>98</v>
      </c>
      <c r="AY204">
        <v>990</v>
      </c>
      <c r="BC204" t="s">
        <v>426</v>
      </c>
    </row>
    <row r="205" spans="3:55" x14ac:dyDescent="0.3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7.1019999999999994</v>
      </c>
      <c r="AU205">
        <f t="shared" si="9"/>
        <v>4.0666666666666664</v>
      </c>
      <c r="AV205">
        <f t="shared" si="10"/>
        <v>878.20799999999997</v>
      </c>
      <c r="AW205">
        <v>92.8</v>
      </c>
      <c r="BA205">
        <v>397</v>
      </c>
      <c r="BC205" t="s">
        <v>372</v>
      </c>
    </row>
    <row r="206" spans="3:55" x14ac:dyDescent="0.3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3.2480000000000002</v>
      </c>
      <c r="AU206">
        <f t="shared" si="9"/>
        <v>5.9</v>
      </c>
      <c r="AV206">
        <f t="shared" si="10"/>
        <v>853.74</v>
      </c>
      <c r="AW206">
        <v>42.1</v>
      </c>
      <c r="BC206" t="s">
        <v>401</v>
      </c>
    </row>
    <row r="207" spans="3:55" x14ac:dyDescent="0.3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2.996</v>
      </c>
      <c r="AU207">
        <f t="shared" si="9"/>
        <v>6.4666666666666668</v>
      </c>
      <c r="AV207">
        <f t="shared" si="10"/>
        <v>875.28</v>
      </c>
      <c r="AW207">
        <v>61.4</v>
      </c>
      <c r="BC207" t="s">
        <v>401</v>
      </c>
    </row>
    <row r="208" spans="3:55" x14ac:dyDescent="0.3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2.7440000000000007</v>
      </c>
      <c r="AU208">
        <f t="shared" si="9"/>
        <v>5.8333333333333339</v>
      </c>
      <c r="AV208">
        <f t="shared" si="10"/>
        <v>852.9</v>
      </c>
      <c r="AW208">
        <v>57.2</v>
      </c>
      <c r="BC208" t="s">
        <v>401</v>
      </c>
    </row>
    <row r="209" spans="3:55" x14ac:dyDescent="0.3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6.8959999999999999</v>
      </c>
      <c r="AU209">
        <f t="shared" si="9"/>
        <v>5.8666666666666671</v>
      </c>
      <c r="AV209">
        <f t="shared" si="10"/>
        <v>801.17000000000007</v>
      </c>
      <c r="AW209">
        <v>68.8</v>
      </c>
      <c r="BC209" t="s">
        <v>405</v>
      </c>
    </row>
    <row r="210" spans="3:55" x14ac:dyDescent="0.3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3.3520000000000003</v>
      </c>
      <c r="AU210">
        <f t="shared" si="9"/>
        <v>6.166666666666667</v>
      </c>
      <c r="AV210">
        <f t="shared" si="10"/>
        <v>833.75000000000011</v>
      </c>
      <c r="AW210">
        <v>79.8</v>
      </c>
      <c r="BC210" t="s">
        <v>401</v>
      </c>
    </row>
    <row r="211" spans="3:55" x14ac:dyDescent="0.3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6.8959999999999999</v>
      </c>
      <c r="AU211">
        <f t="shared" si="9"/>
        <v>5.8666666666666671</v>
      </c>
      <c r="AV211">
        <f t="shared" si="10"/>
        <v>801.17000000000007</v>
      </c>
      <c r="AW211">
        <v>69.3</v>
      </c>
      <c r="BC211" t="s">
        <v>401</v>
      </c>
    </row>
    <row r="212" spans="3:55" x14ac:dyDescent="0.3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6.6</v>
      </c>
      <c r="AU212">
        <f t="shared" si="9"/>
        <v>0</v>
      </c>
      <c r="AV212">
        <f t="shared" si="10"/>
        <v>882</v>
      </c>
      <c r="AW212">
        <v>50</v>
      </c>
      <c r="BC212" t="s">
        <v>430</v>
      </c>
    </row>
    <row r="213" spans="3:55" x14ac:dyDescent="0.3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10.601799999999999</v>
      </c>
      <c r="AU213">
        <f t="shared" si="9"/>
        <v>0</v>
      </c>
      <c r="AV213">
        <f t="shared" si="10"/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3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11.44</v>
      </c>
      <c r="AU214">
        <f t="shared" si="9"/>
        <v>0</v>
      </c>
      <c r="AV214">
        <f t="shared" si="10"/>
        <v>882</v>
      </c>
      <c r="AW214">
        <v>32</v>
      </c>
      <c r="BC214" t="s">
        <v>430</v>
      </c>
    </row>
    <row r="215" spans="3:55" x14ac:dyDescent="0.3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15.4</v>
      </c>
      <c r="AU215">
        <f t="shared" si="9"/>
        <v>0</v>
      </c>
      <c r="AV215">
        <f t="shared" si="10"/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3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12.5</v>
      </c>
      <c r="AU216">
        <f t="shared" si="9"/>
        <v>0</v>
      </c>
      <c r="AV216">
        <f t="shared" si="10"/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3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3.3220000000000001</v>
      </c>
      <c r="AU217">
        <f t="shared" si="9"/>
        <v>0.31943333333333335</v>
      </c>
      <c r="AV217">
        <f t="shared" si="10"/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3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3.278</v>
      </c>
      <c r="AU218">
        <f t="shared" si="9"/>
        <v>0.9892333333333333</v>
      </c>
      <c r="AV218">
        <f t="shared" si="10"/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3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3.3</v>
      </c>
      <c r="AU219">
        <f t="shared" si="9"/>
        <v>1.8550666666666666</v>
      </c>
      <c r="AV219">
        <f t="shared" si="10"/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3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6.4640000000000004</v>
      </c>
      <c r="AU220">
        <f t="shared" si="9"/>
        <v>5.0268233333333328</v>
      </c>
      <c r="AV220">
        <f t="shared" si="10"/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3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8.1760000000000002</v>
      </c>
      <c r="AU221">
        <f t="shared" si="9"/>
        <v>5.0505766666666672</v>
      </c>
      <c r="AV221">
        <f t="shared" si="10"/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3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6.4640000000000004</v>
      </c>
      <c r="AU222">
        <f t="shared" si="9"/>
        <v>5.0268233333333328</v>
      </c>
      <c r="AV222">
        <f t="shared" si="10"/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3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8.1760000000000002</v>
      </c>
      <c r="AU223">
        <f t="shared" si="9"/>
        <v>5.0505766666666672</v>
      </c>
      <c r="AV223">
        <f t="shared" si="10"/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3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6.718</v>
      </c>
      <c r="AU224">
        <f t="shared" si="9"/>
        <v>4.9980166666666666</v>
      </c>
      <c r="AV224">
        <f t="shared" si="10"/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3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6.718</v>
      </c>
      <c r="AU225">
        <f t="shared" si="9"/>
        <v>4.9980166666666666</v>
      </c>
      <c r="AV225">
        <f t="shared" si="10"/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3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7.3440000000000003</v>
      </c>
      <c r="AU226">
        <f t="shared" si="9"/>
        <v>4.9566800000000004</v>
      </c>
      <c r="AV226">
        <f t="shared" si="10"/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3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7.3440000000000003</v>
      </c>
      <c r="AU227">
        <f t="shared" si="9"/>
        <v>4.9566800000000004</v>
      </c>
      <c r="AV227">
        <f t="shared" si="10"/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3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7.9460000000000006</v>
      </c>
      <c r="AU228">
        <f t="shared" si="9"/>
        <v>4.9816000000000003</v>
      </c>
      <c r="AV228">
        <f t="shared" si="10"/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3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7.9460000000000006</v>
      </c>
      <c r="AU229">
        <f t="shared" si="9"/>
        <v>4.9816000000000003</v>
      </c>
      <c r="AV229">
        <f t="shared" si="10"/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3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10</v>
      </c>
      <c r="AU230">
        <f t="shared" si="9"/>
        <v>2.1666666666666665</v>
      </c>
      <c r="AV230">
        <f t="shared" si="10"/>
        <v>726.42499999999995</v>
      </c>
      <c r="AW230">
        <v>32.622999999999998</v>
      </c>
      <c r="BC230" t="s">
        <v>378</v>
      </c>
    </row>
    <row r="231" spans="3:55" x14ac:dyDescent="0.3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1.6800000000000002</v>
      </c>
      <c r="AU231">
        <f t="shared" si="9"/>
        <v>3</v>
      </c>
      <c r="AV231">
        <f t="shared" si="10"/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3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1.6800000000000002</v>
      </c>
      <c r="AU232">
        <f t="shared" si="9"/>
        <v>3</v>
      </c>
      <c r="AV232">
        <f t="shared" si="10"/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3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4.2840000000000007</v>
      </c>
      <c r="AU233">
        <f t="shared" si="9"/>
        <v>4.7166666666666668</v>
      </c>
      <c r="AV233">
        <f t="shared" si="10"/>
        <v>796.53</v>
      </c>
      <c r="AW233">
        <v>72.2</v>
      </c>
      <c r="BC233" t="s">
        <v>401</v>
      </c>
    </row>
    <row r="234" spans="3:55" x14ac:dyDescent="0.3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4.2840000000000007</v>
      </c>
      <c r="AU234">
        <f t="shared" si="9"/>
        <v>4.7166666666666668</v>
      </c>
      <c r="AV234">
        <f t="shared" si="10"/>
        <v>796.53</v>
      </c>
      <c r="AW234">
        <v>72</v>
      </c>
      <c r="BC234" t="s">
        <v>401</v>
      </c>
    </row>
    <row r="235" spans="3:55" x14ac:dyDescent="0.3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2.6880000000000002</v>
      </c>
      <c r="AU235">
        <f t="shared" si="9"/>
        <v>6.3833333333333337</v>
      </c>
      <c r="AV235">
        <f t="shared" si="10"/>
        <v>794.13</v>
      </c>
      <c r="AW235">
        <v>77.400000000000006</v>
      </c>
      <c r="BC235" t="s">
        <v>401</v>
      </c>
    </row>
    <row r="236" spans="3:55" x14ac:dyDescent="0.3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2.6880000000000002</v>
      </c>
      <c r="AU236">
        <f t="shared" si="9"/>
        <v>6.3833333333333337</v>
      </c>
      <c r="AV236">
        <f t="shared" si="10"/>
        <v>794.13</v>
      </c>
      <c r="AW236">
        <v>77.2</v>
      </c>
      <c r="BC236" t="s">
        <v>405</v>
      </c>
    </row>
    <row r="237" spans="3:55" x14ac:dyDescent="0.3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4.6639999999999997</v>
      </c>
      <c r="AU237">
        <f t="shared" si="9"/>
        <v>5.9166666666666661</v>
      </c>
      <c r="AV237">
        <f t="shared" si="10"/>
        <v>820.1</v>
      </c>
      <c r="AW237">
        <v>52.6</v>
      </c>
      <c r="BC237" t="s">
        <v>401</v>
      </c>
    </row>
    <row r="238" spans="3:55" x14ac:dyDescent="0.3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5.524</v>
      </c>
      <c r="AU238">
        <f t="shared" si="9"/>
        <v>5.8666666666666671</v>
      </c>
      <c r="AV238">
        <f t="shared" si="10"/>
        <v>812.67000000000007</v>
      </c>
      <c r="AW238">
        <v>66.5</v>
      </c>
      <c r="BC238" t="s">
        <v>401</v>
      </c>
    </row>
    <row r="239" spans="3:55" x14ac:dyDescent="0.3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3.3220000000000001</v>
      </c>
      <c r="AU239">
        <f t="shared" si="9"/>
        <v>2.6474666666666669</v>
      </c>
      <c r="AV239">
        <f t="shared" si="10"/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3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2.5</v>
      </c>
      <c r="AU240">
        <f t="shared" si="9"/>
        <v>1.6666666666666667</v>
      </c>
      <c r="AV240">
        <f t="shared" si="10"/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3"/>
  <cols>
    <col min="1" max="1" width="4.5" bestFit="1" customWidth="1"/>
    <col min="2" max="2" width="9.25" bestFit="1" customWidth="1"/>
    <col min="3" max="5" width="8.5" bestFit="1" customWidth="1"/>
    <col min="6" max="6" width="5.5" bestFit="1" customWidth="1"/>
    <col min="7" max="7" width="4.25" bestFit="1" customWidth="1"/>
    <col min="8" max="8" width="8.5" bestFit="1" customWidth="1"/>
    <col min="9" max="9" width="3.75" bestFit="1" customWidth="1"/>
    <col min="10" max="15" width="8.5" bestFit="1" customWidth="1"/>
    <col min="16" max="16" width="3.33203125" bestFit="1" customWidth="1"/>
    <col min="17" max="17" width="7.5" bestFit="1" customWidth="1"/>
    <col min="18" max="18" width="2.75" bestFit="1" customWidth="1"/>
    <col min="19" max="19" width="3.08203125" bestFit="1" customWidth="1"/>
    <col min="20" max="20" width="5.5" bestFit="1" customWidth="1"/>
    <col min="21" max="21" width="4.5" bestFit="1" customWidth="1"/>
    <col min="22" max="22" width="10.83203125" bestFit="1" customWidth="1"/>
    <col min="23" max="23" width="9.75" bestFit="1" customWidth="1"/>
    <col min="24" max="24" width="9.58203125" bestFit="1" customWidth="1"/>
    <col min="25" max="25" width="16.33203125" bestFit="1" customWidth="1"/>
    <col min="26" max="26" width="15.83203125" bestFit="1" customWidth="1"/>
    <col min="27" max="27" width="16.58203125" bestFit="1" customWidth="1"/>
    <col min="28" max="28" width="17.83203125" bestFit="1" customWidth="1"/>
    <col min="29" max="29" width="10.5" bestFit="1" customWidth="1"/>
    <col min="30" max="30" width="9.5" bestFit="1" customWidth="1"/>
    <col min="31" max="31" width="11.83203125" bestFit="1" customWidth="1"/>
    <col min="32" max="32" width="7.75" bestFit="1" customWidth="1"/>
    <col min="33" max="33" width="12.08203125" bestFit="1" customWidth="1"/>
    <col min="34" max="34" width="10.25" bestFit="1" customWidth="1"/>
    <col min="35" max="35" width="9.5" bestFit="1" customWidth="1"/>
    <col min="36" max="36" width="11.83203125" bestFit="1" customWidth="1"/>
    <col min="37" max="37" width="7.75" bestFit="1" customWidth="1"/>
    <col min="38" max="38" width="12.08203125" bestFit="1" customWidth="1"/>
    <col min="39" max="39" width="10.25" bestFit="1" customWidth="1"/>
    <col min="40" max="40" width="11.83203125" bestFit="1" customWidth="1"/>
    <col min="41" max="41" width="10.58203125" bestFit="1" customWidth="1"/>
    <col min="42" max="42" width="17.83203125" bestFit="1" customWidth="1"/>
    <col min="43" max="43" width="25.25" bestFit="1" customWidth="1"/>
    <col min="44" max="44" width="13.5" bestFit="1" customWidth="1"/>
    <col min="45" max="45" width="17.75" bestFit="1" customWidth="1"/>
    <col min="46" max="46" width="10.5" bestFit="1" customWidth="1"/>
    <col min="47" max="47" width="12.75" bestFit="1" customWidth="1"/>
    <col min="48" max="48" width="16.25" bestFit="1" customWidth="1"/>
    <col min="49" max="50" width="6.5" bestFit="1" customWidth="1"/>
    <col min="51" max="51" width="7.5" bestFit="1" customWidth="1"/>
    <col min="52" max="52" width="3.08203125" bestFit="1" customWidth="1"/>
    <col min="53" max="53" width="6.5" bestFit="1" customWidth="1"/>
    <col min="54" max="54" width="7.5" customWidth="1"/>
  </cols>
  <sheetData>
    <row r="1" spans="1:55" x14ac:dyDescent="0.3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3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ref="AC2:AC24" si="0"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 t="shared" ref="AU2:AU65" si="1">D2+J2/6+M2/3+(T2+S2)/10</f>
        <v>1.6666666666666667</v>
      </c>
      <c r="AV2">
        <f t="shared" ref="AV2:AV65" si="2"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3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si="0"/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3">L3+0.67*E3+0.44*P3+0.28*K3+0.22*O3+2.9*H3+1.6*F3+1.7*G3-D3</f>
        <v>11.91</v>
      </c>
      <c r="AU3">
        <f t="shared" si="1"/>
        <v>1.6666666666666667</v>
      </c>
      <c r="AV3">
        <f t="shared" si="2"/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3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3"/>
        <v>11.580000000000002</v>
      </c>
      <c r="AU4">
        <f t="shared" si="1"/>
        <v>1.6666666666666667</v>
      </c>
      <c r="AV4">
        <f t="shared" si="2"/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3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3"/>
        <v>13.23</v>
      </c>
      <c r="AU5">
        <f t="shared" si="1"/>
        <v>1.1666666666666667</v>
      </c>
      <c r="AV5">
        <f t="shared" si="2"/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3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3"/>
        <v>12.57</v>
      </c>
      <c r="AU6">
        <f t="shared" si="1"/>
        <v>2</v>
      </c>
      <c r="AV6">
        <f t="shared" si="2"/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3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3"/>
        <v>12.57</v>
      </c>
      <c r="AU7">
        <f t="shared" si="1"/>
        <v>1.6666666666666667</v>
      </c>
      <c r="AV7">
        <f t="shared" si="2"/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3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3"/>
        <v>11.580000000000002</v>
      </c>
      <c r="AU8">
        <f t="shared" si="1"/>
        <v>0</v>
      </c>
      <c r="AV8">
        <f t="shared" si="2"/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3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3"/>
        <v>11.91</v>
      </c>
      <c r="AU9">
        <f t="shared" si="1"/>
        <v>0</v>
      </c>
      <c r="AV9">
        <f t="shared" si="2"/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3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3"/>
        <v>12.24</v>
      </c>
      <c r="AU10">
        <f t="shared" si="1"/>
        <v>0</v>
      </c>
      <c r="AV10">
        <f t="shared" si="2"/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3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3"/>
        <v>12.57</v>
      </c>
      <c r="AU11">
        <f t="shared" si="1"/>
        <v>0</v>
      </c>
      <c r="AV11">
        <f t="shared" si="2"/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3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3"/>
        <v>12.899999999999999</v>
      </c>
      <c r="AU12">
        <f t="shared" si="1"/>
        <v>0</v>
      </c>
      <c r="AV12">
        <f t="shared" si="2"/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3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3"/>
        <v>13.23</v>
      </c>
      <c r="AU13">
        <f t="shared" si="1"/>
        <v>0</v>
      </c>
      <c r="AV13">
        <f t="shared" si="2"/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3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3"/>
        <v>8.4</v>
      </c>
      <c r="AU14">
        <f t="shared" si="1"/>
        <v>0</v>
      </c>
      <c r="AV14">
        <f t="shared" si="2"/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3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3"/>
        <v>11.3</v>
      </c>
      <c r="AU15">
        <f t="shared" si="1"/>
        <v>0</v>
      </c>
      <c r="AV15">
        <f t="shared" si="2"/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3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3"/>
        <v>17.100000000000001</v>
      </c>
      <c r="AU16">
        <f t="shared" si="1"/>
        <v>0</v>
      </c>
      <c r="AV16">
        <f t="shared" si="2"/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3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0"/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3"/>
        <v>22.9</v>
      </c>
      <c r="AU17">
        <f t="shared" si="1"/>
        <v>0</v>
      </c>
      <c r="AV17">
        <f t="shared" si="2"/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3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0"/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3"/>
        <v>17.86</v>
      </c>
      <c r="AU18">
        <f t="shared" si="1"/>
        <v>0</v>
      </c>
      <c r="AV18">
        <f t="shared" si="2"/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3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0"/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3"/>
        <v>13.14</v>
      </c>
      <c r="AU19">
        <f t="shared" si="1"/>
        <v>0</v>
      </c>
      <c r="AV19">
        <f t="shared" si="2"/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3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0"/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3"/>
        <v>13.8</v>
      </c>
      <c r="AU20">
        <f t="shared" si="1"/>
        <v>0</v>
      </c>
      <c r="AV20">
        <f t="shared" si="2"/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3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0"/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3"/>
        <v>13</v>
      </c>
      <c r="AU21">
        <f t="shared" si="1"/>
        <v>2</v>
      </c>
      <c r="AV21">
        <f t="shared" si="2"/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3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0"/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3"/>
        <v>9</v>
      </c>
      <c r="AU22">
        <f t="shared" si="1"/>
        <v>0</v>
      </c>
      <c r="AV22">
        <f t="shared" si="2"/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3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0"/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3"/>
        <v>9</v>
      </c>
      <c r="AU23">
        <f t="shared" si="1"/>
        <v>0.5</v>
      </c>
      <c r="AV23">
        <f t="shared" si="2"/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3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0"/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3"/>
        <v>9</v>
      </c>
      <c r="AU24">
        <f t="shared" si="1"/>
        <v>2</v>
      </c>
      <c r="AV24">
        <f t="shared" si="2"/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3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3"/>
        <v>6.7200000000000006</v>
      </c>
      <c r="AU25">
        <f t="shared" si="1"/>
        <v>4.166666666666667</v>
      </c>
      <c r="AV25">
        <f t="shared" si="2"/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3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3"/>
        <v>8.4</v>
      </c>
      <c r="AU26">
        <f t="shared" si="1"/>
        <v>5.333333333333333</v>
      </c>
      <c r="AV26">
        <f t="shared" si="2"/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3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3"/>
        <v>7.8400000000000007</v>
      </c>
      <c r="AU27">
        <f t="shared" si="1"/>
        <v>5.833333333333333</v>
      </c>
      <c r="AV27">
        <f t="shared" si="2"/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3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3"/>
        <v>7.0000000000000009</v>
      </c>
      <c r="AU28">
        <f t="shared" si="1"/>
        <v>6.833333333333333</v>
      </c>
      <c r="AV28">
        <f t="shared" si="2"/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3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ref="AC29:AC40" si="4"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3"/>
        <v>3.6400000000000006</v>
      </c>
      <c r="AU29">
        <f t="shared" si="1"/>
        <v>2.1666666666666665</v>
      </c>
      <c r="AV29">
        <f t="shared" si="2"/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3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4"/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3"/>
        <v>9.2900000000000009</v>
      </c>
      <c r="AU30">
        <f t="shared" si="1"/>
        <v>2.1666666666666665</v>
      </c>
      <c r="AV30">
        <f t="shared" si="2"/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3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4"/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3"/>
        <v>8.2200000000000006</v>
      </c>
      <c r="AU31">
        <f t="shared" si="1"/>
        <v>1.6666666666666667</v>
      </c>
      <c r="AV31">
        <f t="shared" si="2"/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3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4"/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3"/>
        <v>13.31</v>
      </c>
      <c r="AU32">
        <f t="shared" si="1"/>
        <v>1</v>
      </c>
      <c r="AV32">
        <f t="shared" si="2"/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3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4"/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3"/>
        <v>8.9600000000000009</v>
      </c>
      <c r="AU33">
        <f t="shared" si="1"/>
        <v>0.66666666666666663</v>
      </c>
      <c r="AV33">
        <f t="shared" si="2"/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3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4"/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3"/>
        <v>10.6</v>
      </c>
      <c r="AU34">
        <f t="shared" si="1"/>
        <v>3.6666666666666665</v>
      </c>
      <c r="AV34">
        <f t="shared" si="2"/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3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4"/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3"/>
        <v>9.98</v>
      </c>
      <c r="AU35">
        <f t="shared" si="1"/>
        <v>4.166666666666667</v>
      </c>
      <c r="AV35">
        <f t="shared" si="2"/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3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4"/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3"/>
        <v>9.2799999999999994</v>
      </c>
      <c r="AU36">
        <f t="shared" si="1"/>
        <v>4.666666666666667</v>
      </c>
      <c r="AV36">
        <f t="shared" si="2"/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3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4"/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3"/>
        <v>19.5</v>
      </c>
      <c r="AU37">
        <f t="shared" si="1"/>
        <v>0</v>
      </c>
      <c r="AV37">
        <f t="shared" si="2"/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3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4"/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3"/>
        <v>15.280000000000001</v>
      </c>
      <c r="AU38">
        <f t="shared" si="1"/>
        <v>2</v>
      </c>
      <c r="AV38">
        <f t="shared" si="2"/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3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4"/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3"/>
        <v>9.4</v>
      </c>
      <c r="AU39">
        <f t="shared" si="1"/>
        <v>1.3333333333333333</v>
      </c>
      <c r="AV39">
        <f t="shared" si="2"/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3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4"/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3"/>
        <v>10.98</v>
      </c>
      <c r="AU40">
        <f t="shared" si="1"/>
        <v>0.76666666666666661</v>
      </c>
      <c r="AV40">
        <f t="shared" si="2"/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3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3"/>
        <v>10.040000000000001</v>
      </c>
      <c r="AU41">
        <f t="shared" si="1"/>
        <v>3.5</v>
      </c>
      <c r="AV41">
        <f t="shared" si="2"/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3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3"/>
        <v>8.92</v>
      </c>
      <c r="AU42">
        <f t="shared" si="1"/>
        <v>3.5</v>
      </c>
      <c r="AV42">
        <f t="shared" si="2"/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3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3"/>
        <v>9.1999999999999993</v>
      </c>
      <c r="AU43">
        <f t="shared" si="1"/>
        <v>2.8333333333333335</v>
      </c>
      <c r="AV43">
        <f t="shared" si="2"/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3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ref="AC44:AC61" si="5"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3"/>
        <v>8.9600000000000009</v>
      </c>
      <c r="AU44">
        <f t="shared" si="1"/>
        <v>2.1966666666666668</v>
      </c>
      <c r="AV44">
        <f t="shared" si="2"/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3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5"/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3"/>
        <v>9</v>
      </c>
      <c r="AU45">
        <f t="shared" si="1"/>
        <v>1.3333333333333333</v>
      </c>
      <c r="AV45">
        <f t="shared" si="2"/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3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5"/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3"/>
        <v>17.8</v>
      </c>
      <c r="AU46">
        <f t="shared" si="1"/>
        <v>1</v>
      </c>
      <c r="AV46">
        <f t="shared" si="2"/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3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5"/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3"/>
        <v>-3.32</v>
      </c>
      <c r="AU47">
        <f t="shared" si="1"/>
        <v>6</v>
      </c>
      <c r="AV47">
        <f t="shared" si="2"/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3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5"/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3"/>
        <v>-4.04</v>
      </c>
      <c r="AU48">
        <f t="shared" si="1"/>
        <v>6</v>
      </c>
      <c r="AV48">
        <f t="shared" si="2"/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3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5"/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3"/>
        <v>2.2000000000000002</v>
      </c>
      <c r="AU49">
        <f t="shared" si="1"/>
        <v>0</v>
      </c>
      <c r="AV49">
        <f t="shared" si="2"/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3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5"/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3"/>
        <v>6.6</v>
      </c>
      <c r="AU50">
        <f t="shared" si="1"/>
        <v>0</v>
      </c>
      <c r="AV50">
        <f t="shared" si="2"/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3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5"/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3"/>
        <v>11</v>
      </c>
      <c r="AU51">
        <f t="shared" si="1"/>
        <v>0</v>
      </c>
      <c r="AV51">
        <f t="shared" si="2"/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3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5"/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3"/>
        <v>15.4</v>
      </c>
      <c r="AU52">
        <f t="shared" si="1"/>
        <v>0</v>
      </c>
      <c r="AV52">
        <f t="shared" si="2"/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3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5"/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3"/>
        <v>9.8000000000000007</v>
      </c>
      <c r="AU53">
        <f t="shared" si="1"/>
        <v>1.3333333333333333</v>
      </c>
      <c r="AV53">
        <f t="shared" si="2"/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3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5"/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3"/>
        <v>9.8000000000000007</v>
      </c>
      <c r="AU54">
        <f t="shared" si="1"/>
        <v>2.6666666666666665</v>
      </c>
      <c r="AV54">
        <f t="shared" si="2"/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3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5"/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3"/>
        <v>10.98</v>
      </c>
      <c r="AU55">
        <f t="shared" si="1"/>
        <v>0.76666666666666661</v>
      </c>
      <c r="AV55">
        <f t="shared" si="2"/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3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5"/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3"/>
        <v>11.34</v>
      </c>
      <c r="AU56">
        <f t="shared" si="1"/>
        <v>0</v>
      </c>
      <c r="AV56">
        <f t="shared" si="2"/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3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5"/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3"/>
        <v>10.98</v>
      </c>
      <c r="AU57">
        <f t="shared" si="1"/>
        <v>0</v>
      </c>
      <c r="AV57">
        <f t="shared" si="2"/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3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5"/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3"/>
        <v>14.98</v>
      </c>
      <c r="AU58">
        <f t="shared" si="1"/>
        <v>0</v>
      </c>
      <c r="AV58">
        <f t="shared" si="2"/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3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5"/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3"/>
        <v>10.98</v>
      </c>
      <c r="AU59">
        <f t="shared" si="1"/>
        <v>0.66666666666666663</v>
      </c>
      <c r="AV59">
        <f t="shared" si="2"/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3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5"/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3"/>
        <v>10.98</v>
      </c>
      <c r="AU60">
        <f t="shared" si="1"/>
        <v>1.5333333333333332</v>
      </c>
      <c r="AV60">
        <f t="shared" si="2"/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3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5"/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3"/>
        <v>10.98</v>
      </c>
      <c r="AU61">
        <f t="shared" si="1"/>
        <v>2</v>
      </c>
      <c r="AV61">
        <f t="shared" si="2"/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3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3"/>
        <v>20.479999999999997</v>
      </c>
      <c r="AU62">
        <f t="shared" si="1"/>
        <v>0</v>
      </c>
      <c r="AV62">
        <f t="shared" si="2"/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3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3"/>
        <v>29.18</v>
      </c>
      <c r="AU63">
        <f t="shared" si="1"/>
        <v>0</v>
      </c>
      <c r="AV63">
        <f t="shared" si="2"/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3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3"/>
        <v>8.15</v>
      </c>
      <c r="AU64">
        <f t="shared" si="1"/>
        <v>5</v>
      </c>
      <c r="AV64">
        <f t="shared" si="2"/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3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3"/>
        <v>10</v>
      </c>
      <c r="AU65">
        <f t="shared" si="1"/>
        <v>0</v>
      </c>
      <c r="AV65">
        <f t="shared" si="2"/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3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3"/>
        <v>20</v>
      </c>
      <c r="AU66">
        <f t="shared" ref="AU66:AU129" si="6">D66+J66/6+M66/3+(T66+S66)/10</f>
        <v>0</v>
      </c>
      <c r="AV66">
        <f t="shared" ref="AV66:AV129" si="7"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3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8">L67+0.67*E67+0.44*P67+0.28*K67+0.22*O67+2.9*H67+1.6*F67+1.7*G67-D67</f>
        <v>10</v>
      </c>
      <c r="AU67">
        <f t="shared" si="6"/>
        <v>0</v>
      </c>
      <c r="AV67">
        <f t="shared" si="7"/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3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8"/>
        <v>10</v>
      </c>
      <c r="AU68">
        <f t="shared" si="6"/>
        <v>0</v>
      </c>
      <c r="AV68">
        <f t="shared" si="7"/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3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8"/>
        <v>10</v>
      </c>
      <c r="AU69">
        <f t="shared" si="6"/>
        <v>0</v>
      </c>
      <c r="AV69">
        <f t="shared" si="7"/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3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8"/>
        <v>10</v>
      </c>
      <c r="AU70">
        <f t="shared" si="6"/>
        <v>0</v>
      </c>
      <c r="AV70">
        <f t="shared" si="7"/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3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ref="AC71:AC87" si="9"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8"/>
        <v>0</v>
      </c>
      <c r="AU71">
        <f t="shared" si="6"/>
        <v>0</v>
      </c>
      <c r="AV71">
        <f t="shared" si="7"/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3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9"/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8"/>
        <v>0</v>
      </c>
      <c r="AU72">
        <f t="shared" si="6"/>
        <v>0</v>
      </c>
      <c r="AV72">
        <f t="shared" si="7"/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3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9"/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8"/>
        <v>0</v>
      </c>
      <c r="AU73">
        <f t="shared" si="6"/>
        <v>0</v>
      </c>
      <c r="AV73">
        <f t="shared" si="7"/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3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9"/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8"/>
        <v>-2.9899999999999998</v>
      </c>
      <c r="AU74">
        <f t="shared" si="6"/>
        <v>10</v>
      </c>
      <c r="AV74">
        <f t="shared" si="7"/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3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9"/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8"/>
        <v>-1.54</v>
      </c>
      <c r="AU75">
        <f t="shared" si="6"/>
        <v>10</v>
      </c>
      <c r="AV75">
        <f t="shared" si="7"/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3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9"/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8"/>
        <v>-8.9999999999999858E-2</v>
      </c>
      <c r="AU76">
        <f t="shared" si="6"/>
        <v>10</v>
      </c>
      <c r="AV76">
        <f t="shared" si="7"/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3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 t="shared" si="9"/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8"/>
        <v>1.3599999999999994</v>
      </c>
      <c r="AU77">
        <f t="shared" si="6"/>
        <v>10</v>
      </c>
      <c r="AV77">
        <f t="shared" si="7"/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3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 t="shared" si="9"/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8"/>
        <v>2.8100000000000005</v>
      </c>
      <c r="AU78">
        <f t="shared" si="6"/>
        <v>10</v>
      </c>
      <c r="AV78">
        <f t="shared" si="7"/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3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 t="shared" si="9"/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8"/>
        <v>4.26</v>
      </c>
      <c r="AU79">
        <f t="shared" si="6"/>
        <v>10</v>
      </c>
      <c r="AV79">
        <f t="shared" si="7"/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3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 t="shared" si="9"/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8"/>
        <v>10</v>
      </c>
      <c r="AU80">
        <f t="shared" si="6"/>
        <v>1.1666666666666665</v>
      </c>
      <c r="AV80">
        <f t="shared" si="7"/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3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 t="shared" si="9"/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8"/>
        <v>0</v>
      </c>
      <c r="AU81">
        <f t="shared" si="6"/>
        <v>0</v>
      </c>
      <c r="AV81">
        <f t="shared" si="7"/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3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 t="shared" si="9"/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8"/>
        <v>0</v>
      </c>
      <c r="AU82">
        <f t="shared" si="6"/>
        <v>0</v>
      </c>
      <c r="AV82">
        <f t="shared" si="7"/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3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 t="shared" si="9"/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8"/>
        <v>0</v>
      </c>
      <c r="AU83">
        <f t="shared" si="6"/>
        <v>0</v>
      </c>
      <c r="AV83">
        <f t="shared" si="7"/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3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 t="shared" si="9"/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8"/>
        <v>0</v>
      </c>
      <c r="AU84">
        <f t="shared" si="6"/>
        <v>0</v>
      </c>
      <c r="AV84">
        <f t="shared" si="7"/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3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 t="shared" si="9"/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8"/>
        <v>0</v>
      </c>
      <c r="AU85">
        <f t="shared" si="6"/>
        <v>0</v>
      </c>
      <c r="AV85">
        <f t="shared" si="7"/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3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 t="shared" si="9"/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8"/>
        <v>0</v>
      </c>
      <c r="AU86">
        <f t="shared" si="6"/>
        <v>0</v>
      </c>
      <c r="AV86">
        <f t="shared" si="7"/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3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 t="shared" si="9"/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8"/>
        <v>7.0000000000000009</v>
      </c>
      <c r="AU87">
        <f t="shared" si="6"/>
        <v>4.166666666666667</v>
      </c>
      <c r="AV87">
        <f t="shared" si="7"/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3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8"/>
        <v>23.2</v>
      </c>
      <c r="AU88">
        <f t="shared" si="6"/>
        <v>0</v>
      </c>
      <c r="AV88">
        <f t="shared" si="7"/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3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8"/>
        <v>24.3</v>
      </c>
      <c r="AU89">
        <f t="shared" si="6"/>
        <v>0</v>
      </c>
      <c r="AV89">
        <f t="shared" si="7"/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3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8"/>
        <v>24.96</v>
      </c>
      <c r="AU90">
        <f t="shared" si="6"/>
        <v>0</v>
      </c>
      <c r="AV90">
        <f t="shared" si="7"/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3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8"/>
        <v>26.54</v>
      </c>
      <c r="AU91">
        <f t="shared" si="6"/>
        <v>0</v>
      </c>
      <c r="AV91">
        <f t="shared" si="7"/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3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8"/>
        <v>27.2</v>
      </c>
      <c r="AU92">
        <f t="shared" si="6"/>
        <v>0</v>
      </c>
      <c r="AV92">
        <f t="shared" si="7"/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3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8"/>
        <v>28.08</v>
      </c>
      <c r="AU93">
        <f t="shared" si="6"/>
        <v>0</v>
      </c>
      <c r="AV93">
        <f t="shared" si="7"/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3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8"/>
        <v>31.2</v>
      </c>
      <c r="AU94">
        <f t="shared" si="6"/>
        <v>0</v>
      </c>
      <c r="AV94">
        <f t="shared" si="7"/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3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ref="AC95:AC124" si="10"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8"/>
        <v>9.81</v>
      </c>
      <c r="AU95">
        <f t="shared" si="6"/>
        <v>4</v>
      </c>
      <c r="AV95">
        <f t="shared" si="7"/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3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0"/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8"/>
        <v>8.15</v>
      </c>
      <c r="AU96">
        <f t="shared" si="6"/>
        <v>5</v>
      </c>
      <c r="AV96">
        <f t="shared" si="7"/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3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0"/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8"/>
        <v>11.490000000000002</v>
      </c>
      <c r="AU97">
        <f t="shared" si="6"/>
        <v>3</v>
      </c>
      <c r="AV97">
        <f t="shared" si="7"/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3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0"/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8"/>
        <v>-5</v>
      </c>
      <c r="AU98">
        <f t="shared" si="6"/>
        <v>12.916666666666668</v>
      </c>
      <c r="AV98">
        <f t="shared" si="7"/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3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0"/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8"/>
        <v>-4.33</v>
      </c>
      <c r="AU99">
        <f t="shared" si="6"/>
        <v>12.833333333333332</v>
      </c>
      <c r="AV99">
        <f t="shared" si="7"/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3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0"/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8"/>
        <v>-2.9899999999999998</v>
      </c>
      <c r="AU100">
        <f t="shared" si="6"/>
        <v>12.666666666666668</v>
      </c>
      <c r="AV100">
        <f t="shared" si="7"/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3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0"/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8"/>
        <v>-1.65</v>
      </c>
      <c r="AU101">
        <f t="shared" si="6"/>
        <v>12.5</v>
      </c>
      <c r="AV101">
        <f t="shared" si="7"/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3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0"/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8"/>
        <v>-0.30999999999999961</v>
      </c>
      <c r="AU102">
        <f t="shared" si="6"/>
        <v>12.333333333333332</v>
      </c>
      <c r="AV102">
        <f t="shared" si="7"/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3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0"/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8"/>
        <v>10.64</v>
      </c>
      <c r="AU103">
        <f t="shared" si="6"/>
        <v>1.3000000000000001E-2</v>
      </c>
      <c r="AV103">
        <f t="shared" si="7"/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3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0"/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8"/>
        <v>10.64</v>
      </c>
      <c r="AU104">
        <f t="shared" si="6"/>
        <v>2.4E-2</v>
      </c>
      <c r="AV104">
        <f t="shared" si="7"/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3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0"/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8"/>
        <v>10.64</v>
      </c>
      <c r="AU105">
        <f t="shared" si="6"/>
        <v>4.5999999999999999E-2</v>
      </c>
      <c r="AV105">
        <f t="shared" si="7"/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3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0"/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8"/>
        <v>12</v>
      </c>
      <c r="AU106">
        <f t="shared" si="6"/>
        <v>0.83333333333333337</v>
      </c>
      <c r="AV106">
        <f t="shared" si="7"/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3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0"/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8"/>
        <v>12.5</v>
      </c>
      <c r="AU107">
        <f t="shared" si="6"/>
        <v>0</v>
      </c>
      <c r="AV107">
        <f t="shared" si="7"/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3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0"/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8"/>
        <v>0</v>
      </c>
      <c r="AU108">
        <f t="shared" si="6"/>
        <v>0</v>
      </c>
      <c r="AV108">
        <f t="shared" si="7"/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3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0"/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8"/>
        <v>4.2</v>
      </c>
      <c r="AU109">
        <f t="shared" si="6"/>
        <v>1.4999999999999999E-2</v>
      </c>
      <c r="AV109">
        <f t="shared" si="7"/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3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0"/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8"/>
        <v>4.2</v>
      </c>
      <c r="AU110">
        <f t="shared" si="6"/>
        <v>2.5000000000000001E-2</v>
      </c>
      <c r="AV110">
        <f t="shared" si="7"/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3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 t="shared" si="10"/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8"/>
        <v>4.2</v>
      </c>
      <c r="AU111">
        <f t="shared" si="6"/>
        <v>0.04</v>
      </c>
      <c r="AV111">
        <f t="shared" si="7"/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3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0"/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8"/>
        <v>4.9000000000000004</v>
      </c>
      <c r="AU112">
        <f t="shared" si="6"/>
        <v>1.4999999999999999E-2</v>
      </c>
      <c r="AV112">
        <f t="shared" si="7"/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3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 t="shared" si="10"/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8"/>
        <v>4.9000000000000004</v>
      </c>
      <c r="AU113">
        <f t="shared" si="6"/>
        <v>2.5000000000000001E-2</v>
      </c>
      <c r="AV113">
        <f t="shared" si="7"/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3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0"/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8"/>
        <v>4.9000000000000004</v>
      </c>
      <c r="AU114">
        <f t="shared" si="6"/>
        <v>0.04</v>
      </c>
      <c r="AV114">
        <f t="shared" si="7"/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3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0"/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8"/>
        <v>5.6000000000000005</v>
      </c>
      <c r="AU115">
        <f t="shared" si="6"/>
        <v>1.4999999999999999E-2</v>
      </c>
      <c r="AV115">
        <f t="shared" si="7"/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3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 t="shared" si="10"/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8"/>
        <v>5.6000000000000005</v>
      </c>
      <c r="AU116">
        <f t="shared" si="6"/>
        <v>2.5000000000000001E-2</v>
      </c>
      <c r="AV116">
        <f t="shared" si="7"/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3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0"/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8"/>
        <v>5.6000000000000005</v>
      </c>
      <c r="AU117">
        <f t="shared" si="6"/>
        <v>0.04</v>
      </c>
      <c r="AV117">
        <f t="shared" si="7"/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3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0"/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8"/>
        <v>6.3000000000000007</v>
      </c>
      <c r="AU118">
        <f t="shared" si="6"/>
        <v>1.4999999999999999E-2</v>
      </c>
      <c r="AV118">
        <f t="shared" si="7"/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3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0"/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8"/>
        <v>6.3000000000000007</v>
      </c>
      <c r="AU119">
        <f t="shared" si="6"/>
        <v>2.5000000000000001E-2</v>
      </c>
      <c r="AV119">
        <f t="shared" si="7"/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3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0"/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8"/>
        <v>6.3000000000000007</v>
      </c>
      <c r="AU120">
        <f t="shared" si="6"/>
        <v>0.04</v>
      </c>
      <c r="AV120">
        <f t="shared" si="7"/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3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0"/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8"/>
        <v>0.57506999999999997</v>
      </c>
      <c r="AU121">
        <f t="shared" si="6"/>
        <v>0</v>
      </c>
      <c r="AV121">
        <f t="shared" si="7"/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3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0"/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8"/>
        <v>0.57506999999999997</v>
      </c>
      <c r="AU122">
        <f t="shared" si="6"/>
        <v>0</v>
      </c>
      <c r="AV122">
        <f t="shared" si="7"/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3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0"/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8"/>
        <v>0.57506999999999997</v>
      </c>
      <c r="AU123">
        <f t="shared" si="6"/>
        <v>0</v>
      </c>
      <c r="AV123">
        <f t="shared" si="7"/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3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0"/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8"/>
        <v>0.87928000000000006</v>
      </c>
      <c r="AU124">
        <f t="shared" si="6"/>
        <v>0</v>
      </c>
      <c r="AV124">
        <f t="shared" si="7"/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3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8"/>
        <v>20.3</v>
      </c>
      <c r="AU125">
        <f t="shared" si="6"/>
        <v>0</v>
      </c>
      <c r="AV125">
        <f t="shared" si="7"/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3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8"/>
        <v>20.580000000000002</v>
      </c>
      <c r="AU126">
        <f t="shared" si="6"/>
        <v>0</v>
      </c>
      <c r="AV126">
        <f t="shared" si="7"/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3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8"/>
        <v>21.42</v>
      </c>
      <c r="AU127">
        <f t="shared" si="6"/>
        <v>0</v>
      </c>
      <c r="AV127">
        <f t="shared" si="7"/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3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8"/>
        <v>21.98</v>
      </c>
      <c r="AU128">
        <f t="shared" si="6"/>
        <v>0</v>
      </c>
      <c r="AV128">
        <f t="shared" si="7"/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3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8"/>
        <v>22.82</v>
      </c>
      <c r="AU129">
        <f t="shared" si="6"/>
        <v>0</v>
      </c>
      <c r="AV129">
        <f t="shared" si="7"/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3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8"/>
        <v>23.380000000000003</v>
      </c>
      <c r="AU130">
        <f t="shared" ref="AU130:AU193" si="11">D130+J130/6+M130/3+(T130+S130)/10</f>
        <v>0</v>
      </c>
      <c r="AV130">
        <f t="shared" ref="AV130:AV193" si="12"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3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13">L131+0.67*E131+0.44*P131+0.28*K131+0.22*O131+2.9*H131+1.6*F131+1.7*G131-D131</f>
        <v>11.899999999999999</v>
      </c>
      <c r="AU131">
        <f t="shared" si="11"/>
        <v>5.5</v>
      </c>
      <c r="AV131">
        <f t="shared" si="12"/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3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13"/>
        <v>17.7</v>
      </c>
      <c r="AU132">
        <f t="shared" si="11"/>
        <v>5.5</v>
      </c>
      <c r="AV132">
        <f t="shared" si="12"/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3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13"/>
        <v>23.5</v>
      </c>
      <c r="AU133">
        <f t="shared" si="11"/>
        <v>5.5</v>
      </c>
      <c r="AV133">
        <f t="shared" si="12"/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3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13"/>
        <v>15.1</v>
      </c>
      <c r="AU134">
        <f t="shared" si="11"/>
        <v>5.5</v>
      </c>
      <c r="AV134">
        <f t="shared" si="12"/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3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13"/>
        <v>20.9</v>
      </c>
      <c r="AU135">
        <f t="shared" si="11"/>
        <v>5.5</v>
      </c>
      <c r="AV135">
        <f t="shared" si="12"/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3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13"/>
        <v>26.700000000000003</v>
      </c>
      <c r="AU136">
        <f t="shared" si="11"/>
        <v>5.5</v>
      </c>
      <c r="AV136">
        <f t="shared" si="12"/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3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13"/>
        <v>27.86</v>
      </c>
      <c r="AU137">
        <f t="shared" si="11"/>
        <v>0</v>
      </c>
      <c r="AV137">
        <f t="shared" si="12"/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3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13"/>
        <v>31.06</v>
      </c>
      <c r="AU138">
        <f t="shared" si="11"/>
        <v>0</v>
      </c>
      <c r="AV138">
        <f t="shared" si="12"/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3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13"/>
        <v>34.26</v>
      </c>
      <c r="AU139">
        <f t="shared" si="11"/>
        <v>0</v>
      </c>
      <c r="AV139">
        <f t="shared" si="12"/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3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13"/>
        <v>37.46</v>
      </c>
      <c r="AU140">
        <f t="shared" si="11"/>
        <v>0</v>
      </c>
      <c r="AV140">
        <f t="shared" si="12"/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3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13"/>
        <v>40.659999999999997</v>
      </c>
      <c r="AU141">
        <f t="shared" si="11"/>
        <v>0</v>
      </c>
      <c r="AV141">
        <f t="shared" si="12"/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3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13"/>
        <v>15.299999999999999</v>
      </c>
      <c r="AU142">
        <f t="shared" si="11"/>
        <v>0</v>
      </c>
      <c r="AV142">
        <f t="shared" si="12"/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3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13"/>
        <v>22.099999999999998</v>
      </c>
      <c r="AU143">
        <f t="shared" si="11"/>
        <v>0</v>
      </c>
      <c r="AV143">
        <f t="shared" si="12"/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3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13"/>
        <v>11.5</v>
      </c>
      <c r="AU144">
        <f t="shared" si="11"/>
        <v>0</v>
      </c>
      <c r="AV144">
        <f t="shared" si="12"/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3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13"/>
        <v>12.5</v>
      </c>
      <c r="AU145">
        <f t="shared" si="11"/>
        <v>0</v>
      </c>
      <c r="AV145">
        <f t="shared" si="12"/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3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13"/>
        <v>13.2</v>
      </c>
      <c r="AU146">
        <f t="shared" si="11"/>
        <v>0</v>
      </c>
      <c r="AV146">
        <f t="shared" si="12"/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3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13"/>
        <v>14.2</v>
      </c>
      <c r="AU147">
        <f t="shared" si="11"/>
        <v>0</v>
      </c>
      <c r="AV147">
        <f t="shared" si="12"/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3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ref="AC148:AC179" si="14"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13"/>
        <v>6</v>
      </c>
      <c r="AU148">
        <f t="shared" si="11"/>
        <v>4.5</v>
      </c>
      <c r="AV148">
        <f t="shared" si="12"/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3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14"/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13"/>
        <v>10.520000000000001</v>
      </c>
      <c r="AU149">
        <f t="shared" si="11"/>
        <v>0.53</v>
      </c>
      <c r="AV149">
        <f t="shared" si="12"/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3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14"/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13"/>
        <v>9.1000000000000014</v>
      </c>
      <c r="AU150">
        <f t="shared" si="11"/>
        <v>2.0333333333333332</v>
      </c>
      <c r="AV150">
        <f t="shared" si="12"/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3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14"/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13"/>
        <v>12</v>
      </c>
      <c r="AU151">
        <f t="shared" si="11"/>
        <v>0</v>
      </c>
      <c r="AV151">
        <f t="shared" si="12"/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3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14"/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13"/>
        <v>12</v>
      </c>
      <c r="AU152">
        <f t="shared" si="11"/>
        <v>0.83333333333333337</v>
      </c>
      <c r="AV152">
        <f t="shared" si="12"/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3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14"/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13"/>
        <v>9.8000000000000007</v>
      </c>
      <c r="AU153">
        <f t="shared" si="11"/>
        <v>0</v>
      </c>
      <c r="AV153">
        <f t="shared" si="12"/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3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14"/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13"/>
        <v>9.8000000000000007</v>
      </c>
      <c r="AU154">
        <f t="shared" si="11"/>
        <v>0.83333333333333337</v>
      </c>
      <c r="AV154">
        <f t="shared" si="12"/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3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14"/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13"/>
        <v>9.8000000000000007</v>
      </c>
      <c r="AU155">
        <f t="shared" si="11"/>
        <v>1.6666666666666667</v>
      </c>
      <c r="AV155">
        <f t="shared" si="12"/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3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14"/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13"/>
        <v>9.8000000000000007</v>
      </c>
      <c r="AU156">
        <f t="shared" si="11"/>
        <v>2.5</v>
      </c>
      <c r="AV156">
        <f t="shared" si="12"/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3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14"/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13"/>
        <v>13.600000000000001</v>
      </c>
      <c r="AU157">
        <f t="shared" si="11"/>
        <v>0.5</v>
      </c>
      <c r="AV157">
        <f t="shared" si="12"/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3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14"/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13"/>
        <v>11.64</v>
      </c>
      <c r="AU158">
        <f t="shared" si="11"/>
        <v>0</v>
      </c>
      <c r="AV158">
        <f t="shared" si="12"/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3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14"/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13"/>
        <v>12</v>
      </c>
      <c r="AU159">
        <f t="shared" si="11"/>
        <v>0</v>
      </c>
      <c r="AV159">
        <f t="shared" si="12"/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3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14"/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13"/>
        <v>6.7200000000000006</v>
      </c>
      <c r="AU160">
        <f t="shared" si="11"/>
        <v>3.333333333333333</v>
      </c>
      <c r="AV160">
        <f t="shared" si="12"/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3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14"/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13"/>
        <v>13.4</v>
      </c>
      <c r="AU161">
        <f t="shared" si="11"/>
        <v>7.2266666666666666</v>
      </c>
      <c r="AV161">
        <f t="shared" si="12"/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3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14"/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13"/>
        <v>6.7200000000000006</v>
      </c>
      <c r="AU162">
        <f t="shared" si="11"/>
        <v>3.333333333333333</v>
      </c>
      <c r="AV162">
        <f t="shared" si="12"/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3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14"/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13"/>
        <v>6.7200000000000006</v>
      </c>
      <c r="AU163">
        <f t="shared" si="11"/>
        <v>3.3483333333333332</v>
      </c>
      <c r="AV163">
        <f t="shared" si="12"/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3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14"/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13"/>
        <v>6.7200000000000006</v>
      </c>
      <c r="AU164">
        <f t="shared" si="11"/>
        <v>3.3533333333333331</v>
      </c>
      <c r="AV164">
        <f t="shared" si="12"/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3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14"/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13"/>
        <v>6.7200000000000006</v>
      </c>
      <c r="AU165">
        <f t="shared" si="11"/>
        <v>3.3733333333333331</v>
      </c>
      <c r="AV165">
        <f t="shared" si="12"/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3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14"/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13"/>
        <v>7.0000000000000009</v>
      </c>
      <c r="AU166">
        <f t="shared" si="11"/>
        <v>0</v>
      </c>
      <c r="AV166">
        <f t="shared" si="12"/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3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14"/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13"/>
        <v>7.5500000000000007</v>
      </c>
      <c r="AU167">
        <f t="shared" si="11"/>
        <v>0</v>
      </c>
      <c r="AV167">
        <f t="shared" si="12"/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3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14"/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13"/>
        <v>8.1000000000000014</v>
      </c>
      <c r="AU168">
        <f t="shared" si="11"/>
        <v>0</v>
      </c>
      <c r="AV168">
        <f t="shared" si="12"/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3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14"/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13"/>
        <v>8.65</v>
      </c>
      <c r="AU169">
        <f t="shared" si="11"/>
        <v>0</v>
      </c>
      <c r="AV169">
        <f t="shared" si="12"/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3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14"/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13"/>
        <v>8.4</v>
      </c>
      <c r="AU170">
        <f t="shared" si="11"/>
        <v>0</v>
      </c>
      <c r="AV170">
        <f t="shared" si="12"/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3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14"/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13"/>
        <v>8.9500000000000011</v>
      </c>
      <c r="AU171">
        <f t="shared" si="11"/>
        <v>0</v>
      </c>
      <c r="AV171">
        <f t="shared" si="12"/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3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14"/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13"/>
        <v>9.5</v>
      </c>
      <c r="AU172">
        <f t="shared" si="11"/>
        <v>0</v>
      </c>
      <c r="AV172">
        <f t="shared" si="12"/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3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14"/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13"/>
        <v>10.050000000000001</v>
      </c>
      <c r="AU173">
        <f t="shared" si="11"/>
        <v>0</v>
      </c>
      <c r="AV173">
        <f t="shared" si="12"/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3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14"/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13"/>
        <v>9.8000000000000007</v>
      </c>
      <c r="AU174">
        <f t="shared" si="11"/>
        <v>0</v>
      </c>
      <c r="AV174">
        <f t="shared" si="12"/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3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14"/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13"/>
        <v>10.350000000000001</v>
      </c>
      <c r="AU175">
        <f t="shared" si="11"/>
        <v>0</v>
      </c>
      <c r="AV175">
        <f t="shared" si="12"/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3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14"/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13"/>
        <v>10.9</v>
      </c>
      <c r="AU176">
        <f t="shared" si="11"/>
        <v>0</v>
      </c>
      <c r="AV176">
        <f t="shared" si="12"/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3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14"/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13"/>
        <v>11.450000000000001</v>
      </c>
      <c r="AU177">
        <f t="shared" si="11"/>
        <v>0</v>
      </c>
      <c r="AV177">
        <f t="shared" si="12"/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3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14"/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13"/>
        <v>8.7200000000000006</v>
      </c>
      <c r="AU178">
        <f t="shared" si="11"/>
        <v>6.333333333333333</v>
      </c>
      <c r="AV178">
        <f t="shared" si="12"/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3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14"/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13"/>
        <v>8.7200000000000006</v>
      </c>
      <c r="AU179">
        <f t="shared" si="11"/>
        <v>6.333333333333333</v>
      </c>
      <c r="AV179">
        <f t="shared" si="12"/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3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ref="AC180:AC199" si="15"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13"/>
        <v>9.4</v>
      </c>
      <c r="AU180">
        <f t="shared" si="11"/>
        <v>1.3333333333333333</v>
      </c>
      <c r="AV180">
        <f t="shared" si="12"/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3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15"/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13"/>
        <v>10.9</v>
      </c>
      <c r="AU181">
        <f t="shared" si="11"/>
        <v>1.1666666666666667</v>
      </c>
      <c r="AV181">
        <f t="shared" si="12"/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3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15"/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13"/>
        <v>16.7</v>
      </c>
      <c r="AU182">
        <f t="shared" si="11"/>
        <v>1.1666666666666667</v>
      </c>
      <c r="AV182">
        <f t="shared" si="12"/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3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15"/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13"/>
        <v>13.8</v>
      </c>
      <c r="AU183">
        <f t="shared" si="11"/>
        <v>1.1666666666666667</v>
      </c>
      <c r="AV183">
        <f t="shared" si="12"/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3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15"/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13"/>
        <v>16.7</v>
      </c>
      <c r="AU184">
        <f t="shared" si="11"/>
        <v>1.1666666666666667</v>
      </c>
      <c r="AV184">
        <f t="shared" si="12"/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3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15"/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13"/>
        <v>13.8</v>
      </c>
      <c r="AU185">
        <f t="shared" si="11"/>
        <v>1.1666666666666667</v>
      </c>
      <c r="AV185">
        <f t="shared" si="12"/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3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15"/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13"/>
        <v>9.8000000000000007</v>
      </c>
      <c r="AU186">
        <f t="shared" si="11"/>
        <v>0</v>
      </c>
      <c r="AV186">
        <f t="shared" si="12"/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3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15"/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13"/>
        <v>9.8000000000000007</v>
      </c>
      <c r="AU187">
        <f t="shared" si="11"/>
        <v>0</v>
      </c>
      <c r="AV187">
        <f t="shared" si="12"/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3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15"/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13"/>
        <v>9.8000000000000007</v>
      </c>
      <c r="AU188">
        <f t="shared" si="11"/>
        <v>0</v>
      </c>
      <c r="AV188">
        <f t="shared" si="12"/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3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15"/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13"/>
        <v>9.8000000000000007</v>
      </c>
      <c r="AU189">
        <f t="shared" si="11"/>
        <v>0</v>
      </c>
      <c r="AV189">
        <f t="shared" si="12"/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3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15"/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13"/>
        <v>12.8</v>
      </c>
      <c r="AU190">
        <f t="shared" si="11"/>
        <v>0</v>
      </c>
      <c r="AV190">
        <f t="shared" si="12"/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3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15"/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13"/>
        <v>16</v>
      </c>
      <c r="AU191">
        <f t="shared" si="11"/>
        <v>0</v>
      </c>
      <c r="AV191">
        <f t="shared" si="12"/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3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15"/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13"/>
        <v>18.400000000000002</v>
      </c>
      <c r="AU192">
        <f t="shared" si="11"/>
        <v>0</v>
      </c>
      <c r="AV192">
        <f t="shared" si="12"/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3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15"/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13"/>
        <v>20.8</v>
      </c>
      <c r="AU193">
        <f t="shared" si="11"/>
        <v>0</v>
      </c>
      <c r="AV193">
        <f t="shared" si="12"/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3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15"/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13"/>
        <v>24</v>
      </c>
      <c r="AU194">
        <f t="shared" ref="AU194:AU257" si="16">D194+J194/6+M194/3+(T194+S194)/10</f>
        <v>0</v>
      </c>
      <c r="AV194">
        <f t="shared" ref="AV194:AV257" si="17"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3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si="15"/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18">L195+0.67*E195+0.44*P195+0.28*K195+0.22*O195+2.9*H195+1.6*F195+1.7*G195-D195</f>
        <v>32</v>
      </c>
      <c r="AU195">
        <f t="shared" si="16"/>
        <v>0</v>
      </c>
      <c r="AV195">
        <f t="shared" si="17"/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3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15"/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18"/>
        <v>12</v>
      </c>
      <c r="AU196">
        <f t="shared" si="16"/>
        <v>0</v>
      </c>
      <c r="AV196">
        <f t="shared" si="17"/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3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15"/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18"/>
        <v>10.600000000000001</v>
      </c>
      <c r="AU197">
        <f t="shared" si="16"/>
        <v>0.8613333333333334</v>
      </c>
      <c r="AV197">
        <f t="shared" si="17"/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3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15"/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18"/>
        <v>10.16</v>
      </c>
      <c r="AU198">
        <f t="shared" si="16"/>
        <v>0.8683333333333334</v>
      </c>
      <c r="AV198">
        <f t="shared" si="17"/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3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15"/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18"/>
        <v>11.492620000000001</v>
      </c>
      <c r="AU199">
        <f t="shared" si="16"/>
        <v>2.4874333333333332</v>
      </c>
      <c r="AV199">
        <f t="shared" si="17"/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3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18"/>
        <v>31.517608000000003</v>
      </c>
      <c r="AU200">
        <f t="shared" si="16"/>
        <v>3.0970499999999999</v>
      </c>
      <c r="AV200">
        <f t="shared" si="17"/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3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ref="AC201:AC227" si="19"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18"/>
        <v>16.400659999999998</v>
      </c>
      <c r="AU201">
        <f t="shared" si="16"/>
        <v>1.0733833333333334</v>
      </c>
      <c r="AV201">
        <f t="shared" si="17"/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3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19"/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18"/>
        <v>16.194132</v>
      </c>
      <c r="AU202">
        <f t="shared" si="16"/>
        <v>0.81779999999999997</v>
      </c>
      <c r="AV202">
        <f t="shared" si="17"/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3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19"/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18"/>
        <v>15.262195999999999</v>
      </c>
      <c r="AU203">
        <f t="shared" si="16"/>
        <v>1.3823333333333334</v>
      </c>
      <c r="AV203">
        <f t="shared" si="17"/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3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19"/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18"/>
        <v>9.905616000000002</v>
      </c>
      <c r="AU204">
        <f t="shared" si="16"/>
        <v>0</v>
      </c>
      <c r="AV204">
        <f t="shared" si="17"/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3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19"/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18"/>
        <v>11.470856000000001</v>
      </c>
      <c r="AU205">
        <f t="shared" si="16"/>
        <v>0</v>
      </c>
      <c r="AV205">
        <f t="shared" si="17"/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3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19"/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18"/>
        <v>9.8318360000000009</v>
      </c>
      <c r="AU206">
        <f t="shared" si="16"/>
        <v>0.26119999999999999</v>
      </c>
      <c r="AV206">
        <f t="shared" si="17"/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3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19"/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18"/>
        <v>10.356076</v>
      </c>
      <c r="AU207">
        <f t="shared" si="16"/>
        <v>0</v>
      </c>
      <c r="AV207">
        <f t="shared" si="17"/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3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19"/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18"/>
        <v>9.7856079999999999</v>
      </c>
      <c r="AU208">
        <f t="shared" si="16"/>
        <v>0.67659999999999998</v>
      </c>
      <c r="AV208">
        <f t="shared" si="17"/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3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19"/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18"/>
        <v>9.9396360000000001</v>
      </c>
      <c r="AU209">
        <f t="shared" si="16"/>
        <v>0</v>
      </c>
      <c r="AV209">
        <f t="shared" si="17"/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3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19"/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18"/>
        <v>12.691032000000002</v>
      </c>
      <c r="AU210">
        <f t="shared" si="16"/>
        <v>0</v>
      </c>
      <c r="AV210">
        <f t="shared" si="17"/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3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19"/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18"/>
        <v>10.640224</v>
      </c>
      <c r="AU211">
        <f t="shared" si="16"/>
        <v>0</v>
      </c>
      <c r="AV211">
        <f t="shared" si="17"/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3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19"/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18"/>
        <v>10.485272000000002</v>
      </c>
      <c r="AU212">
        <f t="shared" si="16"/>
        <v>0.51066666666666671</v>
      </c>
      <c r="AV212">
        <f t="shared" si="17"/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3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19"/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18"/>
        <v>10.334772000000001</v>
      </c>
      <c r="AU213">
        <f t="shared" si="16"/>
        <v>1.0067166666666667</v>
      </c>
      <c r="AV213">
        <f t="shared" si="17"/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3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19"/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18"/>
        <v>10.432076000000002</v>
      </c>
      <c r="AU214">
        <f t="shared" si="16"/>
        <v>0.50658333333333327</v>
      </c>
      <c r="AV214">
        <f t="shared" si="17"/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3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19"/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18"/>
        <v>10.432076000000002</v>
      </c>
      <c r="AU215">
        <f t="shared" si="16"/>
        <v>0.50658333333333327</v>
      </c>
      <c r="AV215">
        <f t="shared" si="17"/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3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19"/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18"/>
        <v>11.535441</v>
      </c>
      <c r="AU216">
        <f t="shared" si="16"/>
        <v>1.2924166666666668</v>
      </c>
      <c r="AV216">
        <f t="shared" si="17"/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3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19"/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18"/>
        <v>5.8</v>
      </c>
      <c r="AU217">
        <f t="shared" si="16"/>
        <v>2</v>
      </c>
      <c r="AV217">
        <f t="shared" si="17"/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3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19"/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18"/>
        <v>9.6000000000000014</v>
      </c>
      <c r="AU218">
        <f t="shared" si="16"/>
        <v>1</v>
      </c>
      <c r="AV218">
        <f t="shared" si="17"/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3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19"/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18"/>
        <v>11.200000000000001</v>
      </c>
      <c r="AU219">
        <f t="shared" si="16"/>
        <v>1</v>
      </c>
      <c r="AV219">
        <f t="shared" si="17"/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3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19"/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18"/>
        <v>12.8</v>
      </c>
      <c r="AU220">
        <f t="shared" si="16"/>
        <v>1</v>
      </c>
      <c r="AV220">
        <f t="shared" si="17"/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3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19"/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18"/>
        <v>14.4</v>
      </c>
      <c r="AU221">
        <f t="shared" si="16"/>
        <v>1</v>
      </c>
      <c r="AV221">
        <f t="shared" si="17"/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3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19"/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18"/>
        <v>11.8</v>
      </c>
      <c r="AU222">
        <f t="shared" si="16"/>
        <v>0</v>
      </c>
      <c r="AV222">
        <f t="shared" si="17"/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3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19"/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18"/>
        <v>11.8</v>
      </c>
      <c r="AU223">
        <f t="shared" si="16"/>
        <v>0</v>
      </c>
      <c r="AV223">
        <f t="shared" si="17"/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3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19"/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18"/>
        <v>14.700000000000001</v>
      </c>
      <c r="AU224">
        <f t="shared" si="16"/>
        <v>0</v>
      </c>
      <c r="AV224">
        <f t="shared" si="17"/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3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19"/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18"/>
        <v>14.700000000000001</v>
      </c>
      <c r="AU225">
        <f t="shared" si="16"/>
        <v>0</v>
      </c>
      <c r="AV225">
        <f t="shared" si="17"/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3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19"/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18"/>
        <v>12.420000000000002</v>
      </c>
      <c r="AU226">
        <f t="shared" si="16"/>
        <v>1.3333333333333333</v>
      </c>
      <c r="AV226">
        <f t="shared" si="17"/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3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19"/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18"/>
        <v>12</v>
      </c>
      <c r="AU227">
        <f t="shared" si="16"/>
        <v>0</v>
      </c>
      <c r="AV227">
        <f t="shared" si="17"/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3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18"/>
        <v>8.14</v>
      </c>
      <c r="AU228">
        <f t="shared" si="16"/>
        <v>2.1666666666666665</v>
      </c>
      <c r="AV228">
        <f t="shared" si="17"/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3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18"/>
        <v>8.8000000000000007</v>
      </c>
      <c r="AU229">
        <f t="shared" si="16"/>
        <v>2</v>
      </c>
      <c r="AV229">
        <f t="shared" si="17"/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3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18"/>
        <v>9.9</v>
      </c>
      <c r="AU230">
        <f t="shared" si="16"/>
        <v>1.6666666666666667</v>
      </c>
      <c r="AV230">
        <f t="shared" si="17"/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3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18"/>
        <v>9.5</v>
      </c>
      <c r="AU231">
        <f t="shared" si="16"/>
        <v>3</v>
      </c>
      <c r="AV231">
        <f t="shared" si="17"/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3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18"/>
        <v>11.64</v>
      </c>
      <c r="AU232">
        <f t="shared" si="16"/>
        <v>0</v>
      </c>
      <c r="AV232">
        <f t="shared" si="17"/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3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18"/>
        <v>12</v>
      </c>
      <c r="AU233">
        <f t="shared" si="16"/>
        <v>0</v>
      </c>
      <c r="AV233">
        <f t="shared" si="17"/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3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18"/>
        <v>0</v>
      </c>
      <c r="AU234">
        <f t="shared" si="16"/>
        <v>0</v>
      </c>
      <c r="AV234">
        <f t="shared" si="17"/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3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18"/>
        <v>0</v>
      </c>
      <c r="AU235">
        <f t="shared" si="16"/>
        <v>0</v>
      </c>
      <c r="AV235">
        <f t="shared" si="17"/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3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18"/>
        <v>0</v>
      </c>
      <c r="AU236">
        <f t="shared" si="16"/>
        <v>0</v>
      </c>
      <c r="AV236">
        <f t="shared" si="17"/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3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18"/>
        <v>0</v>
      </c>
      <c r="AU237">
        <f t="shared" si="16"/>
        <v>0</v>
      </c>
      <c r="AV237">
        <f t="shared" si="17"/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3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18"/>
        <v>0</v>
      </c>
      <c r="AU238">
        <f t="shared" si="16"/>
        <v>0</v>
      </c>
      <c r="AV238">
        <f t="shared" si="17"/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3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ref="AC239:AC246" si="20"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18"/>
        <v>0</v>
      </c>
      <c r="AU239">
        <f t="shared" si="16"/>
        <v>0</v>
      </c>
      <c r="AV239">
        <f t="shared" si="17"/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3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20"/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18"/>
        <v>15</v>
      </c>
      <c r="AU240">
        <f t="shared" si="16"/>
        <v>0</v>
      </c>
      <c r="AV240">
        <f t="shared" si="17"/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3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20"/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18"/>
        <v>17.899999999999999</v>
      </c>
      <c r="AU241">
        <f t="shared" si="16"/>
        <v>0</v>
      </c>
      <c r="AV241">
        <f t="shared" si="17"/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3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20"/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18"/>
        <v>13.950000000000003</v>
      </c>
      <c r="AU242">
        <f t="shared" si="16"/>
        <v>4</v>
      </c>
      <c r="AV242">
        <f t="shared" si="17"/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3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20"/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18"/>
        <v>11.26</v>
      </c>
      <c r="AU243">
        <f t="shared" si="16"/>
        <v>0.83333333333333337</v>
      </c>
      <c r="AV243">
        <f t="shared" si="17"/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3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20"/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18"/>
        <v>6.7200000000000006</v>
      </c>
      <c r="AU244">
        <f t="shared" si="16"/>
        <v>0.66666666666666663</v>
      </c>
      <c r="AV244">
        <f t="shared" si="17"/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3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20"/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18"/>
        <v>9.7200000000000006</v>
      </c>
      <c r="AU245">
        <f t="shared" si="16"/>
        <v>1.1666666666666665</v>
      </c>
      <c r="AV245">
        <f t="shared" si="17"/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3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20"/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18"/>
        <v>12</v>
      </c>
      <c r="AU246">
        <f t="shared" si="16"/>
        <v>1.1666666666666665</v>
      </c>
      <c r="AV246">
        <f t="shared" si="17"/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3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18"/>
        <v>11.5</v>
      </c>
      <c r="AU247">
        <f t="shared" si="16"/>
        <v>0</v>
      </c>
      <c r="AV247">
        <f t="shared" si="17"/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3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18"/>
        <v>12.899999999999999</v>
      </c>
      <c r="AU248">
        <f t="shared" si="16"/>
        <v>0</v>
      </c>
      <c r="AV248">
        <f t="shared" si="17"/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3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18"/>
        <v>14.3</v>
      </c>
      <c r="AU249">
        <f t="shared" si="16"/>
        <v>0</v>
      </c>
      <c r="AV249">
        <f t="shared" si="17"/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3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18"/>
        <v>15.7</v>
      </c>
      <c r="AU250">
        <f t="shared" si="16"/>
        <v>0</v>
      </c>
      <c r="AV250">
        <f t="shared" si="17"/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3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18"/>
        <v>9.9</v>
      </c>
      <c r="AU251">
        <f t="shared" si="16"/>
        <v>0</v>
      </c>
      <c r="AV251">
        <f t="shared" si="17"/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3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18"/>
        <v>15.7</v>
      </c>
      <c r="AU252">
        <f t="shared" si="16"/>
        <v>0</v>
      </c>
      <c r="AV252">
        <f t="shared" si="17"/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3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18"/>
        <v>21.5</v>
      </c>
      <c r="AU253">
        <f t="shared" si="16"/>
        <v>0</v>
      </c>
      <c r="AV253">
        <f t="shared" si="17"/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3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18"/>
        <v>27.3</v>
      </c>
      <c r="AU254">
        <f t="shared" si="16"/>
        <v>0</v>
      </c>
      <c r="AV254">
        <f t="shared" si="17"/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3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18"/>
        <v>24.96</v>
      </c>
      <c r="AU255">
        <f t="shared" si="16"/>
        <v>0</v>
      </c>
      <c r="AV255">
        <f t="shared" si="17"/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3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18"/>
        <v>24.96</v>
      </c>
      <c r="AU256">
        <f t="shared" si="16"/>
        <v>0.66666666666666663</v>
      </c>
      <c r="AV256">
        <f t="shared" si="17"/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3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18"/>
        <v>31.2</v>
      </c>
      <c r="AU257">
        <f t="shared" si="16"/>
        <v>0.66666666666666663</v>
      </c>
      <c r="AV257">
        <f t="shared" si="17"/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3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18"/>
        <v>17.8</v>
      </c>
      <c r="AU258">
        <f t="shared" ref="AU258:AU284" si="21">D258+J258/6+M258/3+(T258+S258)/10</f>
        <v>1.02</v>
      </c>
      <c r="AV258">
        <f t="shared" ref="AV258:AV284" si="22"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3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23">L259+0.67*E259+0.44*P259+0.28*K259+0.22*O259+2.9*H259+1.6*F259+1.7*G259-D259</f>
        <v>17.8</v>
      </c>
      <c r="AU259">
        <f t="shared" si="21"/>
        <v>1.03</v>
      </c>
      <c r="AV259">
        <f t="shared" si="22"/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3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23"/>
        <v>17.8</v>
      </c>
      <c r="AU260">
        <f t="shared" si="21"/>
        <v>1.06</v>
      </c>
      <c r="AV260">
        <f t="shared" si="22"/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3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ref="AC261:AC269" si="24"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23"/>
        <v>12</v>
      </c>
      <c r="AU261">
        <f t="shared" si="21"/>
        <v>3.1</v>
      </c>
      <c r="AV261">
        <f t="shared" si="22"/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3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24"/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23"/>
        <v>10.120000000000001</v>
      </c>
      <c r="AU262">
        <f t="shared" si="21"/>
        <v>1</v>
      </c>
      <c r="AV262">
        <f t="shared" si="22"/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3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24"/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23"/>
        <v>12.84</v>
      </c>
      <c r="AU263">
        <f t="shared" si="21"/>
        <v>0</v>
      </c>
      <c r="AV263">
        <f t="shared" si="22"/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3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24"/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23"/>
        <v>10.9</v>
      </c>
      <c r="AU264">
        <f t="shared" si="21"/>
        <v>1.1766666666666667</v>
      </c>
      <c r="AV264">
        <f t="shared" si="22"/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3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24"/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23"/>
        <v>10.9</v>
      </c>
      <c r="AU265">
        <f t="shared" si="21"/>
        <v>1.2166666666666668</v>
      </c>
      <c r="AV265">
        <f t="shared" si="22"/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3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24"/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23"/>
        <v>10.9</v>
      </c>
      <c r="AU266">
        <f t="shared" si="21"/>
        <v>1.2366666666666668</v>
      </c>
      <c r="AV266">
        <f t="shared" si="22"/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3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24"/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23"/>
        <v>5</v>
      </c>
      <c r="AU267">
        <f t="shared" si="21"/>
        <v>5</v>
      </c>
      <c r="AV267">
        <f t="shared" si="22"/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3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24"/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23"/>
        <v>6</v>
      </c>
      <c r="AU268">
        <f t="shared" si="21"/>
        <v>5</v>
      </c>
      <c r="AV268">
        <f t="shared" si="22"/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3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24"/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23"/>
        <v>7</v>
      </c>
      <c r="AU269">
        <f t="shared" si="21"/>
        <v>5</v>
      </c>
      <c r="AV269">
        <f t="shared" si="22"/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3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23"/>
        <v>11.352628000000001</v>
      </c>
      <c r="AU270">
        <f t="shared" si="21"/>
        <v>0</v>
      </c>
      <c r="AV270">
        <f t="shared" si="22"/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3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23"/>
        <v>14.342180000000003</v>
      </c>
      <c r="AU271">
        <f t="shared" si="21"/>
        <v>0</v>
      </c>
      <c r="AV271">
        <f t="shared" si="22"/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3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23"/>
        <v>17.238188000000001</v>
      </c>
      <c r="AU272">
        <f t="shared" si="21"/>
        <v>0</v>
      </c>
      <c r="AV272">
        <f t="shared" si="22"/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3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23"/>
        <v>20.045072000000001</v>
      </c>
      <c r="AU273">
        <f t="shared" si="21"/>
        <v>0</v>
      </c>
      <c r="AV273">
        <f t="shared" si="22"/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3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23"/>
        <v>22.766780000000001</v>
      </c>
      <c r="AU274">
        <f t="shared" si="21"/>
        <v>0</v>
      </c>
      <c r="AV274">
        <f t="shared" si="22"/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3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23"/>
        <v>13.714577000000002</v>
      </c>
      <c r="AU275">
        <f t="shared" si="21"/>
        <v>13.344200000000001</v>
      </c>
      <c r="AV275">
        <f t="shared" si="22"/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3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23"/>
        <v>6.3372960000000003</v>
      </c>
      <c r="AU276">
        <f t="shared" si="21"/>
        <v>3.7038833333333332</v>
      </c>
      <c r="AV276">
        <f t="shared" si="22"/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3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23"/>
        <v>10.765638000000001</v>
      </c>
      <c r="AU277">
        <f t="shared" si="21"/>
        <v>2.7235833333333335</v>
      </c>
      <c r="AV277">
        <f t="shared" si="22"/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3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23"/>
        <v>65.483450000000005</v>
      </c>
      <c r="AU278">
        <f t="shared" si="21"/>
        <v>0</v>
      </c>
      <c r="AV278">
        <f t="shared" si="22"/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3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23"/>
        <v>64.558930000000004</v>
      </c>
      <c r="AU279">
        <f t="shared" si="21"/>
        <v>0.78869999999999996</v>
      </c>
      <c r="AV279">
        <f t="shared" si="22"/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3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23"/>
        <v>62.785870000000003</v>
      </c>
      <c r="AU280">
        <f t="shared" si="21"/>
        <v>2.3011333333333335</v>
      </c>
      <c r="AV280">
        <f t="shared" si="22"/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3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23"/>
        <v>61.107349999999997</v>
      </c>
      <c r="AU281">
        <f t="shared" si="21"/>
        <v>3.7326999999999999</v>
      </c>
      <c r="AV281">
        <f t="shared" si="22"/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3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23"/>
        <v>32.556319999999999</v>
      </c>
      <c r="AU282">
        <f t="shared" si="21"/>
        <v>2.2766999999999999</v>
      </c>
      <c r="AV282">
        <f t="shared" si="22"/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3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23"/>
        <v>38.650165999999999</v>
      </c>
      <c r="AU283">
        <f t="shared" si="21"/>
        <v>2.2697666666666669</v>
      </c>
      <c r="AV283">
        <f t="shared" si="22"/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3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23"/>
        <v>44.706601999999997</v>
      </c>
      <c r="AU284">
        <f t="shared" si="21"/>
        <v>2.2628666666666666</v>
      </c>
      <c r="AV284">
        <f t="shared" si="22"/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高森浩</cp:lastModifiedBy>
  <dcterms:created xsi:type="dcterms:W3CDTF">2026-01-03T07:05:36Z</dcterms:created>
  <dcterms:modified xsi:type="dcterms:W3CDTF">2026-01-20T03:26:02Z</dcterms:modified>
</cp:coreProperties>
</file>